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quor Project\"/>
    </mc:Choice>
  </mc:AlternateContent>
  <xr:revisionPtr revIDLastSave="0" documentId="8_{BCB21958-9FE0-48D4-9431-2FC1909D0051}" xr6:coauthVersionLast="47" xr6:coauthVersionMax="47" xr10:uidLastSave="{00000000-0000-0000-0000-000000000000}"/>
  <bookViews>
    <workbookView xWindow="12660" yWindow="1425" windowWidth="14685" windowHeight="15345" activeTab="1" xr2:uid="{207758D5-8924-427B-BC5D-D24E5309A585}"/>
  </bookViews>
  <sheets>
    <sheet name="Dashboard" sheetId="17" r:id="rId1"/>
    <sheet name="Forecast " sheetId="9" r:id="rId2"/>
    <sheet name="Scenario Summary" sheetId="14" r:id="rId3"/>
    <sheet name="Model" sheetId="13" r:id="rId4"/>
    <sheet name="Stacked Bar" sheetId="15" r:id="rId5"/>
    <sheet name="Variance" sheetId="12" r:id="rId6"/>
    <sheet name="PVM" sheetId="11" r:id="rId7"/>
    <sheet name="Monthly_Category" sheetId="2" r:id="rId8"/>
    <sheet name="Line Chart" sheetId="8" r:id="rId9"/>
  </sheets>
  <definedNames>
    <definedName name="_xlchart.v1.0" hidden="1">PVM!$A$13:$A$17</definedName>
    <definedName name="_xlchart.v1.1" hidden="1">PVM!$B$13:$B$17</definedName>
    <definedName name="_xlchart.v1.2" hidden="1">PVM!$A$13:$A$17</definedName>
    <definedName name="_xlchart.v1.3" hidden="1">PVM!$B$13:$B$17</definedName>
    <definedName name="ExternalData_1" localSheetId="7" hidden="1">Monthly_Category!$A$1:$H$2671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1" l="1"/>
  <c r="O3" i="11" s="1"/>
  <c r="P3" i="11" s="1"/>
  <c r="N4" i="11"/>
  <c r="O4" i="11" s="1"/>
  <c r="P4" i="11" s="1"/>
  <c r="N5" i="11"/>
  <c r="O5" i="11" s="1"/>
  <c r="P5" i="11" s="1"/>
  <c r="N6" i="11"/>
  <c r="O6" i="11" s="1"/>
  <c r="P6" i="11" s="1"/>
  <c r="N7" i="11"/>
  <c r="O7" i="11" s="1"/>
  <c r="P7" i="11" s="1"/>
  <c r="N8" i="11"/>
  <c r="O8" i="11" s="1"/>
  <c r="P8" i="11" s="1"/>
  <c r="N9" i="11"/>
  <c r="O9" i="11" s="1"/>
  <c r="P9" i="11" s="1"/>
  <c r="N2" i="11"/>
  <c r="G2" i="11"/>
  <c r="G3" i="11"/>
  <c r="G4" i="11"/>
  <c r="G5" i="11"/>
  <c r="G6" i="11"/>
  <c r="G7" i="11"/>
  <c r="G8" i="11"/>
  <c r="G9" i="11"/>
  <c r="F3" i="11"/>
  <c r="F4" i="11"/>
  <c r="F5" i="11"/>
  <c r="F6" i="11"/>
  <c r="F7" i="11"/>
  <c r="F8" i="11"/>
  <c r="F9" i="11"/>
  <c r="F2" i="11"/>
  <c r="E10" i="11"/>
  <c r="B2" i="13" s="1"/>
  <c r="D10" i="11"/>
  <c r="H2" i="11" s="1"/>
  <c r="C10" i="11"/>
  <c r="B10" i="11"/>
  <c r="B13" i="11" s="1"/>
  <c r="B2" i="9"/>
  <c r="D2" i="2" a="1"/>
  <c r="D2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 s="1"/>
  <c r="D70" i="2" a="1"/>
  <c r="D70" i="2" s="1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 s="1"/>
  <c r="D154" i="2" a="1"/>
  <c r="D154" i="2" s="1"/>
  <c r="D155" i="2" a="1"/>
  <c r="D155" i="2" s="1"/>
  <c r="D156" i="2" a="1"/>
  <c r="D156" i="2" s="1"/>
  <c r="D157" i="2" a="1"/>
  <c r="D157" i="2" s="1"/>
  <c r="D158" i="2" a="1"/>
  <c r="D158" i="2" s="1"/>
  <c r="D159" i="2" a="1"/>
  <c r="D159" i="2" s="1"/>
  <c r="D160" i="2" a="1"/>
  <c r="D160" i="2" s="1"/>
  <c r="D161" i="2" a="1"/>
  <c r="D161" i="2" s="1"/>
  <c r="D162" i="2" a="1"/>
  <c r="D162" i="2" s="1"/>
  <c r="D163" i="2" a="1"/>
  <c r="D163" i="2" s="1"/>
  <c r="D164" i="2" a="1"/>
  <c r="D164" i="2" s="1"/>
  <c r="D165" i="2" a="1"/>
  <c r="D165" i="2" s="1"/>
  <c r="D166" i="2" a="1"/>
  <c r="D166" i="2" s="1"/>
  <c r="D167" i="2" a="1"/>
  <c r="D167" i="2" s="1"/>
  <c r="D168" i="2" a="1"/>
  <c r="D168" i="2" s="1"/>
  <c r="D169" i="2" a="1"/>
  <c r="D169" i="2" s="1"/>
  <c r="D170" i="2" a="1"/>
  <c r="D170" i="2" s="1"/>
  <c r="D171" i="2" a="1"/>
  <c r="D171" i="2" s="1"/>
  <c r="D172" i="2" a="1"/>
  <c r="D172" i="2" s="1"/>
  <c r="D173" i="2" a="1"/>
  <c r="D173" i="2" s="1"/>
  <c r="D174" i="2" a="1"/>
  <c r="D174" i="2" s="1"/>
  <c r="D175" i="2" a="1"/>
  <c r="D175" i="2" s="1"/>
  <c r="D176" i="2" a="1"/>
  <c r="D176" i="2" s="1"/>
  <c r="D177" i="2" a="1"/>
  <c r="D177" i="2" s="1"/>
  <c r="D178" i="2" a="1"/>
  <c r="D178" i="2" s="1"/>
  <c r="D179" i="2" a="1"/>
  <c r="D179" i="2" s="1"/>
  <c r="D180" i="2" a="1"/>
  <c r="D180" i="2" s="1"/>
  <c r="D181" i="2" a="1"/>
  <c r="D181" i="2" s="1"/>
  <c r="D182" i="2" a="1"/>
  <c r="D182" i="2" s="1"/>
  <c r="D183" i="2" a="1"/>
  <c r="D183" i="2" s="1"/>
  <c r="D184" i="2" a="1"/>
  <c r="D184" i="2" s="1"/>
  <c r="D185" i="2" a="1"/>
  <c r="D185" i="2" s="1"/>
  <c r="D186" i="2" a="1"/>
  <c r="D186" i="2" s="1"/>
  <c r="D187" i="2" a="1"/>
  <c r="D187" i="2" s="1"/>
  <c r="D188" i="2" a="1"/>
  <c r="D188" i="2" s="1"/>
  <c r="D189" i="2" a="1"/>
  <c r="D189" i="2" s="1"/>
  <c r="D190" i="2" a="1"/>
  <c r="D190" i="2" s="1"/>
  <c r="D191" i="2" a="1"/>
  <c r="D191" i="2" s="1"/>
  <c r="D192" i="2" a="1"/>
  <c r="D192" i="2" s="1"/>
  <c r="D193" i="2" a="1"/>
  <c r="D193" i="2" s="1"/>
  <c r="D194" i="2" a="1"/>
  <c r="D194" i="2" s="1"/>
  <c r="D195" i="2" a="1"/>
  <c r="D195" i="2" s="1"/>
  <c r="D196" i="2" a="1"/>
  <c r="D196" i="2" s="1"/>
  <c r="D197" i="2" a="1"/>
  <c r="D197" i="2" s="1"/>
  <c r="D198" i="2" a="1"/>
  <c r="D198" i="2" s="1"/>
  <c r="D199" i="2" a="1"/>
  <c r="D199" i="2" s="1"/>
  <c r="D200" i="2" a="1"/>
  <c r="D200" i="2" s="1"/>
  <c r="D201" i="2" a="1"/>
  <c r="D201" i="2" s="1"/>
  <c r="D202" i="2" a="1"/>
  <c r="D202" i="2" s="1"/>
  <c r="D203" i="2" a="1"/>
  <c r="D203" i="2" s="1"/>
  <c r="D204" i="2" a="1"/>
  <c r="D204" i="2" s="1"/>
  <c r="D205" i="2" a="1"/>
  <c r="D205" i="2" s="1"/>
  <c r="D206" i="2" a="1"/>
  <c r="D206" i="2" s="1"/>
  <c r="D207" i="2" a="1"/>
  <c r="D207" i="2" s="1"/>
  <c r="D208" i="2" a="1"/>
  <c r="D208" i="2" s="1"/>
  <c r="D209" i="2" a="1"/>
  <c r="D209" i="2" s="1"/>
  <c r="D210" i="2" a="1"/>
  <c r="D210" i="2" s="1"/>
  <c r="D211" i="2" a="1"/>
  <c r="D211" i="2" s="1"/>
  <c r="D212" i="2" a="1"/>
  <c r="D212" i="2" s="1"/>
  <c r="D213" i="2" a="1"/>
  <c r="D213" i="2" s="1"/>
  <c r="D214" i="2" a="1"/>
  <c r="D214" i="2" s="1"/>
  <c r="D215" i="2" a="1"/>
  <c r="D215" i="2" s="1"/>
  <c r="D216" i="2" a="1"/>
  <c r="D216" i="2" s="1"/>
  <c r="D217" i="2" a="1"/>
  <c r="D217" i="2" s="1"/>
  <c r="D218" i="2" a="1"/>
  <c r="D218" i="2" s="1"/>
  <c r="D219" i="2" a="1"/>
  <c r="D219" i="2" s="1"/>
  <c r="D220" i="2" a="1"/>
  <c r="D220" i="2" s="1"/>
  <c r="D221" i="2" a="1"/>
  <c r="D221" i="2" s="1"/>
  <c r="D222" i="2" a="1"/>
  <c r="D222" i="2" s="1"/>
  <c r="D223" i="2" a="1"/>
  <c r="D223" i="2" s="1"/>
  <c r="D224" i="2" a="1"/>
  <c r="D224" i="2" s="1"/>
  <c r="D225" i="2" a="1"/>
  <c r="D225" i="2" s="1"/>
  <c r="D226" i="2" a="1"/>
  <c r="D226" i="2" s="1"/>
  <c r="D227" i="2" a="1"/>
  <c r="D227" i="2" s="1"/>
  <c r="D228" i="2" a="1"/>
  <c r="D228" i="2" s="1"/>
  <c r="D229" i="2" a="1"/>
  <c r="D229" i="2" s="1"/>
  <c r="D230" i="2" a="1"/>
  <c r="D230" i="2" s="1"/>
  <c r="D231" i="2" a="1"/>
  <c r="D231" i="2" s="1"/>
  <c r="D232" i="2" a="1"/>
  <c r="D232" i="2" s="1"/>
  <c r="D233" i="2" a="1"/>
  <c r="D233" i="2"/>
  <c r="D234" i="2" a="1"/>
  <c r="D234" i="2" s="1"/>
  <c r="D235" i="2" a="1"/>
  <c r="D235" i="2" s="1"/>
  <c r="D236" i="2" a="1"/>
  <c r="D236" i="2" s="1"/>
  <c r="D237" i="2" a="1"/>
  <c r="D237" i="2" s="1"/>
  <c r="D238" i="2" a="1"/>
  <c r="D238" i="2" s="1"/>
  <c r="D239" i="2" a="1"/>
  <c r="D239" i="2" s="1"/>
  <c r="D240" i="2" a="1"/>
  <c r="D240" i="2" s="1"/>
  <c r="D241" i="2" a="1"/>
  <c r="D241" i="2" s="1"/>
  <c r="D242" i="2" a="1"/>
  <c r="D242" i="2" s="1"/>
  <c r="D243" i="2" a="1"/>
  <c r="D243" i="2" s="1"/>
  <c r="D244" i="2" a="1"/>
  <c r="D244" i="2" s="1"/>
  <c r="D245" i="2" a="1"/>
  <c r="D245" i="2" s="1"/>
  <c r="D246" i="2" a="1"/>
  <c r="D246" i="2" s="1"/>
  <c r="D247" i="2" a="1"/>
  <c r="D247" i="2" s="1"/>
  <c r="D248" i="2" a="1"/>
  <c r="D248" i="2" s="1"/>
  <c r="D249" i="2" a="1"/>
  <c r="D249" i="2" s="1"/>
  <c r="D250" i="2" a="1"/>
  <c r="D250" i="2" s="1"/>
  <c r="D251" i="2" a="1"/>
  <c r="D251" i="2" s="1"/>
  <c r="D252" i="2" a="1"/>
  <c r="D252" i="2" s="1"/>
  <c r="D253" i="2" a="1"/>
  <c r="D253" i="2" s="1"/>
  <c r="D254" i="2" a="1"/>
  <c r="D254" i="2" s="1"/>
  <c r="D255" i="2" a="1"/>
  <c r="D255" i="2" s="1"/>
  <c r="D256" i="2" a="1"/>
  <c r="D256" i="2" s="1"/>
  <c r="D257" i="2" a="1"/>
  <c r="D257" i="2" s="1"/>
  <c r="D258" i="2" a="1"/>
  <c r="D258" i="2" s="1"/>
  <c r="D259" i="2" a="1"/>
  <c r="D259" i="2" s="1"/>
  <c r="D260" i="2" a="1"/>
  <c r="D260" i="2" s="1"/>
  <c r="D261" i="2" a="1"/>
  <c r="D261" i="2" s="1"/>
  <c r="D262" i="2" a="1"/>
  <c r="D262" i="2" s="1"/>
  <c r="D263" i="2" a="1"/>
  <c r="D263" i="2" s="1"/>
  <c r="D264" i="2" a="1"/>
  <c r="D264" i="2" s="1"/>
  <c r="D265" i="2" a="1"/>
  <c r="D265" i="2" s="1"/>
  <c r="D266" i="2" a="1"/>
  <c r="D266" i="2" s="1"/>
  <c r="D267" i="2" a="1"/>
  <c r="D267" i="2" s="1"/>
  <c r="D268" i="2" a="1"/>
  <c r="D268" i="2" s="1"/>
  <c r="D269" i="2" a="1"/>
  <c r="D269" i="2" s="1"/>
  <c r="D270" i="2" a="1"/>
  <c r="D270" i="2" s="1"/>
  <c r="D271" i="2" a="1"/>
  <c r="D271" i="2" s="1"/>
  <c r="D272" i="2" a="1"/>
  <c r="D272" i="2"/>
  <c r="D273" i="2" a="1"/>
  <c r="D273" i="2" s="1"/>
  <c r="D274" i="2" a="1"/>
  <c r="D274" i="2" s="1"/>
  <c r="D275" i="2" a="1"/>
  <c r="D275" i="2" s="1"/>
  <c r="D276" i="2" a="1"/>
  <c r="D276" i="2" s="1"/>
  <c r="D277" i="2" a="1"/>
  <c r="D277" i="2" s="1"/>
  <c r="D278" i="2" a="1"/>
  <c r="D278" i="2" s="1"/>
  <c r="D279" i="2" a="1"/>
  <c r="D279" i="2" s="1"/>
  <c r="D280" i="2" a="1"/>
  <c r="D280" i="2" s="1"/>
  <c r="D281" i="2" a="1"/>
  <c r="D281" i="2" s="1"/>
  <c r="D282" i="2" a="1"/>
  <c r="D282" i="2" s="1"/>
  <c r="D283" i="2" a="1"/>
  <c r="D283" i="2" s="1"/>
  <c r="D284" i="2" a="1"/>
  <c r="D284" i="2" s="1"/>
  <c r="D285" i="2" a="1"/>
  <c r="D285" i="2" s="1"/>
  <c r="D286" i="2" a="1"/>
  <c r="D286" i="2" s="1"/>
  <c r="D287" i="2" a="1"/>
  <c r="D287" i="2" s="1"/>
  <c r="D288" i="2" a="1"/>
  <c r="D288" i="2" s="1"/>
  <c r="D289" i="2" a="1"/>
  <c r="D289" i="2" s="1"/>
  <c r="D290" i="2" a="1"/>
  <c r="D290" i="2" s="1"/>
  <c r="D291" i="2" a="1"/>
  <c r="D291" i="2" s="1"/>
  <c r="D292" i="2" a="1"/>
  <c r="D292" i="2" s="1"/>
  <c r="D293" i="2" a="1"/>
  <c r="D293" i="2" s="1"/>
  <c r="D294" i="2" a="1"/>
  <c r="D294" i="2" s="1"/>
  <c r="D295" i="2" a="1"/>
  <c r="D295" i="2" s="1"/>
  <c r="D296" i="2" a="1"/>
  <c r="D296" i="2" s="1"/>
  <c r="D297" i="2" a="1"/>
  <c r="D297" i="2" s="1"/>
  <c r="D298" i="2" a="1"/>
  <c r="D298" i="2" s="1"/>
  <c r="D299" i="2" a="1"/>
  <c r="D299" i="2" s="1"/>
  <c r="D300" i="2" a="1"/>
  <c r="D300" i="2" s="1"/>
  <c r="D301" i="2" a="1"/>
  <c r="D301" i="2" s="1"/>
  <c r="D302" i="2" a="1"/>
  <c r="D302" i="2" s="1"/>
  <c r="D303" i="2" a="1"/>
  <c r="D303" i="2" s="1"/>
  <c r="D304" i="2" a="1"/>
  <c r="D304" i="2" s="1"/>
  <c r="D305" i="2" a="1"/>
  <c r="D305" i="2" s="1"/>
  <c r="D306" i="2" a="1"/>
  <c r="D306" i="2" s="1"/>
  <c r="D307" i="2" a="1"/>
  <c r="D307" i="2" s="1"/>
  <c r="D308" i="2" a="1"/>
  <c r="D308" i="2" s="1"/>
  <c r="D309" i="2" a="1"/>
  <c r="D309" i="2" s="1"/>
  <c r="D310" i="2" a="1"/>
  <c r="D310" i="2" s="1"/>
  <c r="D311" i="2" a="1"/>
  <c r="D311" i="2" s="1"/>
  <c r="D312" i="2" a="1"/>
  <c r="D312" i="2" s="1"/>
  <c r="D313" i="2" a="1"/>
  <c r="D313" i="2" s="1"/>
  <c r="D314" i="2" a="1"/>
  <c r="D314" i="2" s="1"/>
  <c r="D315" i="2" a="1"/>
  <c r="D315" i="2" s="1"/>
  <c r="D316" i="2" a="1"/>
  <c r="D316" i="2" s="1"/>
  <c r="D317" i="2" a="1"/>
  <c r="D317" i="2" s="1"/>
  <c r="D318" i="2" a="1"/>
  <c r="D318" i="2" s="1"/>
  <c r="D319" i="2" a="1"/>
  <c r="D319" i="2" s="1"/>
  <c r="D320" i="2" a="1"/>
  <c r="D320" i="2" s="1"/>
  <c r="D321" i="2" a="1"/>
  <c r="D321" i="2" s="1"/>
  <c r="D322" i="2" a="1"/>
  <c r="D322" i="2" s="1"/>
  <c r="D323" i="2" a="1"/>
  <c r="D323" i="2" s="1"/>
  <c r="D324" i="2" a="1"/>
  <c r="D324" i="2" s="1"/>
  <c r="D325" i="2" a="1"/>
  <c r="D325" i="2" s="1"/>
  <c r="D326" i="2" a="1"/>
  <c r="D326" i="2" s="1"/>
  <c r="D327" i="2" a="1"/>
  <c r="D327" i="2" s="1"/>
  <c r="D328" i="2" a="1"/>
  <c r="D328" i="2" s="1"/>
  <c r="D329" i="2" a="1"/>
  <c r="D329" i="2" s="1"/>
  <c r="D330" i="2" a="1"/>
  <c r="D330" i="2" s="1"/>
  <c r="D331" i="2" a="1"/>
  <c r="D331" i="2" s="1"/>
  <c r="D332" i="2" a="1"/>
  <c r="D332" i="2" s="1"/>
  <c r="D333" i="2" a="1"/>
  <c r="D333" i="2" s="1"/>
  <c r="D334" i="2" a="1"/>
  <c r="D334" i="2" s="1"/>
  <c r="D335" i="2" a="1"/>
  <c r="D335" i="2" s="1"/>
  <c r="D336" i="2" a="1"/>
  <c r="D336" i="2" s="1"/>
  <c r="D337" i="2" a="1"/>
  <c r="D337" i="2" s="1"/>
  <c r="D338" i="2" a="1"/>
  <c r="D338" i="2" s="1"/>
  <c r="D339" i="2" a="1"/>
  <c r="D339" i="2" s="1"/>
  <c r="D340" i="2" a="1"/>
  <c r="D340" i="2" s="1"/>
  <c r="D341" i="2" a="1"/>
  <c r="D341" i="2" s="1"/>
  <c r="D342" i="2" a="1"/>
  <c r="D342" i="2" s="1"/>
  <c r="D343" i="2" a="1"/>
  <c r="D343" i="2" s="1"/>
  <c r="D344" i="2" a="1"/>
  <c r="D344" i="2" s="1"/>
  <c r="D345" i="2" a="1"/>
  <c r="D345" i="2" s="1"/>
  <c r="D346" i="2" a="1"/>
  <c r="D346" i="2" s="1"/>
  <c r="D347" i="2" a="1"/>
  <c r="D347" i="2" s="1"/>
  <c r="D348" i="2" a="1"/>
  <c r="D348" i="2" s="1"/>
  <c r="D349" i="2" a="1"/>
  <c r="D349" i="2" s="1"/>
  <c r="D350" i="2" a="1"/>
  <c r="D350" i="2" s="1"/>
  <c r="D351" i="2" a="1"/>
  <c r="D351" i="2" s="1"/>
  <c r="D352" i="2" a="1"/>
  <c r="D352" i="2" s="1"/>
  <c r="D353" i="2" a="1"/>
  <c r="D353" i="2" s="1"/>
  <c r="D354" i="2" a="1"/>
  <c r="D354" i="2" s="1"/>
  <c r="D355" i="2" a="1"/>
  <c r="D355" i="2" s="1"/>
  <c r="D356" i="2" a="1"/>
  <c r="D356" i="2" s="1"/>
  <c r="D357" i="2" a="1"/>
  <c r="D357" i="2" s="1"/>
  <c r="D358" i="2" a="1"/>
  <c r="D358" i="2" s="1"/>
  <c r="D359" i="2" a="1"/>
  <c r="D359" i="2" s="1"/>
  <c r="D360" i="2" a="1"/>
  <c r="D360" i="2" s="1"/>
  <c r="D361" i="2" a="1"/>
  <c r="D361" i="2" s="1"/>
  <c r="D362" i="2" a="1"/>
  <c r="D362" i="2" s="1"/>
  <c r="D363" i="2" a="1"/>
  <c r="D363" i="2" s="1"/>
  <c r="D364" i="2" a="1"/>
  <c r="D364" i="2" s="1"/>
  <c r="D365" i="2" a="1"/>
  <c r="D365" i="2" s="1"/>
  <c r="D366" i="2" a="1"/>
  <c r="D366" i="2" s="1"/>
  <c r="D367" i="2" a="1"/>
  <c r="D367" i="2" s="1"/>
  <c r="D368" i="2" a="1"/>
  <c r="D368" i="2" s="1"/>
  <c r="D369" i="2" a="1"/>
  <c r="D369" i="2" s="1"/>
  <c r="D370" i="2" a="1"/>
  <c r="D370" i="2" s="1"/>
  <c r="D371" i="2" a="1"/>
  <c r="D371" i="2" s="1"/>
  <c r="D372" i="2" a="1"/>
  <c r="D372" i="2" s="1"/>
  <c r="D373" i="2" a="1"/>
  <c r="D373" i="2" s="1"/>
  <c r="D374" i="2" a="1"/>
  <c r="D374" i="2" s="1"/>
  <c r="D375" i="2" a="1"/>
  <c r="D375" i="2" s="1"/>
  <c r="D376" i="2" a="1"/>
  <c r="D376" i="2" s="1"/>
  <c r="D377" i="2" a="1"/>
  <c r="D377" i="2" s="1"/>
  <c r="D378" i="2" a="1"/>
  <c r="D378" i="2" s="1"/>
  <c r="D379" i="2" a="1"/>
  <c r="D379" i="2" s="1"/>
  <c r="D380" i="2" a="1"/>
  <c r="D380" i="2" s="1"/>
  <c r="D381" i="2" a="1"/>
  <c r="D381" i="2" s="1"/>
  <c r="D382" i="2" a="1"/>
  <c r="D382" i="2" s="1"/>
  <c r="D383" i="2" a="1"/>
  <c r="D383" i="2" s="1"/>
  <c r="D384" i="2" a="1"/>
  <c r="D384" i="2" s="1"/>
  <c r="D385" i="2" a="1"/>
  <c r="D385" i="2" s="1"/>
  <c r="D386" i="2" a="1"/>
  <c r="D386" i="2" s="1"/>
  <c r="D387" i="2" a="1"/>
  <c r="D387" i="2" s="1"/>
  <c r="D388" i="2" a="1"/>
  <c r="D388" i="2" s="1"/>
  <c r="D389" i="2" a="1"/>
  <c r="D389" i="2" s="1"/>
  <c r="D390" i="2" a="1"/>
  <c r="D390" i="2" s="1"/>
  <c r="D391" i="2" a="1"/>
  <c r="D391" i="2" s="1"/>
  <c r="D392" i="2" a="1"/>
  <c r="D392" i="2" s="1"/>
  <c r="D393" i="2" a="1"/>
  <c r="D393" i="2" s="1"/>
  <c r="D394" i="2" a="1"/>
  <c r="D394" i="2" s="1"/>
  <c r="D395" i="2" a="1"/>
  <c r="D395" i="2" s="1"/>
  <c r="D396" i="2" a="1"/>
  <c r="D396" i="2" s="1"/>
  <c r="D397" i="2" a="1"/>
  <c r="D397" i="2" s="1"/>
  <c r="D398" i="2" a="1"/>
  <c r="D398" i="2" s="1"/>
  <c r="D399" i="2" a="1"/>
  <c r="D399" i="2" s="1"/>
  <c r="D400" i="2" a="1"/>
  <c r="D400" i="2" s="1"/>
  <c r="D401" i="2" a="1"/>
  <c r="D401" i="2" s="1"/>
  <c r="D402" i="2" a="1"/>
  <c r="D402" i="2" s="1"/>
  <c r="D403" i="2" a="1"/>
  <c r="D403" i="2" s="1"/>
  <c r="D404" i="2" a="1"/>
  <c r="D404" i="2" s="1"/>
  <c r="D405" i="2" a="1"/>
  <c r="D405" i="2" s="1"/>
  <c r="D406" i="2" a="1"/>
  <c r="D406" i="2" s="1"/>
  <c r="D407" i="2" a="1"/>
  <c r="D407" i="2" s="1"/>
  <c r="D408" i="2" a="1"/>
  <c r="D408" i="2" s="1"/>
  <c r="D409" i="2" a="1"/>
  <c r="D409" i="2" s="1"/>
  <c r="D410" i="2" a="1"/>
  <c r="D410" i="2" s="1"/>
  <c r="D411" i="2" a="1"/>
  <c r="D411" i="2" s="1"/>
  <c r="D412" i="2" a="1"/>
  <c r="D412" i="2" s="1"/>
  <c r="D413" i="2" a="1"/>
  <c r="D413" i="2" s="1"/>
  <c r="D414" i="2" a="1"/>
  <c r="D414" i="2" s="1"/>
  <c r="D415" i="2" a="1"/>
  <c r="D415" i="2" s="1"/>
  <c r="D416" i="2" a="1"/>
  <c r="D416" i="2" s="1"/>
  <c r="D417" i="2" a="1"/>
  <c r="D417" i="2" s="1"/>
  <c r="D418" i="2" a="1"/>
  <c r="D418" i="2" s="1"/>
  <c r="D419" i="2" a="1"/>
  <c r="D419" i="2" s="1"/>
  <c r="D420" i="2" a="1"/>
  <c r="D420" i="2" s="1"/>
  <c r="D421" i="2" a="1"/>
  <c r="D421" i="2" s="1"/>
  <c r="D422" i="2" a="1"/>
  <c r="D422" i="2" s="1"/>
  <c r="D423" i="2" a="1"/>
  <c r="D423" i="2" s="1"/>
  <c r="D424" i="2" a="1"/>
  <c r="D424" i="2" s="1"/>
  <c r="D425" i="2" a="1"/>
  <c r="D425" i="2" s="1"/>
  <c r="D426" i="2" a="1"/>
  <c r="D426" i="2" s="1"/>
  <c r="D427" i="2" a="1"/>
  <c r="D427" i="2" s="1"/>
  <c r="D428" i="2" a="1"/>
  <c r="D428" i="2" s="1"/>
  <c r="D429" i="2" a="1"/>
  <c r="D429" i="2" s="1"/>
  <c r="D430" i="2" a="1"/>
  <c r="D430" i="2" s="1"/>
  <c r="D431" i="2" a="1"/>
  <c r="D431" i="2" s="1"/>
  <c r="D432" i="2" a="1"/>
  <c r="D432" i="2" s="1"/>
  <c r="D433" i="2" a="1"/>
  <c r="D433" i="2" s="1"/>
  <c r="D434" i="2" a="1"/>
  <c r="D434" i="2" s="1"/>
  <c r="D435" i="2" a="1"/>
  <c r="D435" i="2" s="1"/>
  <c r="D436" i="2" a="1"/>
  <c r="D436" i="2" s="1"/>
  <c r="D437" i="2" a="1"/>
  <c r="D437" i="2" s="1"/>
  <c r="D438" i="2" a="1"/>
  <c r="D438" i="2" s="1"/>
  <c r="D439" i="2" a="1"/>
  <c r="D439" i="2" s="1"/>
  <c r="D440" i="2" a="1"/>
  <c r="D440" i="2" s="1"/>
  <c r="D441" i="2" a="1"/>
  <c r="D441" i="2" s="1"/>
  <c r="D442" i="2" a="1"/>
  <c r="D442" i="2" s="1"/>
  <c r="D443" i="2" a="1"/>
  <c r="D443" i="2" s="1"/>
  <c r="D444" i="2" a="1"/>
  <c r="D444" i="2" s="1"/>
  <c r="D445" i="2" a="1"/>
  <c r="D445" i="2" s="1"/>
  <c r="D446" i="2" a="1"/>
  <c r="D446" i="2" s="1"/>
  <c r="D447" i="2" a="1"/>
  <c r="D447" i="2" s="1"/>
  <c r="D448" i="2" a="1"/>
  <c r="D448" i="2" s="1"/>
  <c r="D449" i="2" a="1"/>
  <c r="D449" i="2" s="1"/>
  <c r="D450" i="2" a="1"/>
  <c r="D450" i="2" s="1"/>
  <c r="D451" i="2" a="1"/>
  <c r="D451" i="2" s="1"/>
  <c r="D452" i="2" a="1"/>
  <c r="D452" i="2" s="1"/>
  <c r="D453" i="2" a="1"/>
  <c r="D453" i="2" s="1"/>
  <c r="D454" i="2" a="1"/>
  <c r="D454" i="2" s="1"/>
  <c r="D455" i="2" a="1"/>
  <c r="D455" i="2" s="1"/>
  <c r="D456" i="2" a="1"/>
  <c r="D456" i="2" s="1"/>
  <c r="D457" i="2" a="1"/>
  <c r="D457" i="2" s="1"/>
  <c r="D458" i="2" a="1"/>
  <c r="D458" i="2" s="1"/>
  <c r="D459" i="2" a="1"/>
  <c r="D459" i="2" s="1"/>
  <c r="D460" i="2" a="1"/>
  <c r="D460" i="2" s="1"/>
  <c r="D461" i="2" a="1"/>
  <c r="D461" i="2" s="1"/>
  <c r="D462" i="2" a="1"/>
  <c r="D462" i="2" s="1"/>
  <c r="D463" i="2" a="1"/>
  <c r="D463" i="2" s="1"/>
  <c r="D464" i="2" a="1"/>
  <c r="D464" i="2" s="1"/>
  <c r="D465" i="2" a="1"/>
  <c r="D465" i="2" s="1"/>
  <c r="D466" i="2" a="1"/>
  <c r="D466" i="2" s="1"/>
  <c r="D467" i="2" a="1"/>
  <c r="D467" i="2" s="1"/>
  <c r="D468" i="2" a="1"/>
  <c r="D468" i="2" s="1"/>
  <c r="D469" i="2" a="1"/>
  <c r="D469" i="2" s="1"/>
  <c r="D470" i="2" a="1"/>
  <c r="D470" i="2" s="1"/>
  <c r="D471" i="2" a="1"/>
  <c r="D471" i="2" s="1"/>
  <c r="D472" i="2" a="1"/>
  <c r="D472" i="2" s="1"/>
  <c r="D473" i="2" a="1"/>
  <c r="D473" i="2" s="1"/>
  <c r="D474" i="2" a="1"/>
  <c r="D474" i="2" s="1"/>
  <c r="D475" i="2" a="1"/>
  <c r="D475" i="2" s="1"/>
  <c r="D476" i="2" a="1"/>
  <c r="D476" i="2" s="1"/>
  <c r="D477" i="2" a="1"/>
  <c r="D477" i="2" s="1"/>
  <c r="D478" i="2" a="1"/>
  <c r="D478" i="2" s="1"/>
  <c r="D479" i="2" a="1"/>
  <c r="D479" i="2" s="1"/>
  <c r="D480" i="2" a="1"/>
  <c r="D480" i="2" s="1"/>
  <c r="D481" i="2" a="1"/>
  <c r="D481" i="2" s="1"/>
  <c r="D482" i="2" a="1"/>
  <c r="D482" i="2" s="1"/>
  <c r="D483" i="2" a="1"/>
  <c r="D483" i="2" s="1"/>
  <c r="D484" i="2" a="1"/>
  <c r="D484" i="2" s="1"/>
  <c r="D485" i="2" a="1"/>
  <c r="D485" i="2" s="1"/>
  <c r="D486" i="2" a="1"/>
  <c r="D486" i="2" s="1"/>
  <c r="D487" i="2" a="1"/>
  <c r="D487" i="2" s="1"/>
  <c r="D488" i="2" a="1"/>
  <c r="D488" i="2" s="1"/>
  <c r="D489" i="2" a="1"/>
  <c r="D489" i="2" s="1"/>
  <c r="D490" i="2" a="1"/>
  <c r="D490" i="2" s="1"/>
  <c r="D491" i="2" a="1"/>
  <c r="D491" i="2" s="1"/>
  <c r="D492" i="2" a="1"/>
  <c r="D492" i="2" s="1"/>
  <c r="D493" i="2" a="1"/>
  <c r="D493" i="2" s="1"/>
  <c r="D494" i="2" a="1"/>
  <c r="D494" i="2" s="1"/>
  <c r="D495" i="2" a="1"/>
  <c r="D495" i="2" s="1"/>
  <c r="D496" i="2" a="1"/>
  <c r="D496" i="2" s="1"/>
  <c r="D497" i="2" a="1"/>
  <c r="D497" i="2" s="1"/>
  <c r="D498" i="2" a="1"/>
  <c r="D498" i="2" s="1"/>
  <c r="D499" i="2" a="1"/>
  <c r="D499" i="2" s="1"/>
  <c r="D500" i="2" a="1"/>
  <c r="D500" i="2" s="1"/>
  <c r="D501" i="2" a="1"/>
  <c r="D501" i="2" s="1"/>
  <c r="D502" i="2" a="1"/>
  <c r="D502" i="2" s="1"/>
  <c r="D503" i="2" a="1"/>
  <c r="D503" i="2" s="1"/>
  <c r="D504" i="2" a="1"/>
  <c r="D504" i="2" s="1"/>
  <c r="D505" i="2" a="1"/>
  <c r="D505" i="2" s="1"/>
  <c r="D506" i="2" a="1"/>
  <c r="D506" i="2" s="1"/>
  <c r="D507" i="2" a="1"/>
  <c r="D507" i="2" s="1"/>
  <c r="D508" i="2" a="1"/>
  <c r="D508" i="2" s="1"/>
  <c r="D509" i="2" a="1"/>
  <c r="D509" i="2" s="1"/>
  <c r="D510" i="2" a="1"/>
  <c r="D510" i="2" s="1"/>
  <c r="D511" i="2" a="1"/>
  <c r="D511" i="2" s="1"/>
  <c r="D512" i="2" a="1"/>
  <c r="D512" i="2" s="1"/>
  <c r="D513" i="2" a="1"/>
  <c r="D513" i="2" s="1"/>
  <c r="D514" i="2" a="1"/>
  <c r="D514" i="2" s="1"/>
  <c r="D515" i="2" a="1"/>
  <c r="D515" i="2" s="1"/>
  <c r="D516" i="2" a="1"/>
  <c r="D516" i="2" s="1"/>
  <c r="D517" i="2" a="1"/>
  <c r="D517" i="2" s="1"/>
  <c r="D518" i="2" a="1"/>
  <c r="D518" i="2" s="1"/>
  <c r="D519" i="2" a="1"/>
  <c r="D519" i="2" s="1"/>
  <c r="D520" i="2" a="1"/>
  <c r="D520" i="2" s="1"/>
  <c r="D521" i="2" a="1"/>
  <c r="D521" i="2" s="1"/>
  <c r="D522" i="2" a="1"/>
  <c r="D522" i="2" s="1"/>
  <c r="D523" i="2" a="1"/>
  <c r="D523" i="2" s="1"/>
  <c r="D524" i="2" a="1"/>
  <c r="D524" i="2" s="1"/>
  <c r="D525" i="2" a="1"/>
  <c r="D525" i="2" s="1"/>
  <c r="D526" i="2" a="1"/>
  <c r="D526" i="2" s="1"/>
  <c r="D527" i="2" a="1"/>
  <c r="D527" i="2" s="1"/>
  <c r="D528" i="2" a="1"/>
  <c r="D528" i="2" s="1"/>
  <c r="D529" i="2" a="1"/>
  <c r="D529" i="2" s="1"/>
  <c r="D530" i="2" a="1"/>
  <c r="D530" i="2" s="1"/>
  <c r="D531" i="2" a="1"/>
  <c r="D531" i="2" s="1"/>
  <c r="D532" i="2" a="1"/>
  <c r="D532" i="2" s="1"/>
  <c r="D533" i="2" a="1"/>
  <c r="D533" i="2" s="1"/>
  <c r="D534" i="2" a="1"/>
  <c r="D534" i="2" s="1"/>
  <c r="D535" i="2" a="1"/>
  <c r="D535" i="2" s="1"/>
  <c r="D536" i="2" a="1"/>
  <c r="D536" i="2" s="1"/>
  <c r="D537" i="2" a="1"/>
  <c r="D537" i="2" s="1"/>
  <c r="D538" i="2" a="1"/>
  <c r="D538" i="2" s="1"/>
  <c r="D539" i="2" a="1"/>
  <c r="D539" i="2" s="1"/>
  <c r="D540" i="2" a="1"/>
  <c r="D540" i="2" s="1"/>
  <c r="D541" i="2" a="1"/>
  <c r="D541" i="2" s="1"/>
  <c r="D542" i="2" a="1"/>
  <c r="D542" i="2" s="1"/>
  <c r="D543" i="2" a="1"/>
  <c r="D543" i="2" s="1"/>
  <c r="D544" i="2" a="1"/>
  <c r="D544" i="2" s="1"/>
  <c r="D545" i="2" a="1"/>
  <c r="D545" i="2" s="1"/>
  <c r="D546" i="2" a="1"/>
  <c r="D546" i="2" s="1"/>
  <c r="D547" i="2" a="1"/>
  <c r="D547" i="2" s="1"/>
  <c r="D548" i="2" a="1"/>
  <c r="D548" i="2" s="1"/>
  <c r="D549" i="2" a="1"/>
  <c r="D549" i="2" s="1"/>
  <c r="D550" i="2" a="1"/>
  <c r="D550" i="2" s="1"/>
  <c r="D551" i="2" a="1"/>
  <c r="D551" i="2"/>
  <c r="D552" i="2" a="1"/>
  <c r="D552" i="2"/>
  <c r="D553" i="2" a="1"/>
  <c r="D553" i="2"/>
  <c r="D554" i="2" a="1"/>
  <c r="D554" i="2" s="1"/>
  <c r="D555" i="2" a="1"/>
  <c r="D555" i="2" s="1"/>
  <c r="D556" i="2" a="1"/>
  <c r="D556" i="2" s="1"/>
  <c r="D557" i="2" a="1"/>
  <c r="D557" i="2" s="1"/>
  <c r="D558" i="2" a="1"/>
  <c r="D558" i="2" s="1"/>
  <c r="D559" i="2" a="1"/>
  <c r="D559" i="2" s="1"/>
  <c r="D560" i="2" a="1"/>
  <c r="D560" i="2" s="1"/>
  <c r="D561" i="2" a="1"/>
  <c r="D561" i="2" s="1"/>
  <c r="D562" i="2" a="1"/>
  <c r="D562" i="2" s="1"/>
  <c r="D563" i="2" a="1"/>
  <c r="D563" i="2" s="1"/>
  <c r="D564" i="2" a="1"/>
  <c r="D564" i="2" s="1"/>
  <c r="D565" i="2" a="1"/>
  <c r="D565" i="2" s="1"/>
  <c r="D566" i="2" a="1"/>
  <c r="D566" i="2" s="1"/>
  <c r="D567" i="2" a="1"/>
  <c r="D567" i="2" s="1"/>
  <c r="D568" i="2" a="1"/>
  <c r="D568" i="2" s="1"/>
  <c r="D569" i="2" a="1"/>
  <c r="D569" i="2" s="1"/>
  <c r="D570" i="2" a="1"/>
  <c r="D570" i="2" s="1"/>
  <c r="D571" i="2" a="1"/>
  <c r="D571" i="2" s="1"/>
  <c r="D572" i="2" a="1"/>
  <c r="D572" i="2" s="1"/>
  <c r="D573" i="2" a="1"/>
  <c r="D573" i="2" s="1"/>
  <c r="D574" i="2" a="1"/>
  <c r="D574" i="2" s="1"/>
  <c r="D575" i="2" a="1"/>
  <c r="D575" i="2" s="1"/>
  <c r="D576" i="2" a="1"/>
  <c r="D576" i="2" s="1"/>
  <c r="D577" i="2" a="1"/>
  <c r="D577" i="2" s="1"/>
  <c r="D578" i="2" a="1"/>
  <c r="D578" i="2" s="1"/>
  <c r="D579" i="2" a="1"/>
  <c r="D579" i="2" s="1"/>
  <c r="D580" i="2" a="1"/>
  <c r="D580" i="2" s="1"/>
  <c r="D581" i="2" a="1"/>
  <c r="D581" i="2" s="1"/>
  <c r="D582" i="2" a="1"/>
  <c r="D582" i="2" s="1"/>
  <c r="D583" i="2" a="1"/>
  <c r="D583" i="2" s="1"/>
  <c r="D584" i="2" a="1"/>
  <c r="D584" i="2" s="1"/>
  <c r="D585" i="2" a="1"/>
  <c r="D585" i="2" s="1"/>
  <c r="D586" i="2" a="1"/>
  <c r="D586" i="2" s="1"/>
  <c r="D587" i="2" a="1"/>
  <c r="D587" i="2" s="1"/>
  <c r="D588" i="2" a="1"/>
  <c r="D588" i="2" s="1"/>
  <c r="D589" i="2" a="1"/>
  <c r="D589" i="2" s="1"/>
  <c r="D590" i="2" a="1"/>
  <c r="D590" i="2" s="1"/>
  <c r="D591" i="2" a="1"/>
  <c r="D591" i="2" s="1"/>
  <c r="D592" i="2" a="1"/>
  <c r="D592" i="2" s="1"/>
  <c r="D593" i="2" a="1"/>
  <c r="D593" i="2"/>
  <c r="D594" i="2" a="1"/>
  <c r="D594" i="2" s="1"/>
  <c r="D595" i="2" a="1"/>
  <c r="D595" i="2" s="1"/>
  <c r="D596" i="2" a="1"/>
  <c r="D596" i="2" s="1"/>
  <c r="D597" i="2" a="1"/>
  <c r="D597" i="2" s="1"/>
  <c r="D598" i="2" a="1"/>
  <c r="D598" i="2" s="1"/>
  <c r="D599" i="2" a="1"/>
  <c r="D599" i="2" s="1"/>
  <c r="D600" i="2" a="1"/>
  <c r="D600" i="2" s="1"/>
  <c r="D601" i="2" a="1"/>
  <c r="D601" i="2" s="1"/>
  <c r="D602" i="2" a="1"/>
  <c r="D602" i="2" s="1"/>
  <c r="D603" i="2" a="1"/>
  <c r="D603" i="2" s="1"/>
  <c r="D604" i="2" a="1"/>
  <c r="D604" i="2" s="1"/>
  <c r="D605" i="2" a="1"/>
  <c r="D605" i="2" s="1"/>
  <c r="D606" i="2" a="1"/>
  <c r="D606" i="2" s="1"/>
  <c r="D607" i="2" a="1"/>
  <c r="D607" i="2" s="1"/>
  <c r="D608" i="2" a="1"/>
  <c r="D608" i="2" s="1"/>
  <c r="D609" i="2" a="1"/>
  <c r="D609" i="2" s="1"/>
  <c r="D610" i="2" a="1"/>
  <c r="D610" i="2" s="1"/>
  <c r="D611" i="2" a="1"/>
  <c r="D611" i="2" s="1"/>
  <c r="D612" i="2" a="1"/>
  <c r="D612" i="2" s="1"/>
  <c r="D613" i="2" a="1"/>
  <c r="D613" i="2" s="1"/>
  <c r="D614" i="2" a="1"/>
  <c r="D614" i="2" s="1"/>
  <c r="D615" i="2" a="1"/>
  <c r="D615" i="2" s="1"/>
  <c r="D616" i="2" a="1"/>
  <c r="D616" i="2"/>
  <c r="D617" i="2" a="1"/>
  <c r="D617" i="2"/>
  <c r="D618" i="2" a="1"/>
  <c r="D618" i="2" s="1"/>
  <c r="D619" i="2" a="1"/>
  <c r="D619" i="2" s="1"/>
  <c r="D620" i="2" a="1"/>
  <c r="D620" i="2" s="1"/>
  <c r="D621" i="2" a="1"/>
  <c r="D621" i="2" s="1"/>
  <c r="D622" i="2" a="1"/>
  <c r="D622" i="2" s="1"/>
  <c r="D623" i="2" a="1"/>
  <c r="D623" i="2" s="1"/>
  <c r="D624" i="2" a="1"/>
  <c r="D624" i="2"/>
  <c r="D625" i="2" a="1"/>
  <c r="D625" i="2" s="1"/>
  <c r="D626" i="2" a="1"/>
  <c r="D626" i="2" s="1"/>
  <c r="D627" i="2" a="1"/>
  <c r="D627" i="2" s="1"/>
  <c r="D628" i="2" a="1"/>
  <c r="D628" i="2" s="1"/>
  <c r="D629" i="2" a="1"/>
  <c r="D629" i="2" s="1"/>
  <c r="D630" i="2" a="1"/>
  <c r="D630" i="2" s="1"/>
  <c r="D631" i="2" a="1"/>
  <c r="D631" i="2" s="1"/>
  <c r="D632" i="2" a="1"/>
  <c r="D632" i="2" s="1"/>
  <c r="D633" i="2" a="1"/>
  <c r="D633" i="2" s="1"/>
  <c r="D634" i="2" a="1"/>
  <c r="D634" i="2" s="1"/>
  <c r="D635" i="2" a="1"/>
  <c r="D635" i="2" s="1"/>
  <c r="D636" i="2" a="1"/>
  <c r="D636" i="2" s="1"/>
  <c r="D637" i="2" a="1"/>
  <c r="D637" i="2" s="1"/>
  <c r="D638" i="2" a="1"/>
  <c r="D638" i="2" s="1"/>
  <c r="D639" i="2" a="1"/>
  <c r="D639" i="2" s="1"/>
  <c r="D640" i="2" a="1"/>
  <c r="D640" i="2" s="1"/>
  <c r="D641" i="2" a="1"/>
  <c r="D641" i="2" s="1"/>
  <c r="D642" i="2" a="1"/>
  <c r="D642" i="2" s="1"/>
  <c r="D643" i="2" a="1"/>
  <c r="D643" i="2" s="1"/>
  <c r="D644" i="2" a="1"/>
  <c r="D644" i="2" s="1"/>
  <c r="D645" i="2" a="1"/>
  <c r="D645" i="2" s="1"/>
  <c r="D646" i="2" a="1"/>
  <c r="D646" i="2" s="1"/>
  <c r="D647" i="2" a="1"/>
  <c r="D647" i="2" s="1"/>
  <c r="D648" i="2" a="1"/>
  <c r="D648" i="2" s="1"/>
  <c r="D649" i="2" a="1"/>
  <c r="D649" i="2" s="1"/>
  <c r="D650" i="2" a="1"/>
  <c r="D650" i="2" s="1"/>
  <c r="D651" i="2" a="1"/>
  <c r="D651" i="2" s="1"/>
  <c r="D652" i="2" a="1"/>
  <c r="D652" i="2" s="1"/>
  <c r="D653" i="2" a="1"/>
  <c r="D653" i="2" s="1"/>
  <c r="D654" i="2" a="1"/>
  <c r="D654" i="2" s="1"/>
  <c r="D655" i="2" a="1"/>
  <c r="D655" i="2" s="1"/>
  <c r="D656" i="2" a="1"/>
  <c r="D656" i="2" s="1"/>
  <c r="D657" i="2" a="1"/>
  <c r="D657" i="2" s="1"/>
  <c r="D658" i="2" a="1"/>
  <c r="D658" i="2" s="1"/>
  <c r="D659" i="2" a="1"/>
  <c r="D659" i="2" s="1"/>
  <c r="D660" i="2" a="1"/>
  <c r="D660" i="2" s="1"/>
  <c r="D661" i="2" a="1"/>
  <c r="D661" i="2" s="1"/>
  <c r="D662" i="2" a="1"/>
  <c r="D662" i="2" s="1"/>
  <c r="D663" i="2" a="1"/>
  <c r="D663" i="2" s="1"/>
  <c r="D664" i="2" a="1"/>
  <c r="D664" i="2" s="1"/>
  <c r="D665" i="2" a="1"/>
  <c r="D665" i="2"/>
  <c r="D666" i="2" a="1"/>
  <c r="D666" i="2" s="1"/>
  <c r="D667" i="2" a="1"/>
  <c r="D667" i="2" s="1"/>
  <c r="D668" i="2" a="1"/>
  <c r="D668" i="2" s="1"/>
  <c r="D669" i="2" a="1"/>
  <c r="D669" i="2" s="1"/>
  <c r="D670" i="2" a="1"/>
  <c r="D670" i="2" s="1"/>
  <c r="D671" i="2" a="1"/>
  <c r="D671" i="2"/>
  <c r="D672" i="2" a="1"/>
  <c r="D672" i="2" s="1"/>
  <c r="D673" i="2" a="1"/>
  <c r="D673" i="2" s="1"/>
  <c r="D674" i="2" a="1"/>
  <c r="D674" i="2" s="1"/>
  <c r="D675" i="2" a="1"/>
  <c r="D675" i="2" s="1"/>
  <c r="D676" i="2" a="1"/>
  <c r="D676" i="2" s="1"/>
  <c r="D677" i="2" a="1"/>
  <c r="D677" i="2" s="1"/>
  <c r="D678" i="2" a="1"/>
  <c r="D678" i="2" s="1"/>
  <c r="D679" i="2" a="1"/>
  <c r="D679" i="2" s="1"/>
  <c r="D680" i="2" a="1"/>
  <c r="D680" i="2"/>
  <c r="D681" i="2" a="1"/>
  <c r="D681" i="2" s="1"/>
  <c r="D682" i="2" a="1"/>
  <c r="D682" i="2" s="1"/>
  <c r="D683" i="2" a="1"/>
  <c r="D683" i="2" s="1"/>
  <c r="D684" i="2" a="1"/>
  <c r="D684" i="2" s="1"/>
  <c r="D685" i="2" a="1"/>
  <c r="D685" i="2" s="1"/>
  <c r="D686" i="2" a="1"/>
  <c r="D686" i="2" s="1"/>
  <c r="D687" i="2" a="1"/>
  <c r="D687" i="2" s="1"/>
  <c r="D688" i="2" a="1"/>
  <c r="D688" i="2" s="1"/>
  <c r="D689" i="2" a="1"/>
  <c r="D689" i="2" s="1"/>
  <c r="D690" i="2" a="1"/>
  <c r="D690" i="2" s="1"/>
  <c r="D691" i="2" a="1"/>
  <c r="D691" i="2"/>
  <c r="D692" i="2" a="1"/>
  <c r="D692" i="2" s="1"/>
  <c r="D693" i="2" a="1"/>
  <c r="D693" i="2" s="1"/>
  <c r="D694" i="2" a="1"/>
  <c r="D694" i="2" s="1"/>
  <c r="D695" i="2" a="1"/>
  <c r="D695" i="2" s="1"/>
  <c r="D696" i="2" a="1"/>
  <c r="D696" i="2" s="1"/>
  <c r="D697" i="2" a="1"/>
  <c r="D697" i="2" s="1"/>
  <c r="D698" i="2" a="1"/>
  <c r="D698" i="2"/>
  <c r="D699" i="2" a="1"/>
  <c r="D699" i="2" s="1"/>
  <c r="D700" i="2" a="1"/>
  <c r="D700" i="2"/>
  <c r="D701" i="2" a="1"/>
  <c r="D701" i="2" s="1"/>
  <c r="D702" i="2" a="1"/>
  <c r="D702" i="2" s="1"/>
  <c r="D703" i="2" a="1"/>
  <c r="D703" i="2" s="1"/>
  <c r="D704" i="2" a="1"/>
  <c r="D704" i="2" s="1"/>
  <c r="D705" i="2" a="1"/>
  <c r="D705" i="2" s="1"/>
  <c r="D706" i="2" a="1"/>
  <c r="D706" i="2" s="1"/>
  <c r="D707" i="2" a="1"/>
  <c r="D707" i="2"/>
  <c r="D708" i="2" a="1"/>
  <c r="D708" i="2" s="1"/>
  <c r="D709" i="2" a="1"/>
  <c r="D709" i="2"/>
  <c r="D710" i="2" a="1"/>
  <c r="D710" i="2" s="1"/>
  <c r="D711" i="2" a="1"/>
  <c r="D711" i="2" s="1"/>
  <c r="D712" i="2" a="1"/>
  <c r="D712" i="2" s="1"/>
  <c r="D713" i="2" a="1"/>
  <c r="D713" i="2" s="1"/>
  <c r="D714" i="2" a="1"/>
  <c r="D714" i="2" s="1"/>
  <c r="D715" i="2" a="1"/>
  <c r="D715" i="2"/>
  <c r="D716" i="2" a="1"/>
  <c r="D716" i="2" s="1"/>
  <c r="D717" i="2" a="1"/>
  <c r="D717" i="2" s="1"/>
  <c r="D718" i="2" a="1"/>
  <c r="D718" i="2" s="1"/>
  <c r="D719" i="2" a="1"/>
  <c r="D719" i="2" s="1"/>
  <c r="D720" i="2" a="1"/>
  <c r="D720" i="2" s="1"/>
  <c r="D721" i="2" a="1"/>
  <c r="D721" i="2" s="1"/>
  <c r="D722" i="2" a="1"/>
  <c r="D722" i="2" s="1"/>
  <c r="D723" i="2" a="1"/>
  <c r="D723" i="2" s="1"/>
  <c r="D724" i="2" a="1"/>
  <c r="D724" i="2" s="1"/>
  <c r="D725" i="2" a="1"/>
  <c r="D725" i="2"/>
  <c r="D726" i="2" a="1"/>
  <c r="D726" i="2" s="1"/>
  <c r="D727" i="2" a="1"/>
  <c r="D727" i="2" s="1"/>
  <c r="D728" i="2" a="1"/>
  <c r="D728" i="2" s="1"/>
  <c r="D729" i="2" a="1"/>
  <c r="D729" i="2" s="1"/>
  <c r="D730" i="2" a="1"/>
  <c r="D730" i="2" s="1"/>
  <c r="D731" i="2" a="1"/>
  <c r="D731" i="2"/>
  <c r="D732" i="2" a="1"/>
  <c r="D732" i="2" s="1"/>
  <c r="D733" i="2" a="1"/>
  <c r="D733" i="2" s="1"/>
  <c r="D734" i="2" a="1"/>
  <c r="D734" i="2" s="1"/>
  <c r="D735" i="2" a="1"/>
  <c r="D735" i="2" s="1"/>
  <c r="D736" i="2" a="1"/>
  <c r="D736" i="2" s="1"/>
  <c r="D737" i="2" a="1"/>
  <c r="D737" i="2" s="1"/>
  <c r="D738" i="2" a="1"/>
  <c r="D738" i="2" s="1"/>
  <c r="D739" i="2" a="1"/>
  <c r="D739" i="2" s="1"/>
  <c r="D740" i="2" a="1"/>
  <c r="D740" i="2" s="1"/>
  <c r="D741" i="2" a="1"/>
  <c r="D741" i="2" s="1"/>
  <c r="D742" i="2" a="1"/>
  <c r="D742" i="2" s="1"/>
  <c r="D743" i="2" a="1"/>
  <c r="D743" i="2" s="1"/>
  <c r="D744" i="2" a="1"/>
  <c r="D744" i="2" s="1"/>
  <c r="D745" i="2" a="1"/>
  <c r="D745" i="2" s="1"/>
  <c r="D746" i="2" a="1"/>
  <c r="D746" i="2" s="1"/>
  <c r="D747" i="2" a="1"/>
  <c r="D747" i="2" s="1"/>
  <c r="D748" i="2" a="1"/>
  <c r="D748" i="2" s="1"/>
  <c r="D749" i="2" a="1"/>
  <c r="D749" i="2" s="1"/>
  <c r="D750" i="2" a="1"/>
  <c r="D750" i="2" s="1"/>
  <c r="D751" i="2" a="1"/>
  <c r="D751" i="2" s="1"/>
  <c r="D752" i="2" a="1"/>
  <c r="D752" i="2" s="1"/>
  <c r="D753" i="2" a="1"/>
  <c r="D753" i="2" s="1"/>
  <c r="D754" i="2" a="1"/>
  <c r="D754" i="2" s="1"/>
  <c r="D755" i="2" a="1"/>
  <c r="D755" i="2" s="1"/>
  <c r="D756" i="2" a="1"/>
  <c r="D756" i="2" s="1"/>
  <c r="D757" i="2" a="1"/>
  <c r="D757" i="2" s="1"/>
  <c r="D758" i="2" a="1"/>
  <c r="D758" i="2" s="1"/>
  <c r="D759" i="2" a="1"/>
  <c r="D759" i="2" s="1"/>
  <c r="D760" i="2" a="1"/>
  <c r="D760" i="2"/>
  <c r="D761" i="2" a="1"/>
  <c r="D761" i="2" s="1"/>
  <c r="D762" i="2" a="1"/>
  <c r="D762" i="2" s="1"/>
  <c r="D763" i="2" a="1"/>
  <c r="D763" i="2" s="1"/>
  <c r="D764" i="2" a="1"/>
  <c r="D764" i="2" s="1"/>
  <c r="D765" i="2" a="1"/>
  <c r="D765" i="2" s="1"/>
  <c r="D766" i="2" a="1"/>
  <c r="D766" i="2" s="1"/>
  <c r="D767" i="2" a="1"/>
  <c r="D767" i="2" s="1"/>
  <c r="D768" i="2" a="1"/>
  <c r="D768" i="2" s="1"/>
  <c r="D769" i="2" a="1"/>
  <c r="D769" i="2" s="1"/>
  <c r="D770" i="2" a="1"/>
  <c r="D770" i="2" s="1"/>
  <c r="D771" i="2" a="1"/>
  <c r="D771" i="2" s="1"/>
  <c r="D772" i="2" a="1"/>
  <c r="D772" i="2" s="1"/>
  <c r="D773" i="2" a="1"/>
  <c r="D773" i="2"/>
  <c r="D774" i="2" a="1"/>
  <c r="D774" i="2" s="1"/>
  <c r="D775" i="2" a="1"/>
  <c r="D775" i="2" s="1"/>
  <c r="D776" i="2" a="1"/>
  <c r="D776" i="2" s="1"/>
  <c r="D777" i="2" a="1"/>
  <c r="D777" i="2"/>
  <c r="D778" i="2" a="1"/>
  <c r="D778" i="2" s="1"/>
  <c r="D779" i="2" a="1"/>
  <c r="D779" i="2" s="1"/>
  <c r="D780" i="2" a="1"/>
  <c r="D780" i="2" s="1"/>
  <c r="D781" i="2" a="1"/>
  <c r="D781" i="2" s="1"/>
  <c r="D782" i="2" a="1"/>
  <c r="D782" i="2" s="1"/>
  <c r="D783" i="2" a="1"/>
  <c r="D783" i="2" s="1"/>
  <c r="D784" i="2" a="1"/>
  <c r="D784" i="2" s="1"/>
  <c r="D785" i="2" a="1"/>
  <c r="D785" i="2" s="1"/>
  <c r="D786" i="2" a="1"/>
  <c r="D786" i="2" s="1"/>
  <c r="D787" i="2" a="1"/>
  <c r="D787" i="2" s="1"/>
  <c r="D788" i="2" a="1"/>
  <c r="D788" i="2" s="1"/>
  <c r="D789" i="2" a="1"/>
  <c r="D789" i="2" s="1"/>
  <c r="D790" i="2" a="1"/>
  <c r="D790" i="2" s="1"/>
  <c r="D791" i="2" a="1"/>
  <c r="D791" i="2" s="1"/>
  <c r="D792" i="2" a="1"/>
  <c r="D792" i="2" s="1"/>
  <c r="D793" i="2" a="1"/>
  <c r="D793" i="2"/>
  <c r="D794" i="2" a="1"/>
  <c r="D794" i="2" s="1"/>
  <c r="D795" i="2" a="1"/>
  <c r="D795" i="2" s="1"/>
  <c r="D796" i="2" a="1"/>
  <c r="D796" i="2" s="1"/>
  <c r="D797" i="2" a="1"/>
  <c r="D797" i="2" s="1"/>
  <c r="D798" i="2" a="1"/>
  <c r="D798" i="2" s="1"/>
  <c r="D799" i="2" a="1"/>
  <c r="D799" i="2" s="1"/>
  <c r="D800" i="2" a="1"/>
  <c r="D800" i="2" s="1"/>
  <c r="D801" i="2" a="1"/>
  <c r="D801" i="2" s="1"/>
  <c r="D802" i="2" a="1"/>
  <c r="D802" i="2" s="1"/>
  <c r="D803" i="2" a="1"/>
  <c r="D803" i="2" s="1"/>
  <c r="D804" i="2" a="1"/>
  <c r="D804" i="2" s="1"/>
  <c r="D805" i="2" a="1"/>
  <c r="D805" i="2"/>
  <c r="D806" i="2" a="1"/>
  <c r="D806" i="2"/>
  <c r="D807" i="2" a="1"/>
  <c r="D807" i="2"/>
  <c r="D808" i="2" a="1"/>
  <c r="D808" i="2"/>
  <c r="D809" i="2" a="1"/>
  <c r="D809" i="2"/>
  <c r="D810" i="2" a="1"/>
  <c r="D810" i="2"/>
  <c r="D811" i="2" a="1"/>
  <c r="D811" i="2" s="1"/>
  <c r="D812" i="2" a="1"/>
  <c r="D812" i="2" s="1"/>
  <c r="D813" i="2" a="1"/>
  <c r="D813" i="2" s="1"/>
  <c r="D814" i="2" a="1"/>
  <c r="D814" i="2" s="1"/>
  <c r="D815" i="2" a="1"/>
  <c r="D815" i="2" s="1"/>
  <c r="D816" i="2" a="1"/>
  <c r="D816" i="2" s="1"/>
  <c r="D817" i="2" a="1"/>
  <c r="D817" i="2" s="1"/>
  <c r="D818" i="2" a="1"/>
  <c r="D818" i="2" s="1"/>
  <c r="D819" i="2" a="1"/>
  <c r="D819" i="2" s="1"/>
  <c r="D820" i="2" a="1"/>
  <c r="D820" i="2" s="1"/>
  <c r="D821" i="2" a="1"/>
  <c r="D821" i="2" s="1"/>
  <c r="D822" i="2" a="1"/>
  <c r="D822" i="2"/>
  <c r="D823" i="2" a="1"/>
  <c r="D823" i="2" s="1"/>
  <c r="D824" i="2" a="1"/>
  <c r="D824" i="2" s="1"/>
  <c r="D825" i="2" a="1"/>
  <c r="D825" i="2" s="1"/>
  <c r="D826" i="2" a="1"/>
  <c r="D826" i="2"/>
  <c r="D827" i="2" a="1"/>
  <c r="D827" i="2" s="1"/>
  <c r="D828" i="2" a="1"/>
  <c r="D828" i="2" s="1"/>
  <c r="D829" i="2" a="1"/>
  <c r="D829" i="2" s="1"/>
  <c r="D830" i="2" a="1"/>
  <c r="D830" i="2" s="1"/>
  <c r="D831" i="2" a="1"/>
  <c r="D831" i="2" s="1"/>
  <c r="D832" i="2" a="1"/>
  <c r="D832" i="2" s="1"/>
  <c r="D833" i="2" a="1"/>
  <c r="D833" i="2" s="1"/>
  <c r="D834" i="2" a="1"/>
  <c r="D834" i="2" s="1"/>
  <c r="D835" i="2" a="1"/>
  <c r="D835" i="2" s="1"/>
  <c r="D836" i="2" a="1"/>
  <c r="D836" i="2"/>
  <c r="D837" i="2" a="1"/>
  <c r="D837" i="2" s="1"/>
  <c r="D838" i="2" a="1"/>
  <c r="D838" i="2" s="1"/>
  <c r="D839" i="2" a="1"/>
  <c r="D839" i="2" s="1"/>
  <c r="D840" i="2" a="1"/>
  <c r="D840" i="2"/>
  <c r="D841" i="2" a="1"/>
  <c r="D841" i="2" s="1"/>
  <c r="D842" i="2" a="1"/>
  <c r="D842" i="2" s="1"/>
  <c r="D843" i="2" a="1"/>
  <c r="D843" i="2" s="1"/>
  <c r="D844" i="2" a="1"/>
  <c r="D844" i="2" s="1"/>
  <c r="D845" i="2" a="1"/>
  <c r="D845" i="2" s="1"/>
  <c r="D846" i="2" a="1"/>
  <c r="D846" i="2" s="1"/>
  <c r="D847" i="2" a="1"/>
  <c r="D847" i="2" s="1"/>
  <c r="D848" i="2" a="1"/>
  <c r="D848" i="2" s="1"/>
  <c r="D849" i="2" a="1"/>
  <c r="D849" i="2" s="1"/>
  <c r="D850" i="2" a="1"/>
  <c r="D850" i="2" s="1"/>
  <c r="D851" i="2" a="1"/>
  <c r="D851" i="2" s="1"/>
  <c r="D852" i="2" a="1"/>
  <c r="D852" i="2" s="1"/>
  <c r="D853" i="2" a="1"/>
  <c r="D853" i="2" s="1"/>
  <c r="D854" i="2" a="1"/>
  <c r="D854" i="2" s="1"/>
  <c r="D855" i="2" a="1"/>
  <c r="D855" i="2" s="1"/>
  <c r="D856" i="2" a="1"/>
  <c r="D856" i="2" s="1"/>
  <c r="D857" i="2" a="1"/>
  <c r="D857" i="2" s="1"/>
  <c r="D858" i="2" a="1"/>
  <c r="D858" i="2" s="1"/>
  <c r="D859" i="2" a="1"/>
  <c r="D859" i="2" s="1"/>
  <c r="D860" i="2" a="1"/>
  <c r="D860" i="2" s="1"/>
  <c r="D861" i="2" a="1"/>
  <c r="D861" i="2" s="1"/>
  <c r="D862" i="2" a="1"/>
  <c r="D862" i="2" s="1"/>
  <c r="D863" i="2" a="1"/>
  <c r="D863" i="2" s="1"/>
  <c r="D864" i="2" a="1"/>
  <c r="D864" i="2" s="1"/>
  <c r="D865" i="2" a="1"/>
  <c r="D865" i="2" s="1"/>
  <c r="D866" i="2" a="1"/>
  <c r="D866" i="2" s="1"/>
  <c r="D867" i="2" a="1"/>
  <c r="D867" i="2" s="1"/>
  <c r="D868" i="2" a="1"/>
  <c r="D868" i="2" s="1"/>
  <c r="D869" i="2" a="1"/>
  <c r="D869" i="2"/>
  <c r="D870" i="2" a="1"/>
  <c r="D870" i="2"/>
  <c r="D871" i="2" a="1"/>
  <c r="D871" i="2"/>
  <c r="D872" i="2" a="1"/>
  <c r="D872" i="2"/>
  <c r="D873" i="2" a="1"/>
  <c r="D873" i="2"/>
  <c r="D874" i="2" a="1"/>
  <c r="D874" i="2"/>
  <c r="D875" i="2" a="1"/>
  <c r="D875" i="2" s="1"/>
  <c r="D876" i="2" a="1"/>
  <c r="D876" i="2" s="1"/>
  <c r="D877" i="2" a="1"/>
  <c r="D877" i="2" s="1"/>
  <c r="D878" i="2" a="1"/>
  <c r="D878" i="2" s="1"/>
  <c r="D879" i="2" a="1"/>
  <c r="D879" i="2" s="1"/>
  <c r="D880" i="2" a="1"/>
  <c r="D880" i="2" s="1"/>
  <c r="D881" i="2" a="1"/>
  <c r="D881" i="2" s="1"/>
  <c r="D882" i="2" a="1"/>
  <c r="D882" i="2" s="1"/>
  <c r="D883" i="2" a="1"/>
  <c r="D883" i="2" s="1"/>
  <c r="D884" i="2" a="1"/>
  <c r="D884" i="2" s="1"/>
  <c r="D885" i="2" a="1"/>
  <c r="D885" i="2" s="1"/>
  <c r="D886" i="2" a="1"/>
  <c r="D886" i="2" s="1"/>
  <c r="D887" i="2" a="1"/>
  <c r="D887" i="2" s="1"/>
  <c r="D888" i="2" a="1"/>
  <c r="D888" i="2" s="1"/>
  <c r="D889" i="2" a="1"/>
  <c r="D889" i="2" s="1"/>
  <c r="D890" i="2" a="1"/>
  <c r="D890" i="2" s="1"/>
  <c r="D891" i="2" a="1"/>
  <c r="D891" i="2" s="1"/>
  <c r="D892" i="2" a="1"/>
  <c r="D892" i="2" s="1"/>
  <c r="D893" i="2" a="1"/>
  <c r="D893" i="2" s="1"/>
  <c r="D894" i="2" a="1"/>
  <c r="D894" i="2" s="1"/>
  <c r="D895" i="2" a="1"/>
  <c r="D895" i="2" s="1"/>
  <c r="D896" i="2" a="1"/>
  <c r="D896" i="2" s="1"/>
  <c r="D897" i="2" a="1"/>
  <c r="D897" i="2" s="1"/>
  <c r="D898" i="2" a="1"/>
  <c r="D898" i="2" s="1"/>
  <c r="D899" i="2" a="1"/>
  <c r="D899" i="2" s="1"/>
  <c r="D900" i="2" a="1"/>
  <c r="D900" i="2"/>
  <c r="D901" i="2" a="1"/>
  <c r="D901" i="2"/>
  <c r="D902" i="2" a="1"/>
  <c r="D902" i="2"/>
  <c r="D903" i="2" a="1"/>
  <c r="D903" i="2"/>
  <c r="D904" i="2" a="1"/>
  <c r="D904" i="2" s="1"/>
  <c r="D905" i="2" a="1"/>
  <c r="D905" i="2"/>
  <c r="D906" i="2" a="1"/>
  <c r="D906" i="2"/>
  <c r="D907" i="2" a="1"/>
  <c r="D907" i="2" s="1"/>
  <c r="D908" i="2" a="1"/>
  <c r="D908" i="2" s="1"/>
  <c r="D909" i="2" a="1"/>
  <c r="D909" i="2" s="1"/>
  <c r="D910" i="2" a="1"/>
  <c r="D910" i="2" s="1"/>
  <c r="D911" i="2" a="1"/>
  <c r="D911" i="2" s="1"/>
  <c r="D912" i="2" a="1"/>
  <c r="D912" i="2" s="1"/>
  <c r="D913" i="2" a="1"/>
  <c r="D913" i="2" s="1"/>
  <c r="D914" i="2" a="1"/>
  <c r="D914" i="2" s="1"/>
  <c r="D915" i="2" a="1"/>
  <c r="D915" i="2" s="1"/>
  <c r="D916" i="2" a="1"/>
  <c r="D916" i="2" s="1"/>
  <c r="D917" i="2" a="1"/>
  <c r="D917" i="2" s="1"/>
  <c r="D918" i="2" a="1"/>
  <c r="D918" i="2" s="1"/>
  <c r="D919" i="2" a="1"/>
  <c r="D919" i="2" s="1"/>
  <c r="D920" i="2" a="1"/>
  <c r="D920" i="2" s="1"/>
  <c r="D921" i="2" a="1"/>
  <c r="D921" i="2" s="1"/>
  <c r="D922" i="2" a="1"/>
  <c r="D922" i="2" s="1"/>
  <c r="D923" i="2" a="1"/>
  <c r="D923" i="2" s="1"/>
  <c r="D924" i="2" a="1"/>
  <c r="D924" i="2" s="1"/>
  <c r="D925" i="2" a="1"/>
  <c r="D925" i="2" s="1"/>
  <c r="D926" i="2" a="1"/>
  <c r="D926" i="2" s="1"/>
  <c r="D927" i="2" a="1"/>
  <c r="D927" i="2" s="1"/>
  <c r="D928" i="2" a="1"/>
  <c r="D928" i="2" s="1"/>
  <c r="D929" i="2" a="1"/>
  <c r="D929" i="2" s="1"/>
  <c r="D930" i="2" a="1"/>
  <c r="D930" i="2" s="1"/>
  <c r="D931" i="2" a="1"/>
  <c r="D931" i="2" s="1"/>
  <c r="D932" i="2" a="1"/>
  <c r="D932" i="2" s="1"/>
  <c r="D933" i="2" a="1"/>
  <c r="D933" i="2"/>
  <c r="D934" i="2" a="1"/>
  <c r="D934" i="2"/>
  <c r="D935" i="2" a="1"/>
  <c r="D935" i="2"/>
  <c r="D936" i="2" a="1"/>
  <c r="D936" i="2"/>
  <c r="D937" i="2" a="1"/>
  <c r="D937" i="2"/>
  <c r="D938" i="2" a="1"/>
  <c r="D938" i="2"/>
  <c r="D939" i="2" a="1"/>
  <c r="D939" i="2" s="1"/>
  <c r="D940" i="2" a="1"/>
  <c r="D940" i="2" s="1"/>
  <c r="D941" i="2" a="1"/>
  <c r="D941" i="2" s="1"/>
  <c r="D942" i="2" a="1"/>
  <c r="D942" i="2" s="1"/>
  <c r="D943" i="2" a="1"/>
  <c r="D943" i="2" s="1"/>
  <c r="D944" i="2" a="1"/>
  <c r="D944" i="2" s="1"/>
  <c r="D945" i="2" a="1"/>
  <c r="D945" i="2" s="1"/>
  <c r="D946" i="2" a="1"/>
  <c r="D946" i="2" s="1"/>
  <c r="D947" i="2" a="1"/>
  <c r="D947" i="2" s="1"/>
  <c r="D948" i="2" a="1"/>
  <c r="D948" i="2" s="1"/>
  <c r="D949" i="2" a="1"/>
  <c r="D949" i="2" s="1"/>
  <c r="D950" i="2" a="1"/>
  <c r="D950" i="2"/>
  <c r="D951" i="2" a="1"/>
  <c r="D951" i="2" s="1"/>
  <c r="D952" i="2" a="1"/>
  <c r="D952" i="2" s="1"/>
  <c r="D953" i="2" a="1"/>
  <c r="D953" i="2" s="1"/>
  <c r="D954" i="2" a="1"/>
  <c r="D954" i="2" s="1"/>
  <c r="D955" i="2" a="1"/>
  <c r="D955" i="2" s="1"/>
  <c r="D956" i="2" a="1"/>
  <c r="D956" i="2" s="1"/>
  <c r="D957" i="2" a="1"/>
  <c r="D957" i="2" s="1"/>
  <c r="D958" i="2" a="1"/>
  <c r="D958" i="2" s="1"/>
  <c r="D959" i="2" a="1"/>
  <c r="D959" i="2" s="1"/>
  <c r="D960" i="2" a="1"/>
  <c r="D960" i="2" s="1"/>
  <c r="D961" i="2" a="1"/>
  <c r="D961" i="2" s="1"/>
  <c r="D962" i="2" a="1"/>
  <c r="D962" i="2" s="1"/>
  <c r="D963" i="2" a="1"/>
  <c r="D963" i="2" s="1"/>
  <c r="D964" i="2" a="1"/>
  <c r="D964" i="2"/>
  <c r="D965" i="2" a="1"/>
  <c r="D965" i="2"/>
  <c r="D966" i="2" a="1"/>
  <c r="D966" i="2"/>
  <c r="D967" i="2" a="1"/>
  <c r="D967" i="2"/>
  <c r="D968" i="2" a="1"/>
  <c r="D968" i="2" s="1"/>
  <c r="D969" i="2" a="1"/>
  <c r="D969" i="2"/>
  <c r="D970" i="2" a="1"/>
  <c r="D970" i="2"/>
  <c r="D971" i="2" a="1"/>
  <c r="D971" i="2" s="1"/>
  <c r="D972" i="2" a="1"/>
  <c r="D972" i="2" s="1"/>
  <c r="D973" i="2" a="1"/>
  <c r="D973" i="2" s="1"/>
  <c r="D974" i="2" a="1"/>
  <c r="D974" i="2" s="1"/>
  <c r="D975" i="2" a="1"/>
  <c r="D975" i="2" s="1"/>
  <c r="D976" i="2" a="1"/>
  <c r="D976" i="2" s="1"/>
  <c r="D977" i="2" a="1"/>
  <c r="D977" i="2" s="1"/>
  <c r="D978" i="2" a="1"/>
  <c r="D978" i="2" s="1"/>
  <c r="D979" i="2" a="1"/>
  <c r="D979" i="2" s="1"/>
  <c r="D980" i="2" a="1"/>
  <c r="D980" i="2" s="1"/>
  <c r="D981" i="2" a="1"/>
  <c r="D981" i="2" s="1"/>
  <c r="D982" i="2" a="1"/>
  <c r="D982" i="2" s="1"/>
  <c r="D983" i="2" a="1"/>
  <c r="D983" i="2"/>
  <c r="D984" i="2" a="1"/>
  <c r="D984" i="2" s="1"/>
  <c r="D985" i="2" a="1"/>
  <c r="D985" i="2" s="1"/>
  <c r="D986" i="2" a="1"/>
  <c r="D986" i="2" s="1"/>
  <c r="D987" i="2" a="1"/>
  <c r="D987" i="2" s="1"/>
  <c r="D988" i="2" a="1"/>
  <c r="D988" i="2" s="1"/>
  <c r="D989" i="2" a="1"/>
  <c r="D989" i="2" s="1"/>
  <c r="D990" i="2" a="1"/>
  <c r="D990" i="2" s="1"/>
  <c r="D991" i="2" a="1"/>
  <c r="D991" i="2" s="1"/>
  <c r="D992" i="2" a="1"/>
  <c r="D992" i="2" s="1"/>
  <c r="D993" i="2" a="1"/>
  <c r="D993" i="2" s="1"/>
  <c r="D994" i="2" a="1"/>
  <c r="D994" i="2" s="1"/>
  <c r="D995" i="2" a="1"/>
  <c r="D995" i="2" s="1"/>
  <c r="D996" i="2" a="1"/>
  <c r="D996" i="2" s="1"/>
  <c r="D997" i="2" a="1"/>
  <c r="D997" i="2" s="1"/>
  <c r="D998" i="2" a="1"/>
  <c r="D998" i="2"/>
  <c r="D999" i="2" a="1"/>
  <c r="D999" i="2"/>
  <c r="D1000" i="2" a="1"/>
  <c r="D1000" i="2" s="1"/>
  <c r="D1001" i="2" a="1"/>
  <c r="D1001" i="2"/>
  <c r="D1002" i="2" a="1"/>
  <c r="D1002" i="2"/>
  <c r="D1003" i="2" a="1"/>
  <c r="D1003" i="2" s="1"/>
  <c r="D1004" i="2" a="1"/>
  <c r="D1004" i="2" s="1"/>
  <c r="D1005" i="2" a="1"/>
  <c r="D1005" i="2" s="1"/>
  <c r="D1006" i="2" a="1"/>
  <c r="D1006" i="2" s="1"/>
  <c r="D1007" i="2" a="1"/>
  <c r="D1007" i="2" s="1"/>
  <c r="D1008" i="2" a="1"/>
  <c r="D1008" i="2" s="1"/>
  <c r="D1009" i="2" a="1"/>
  <c r="D1009" i="2" s="1"/>
  <c r="D1010" i="2" a="1"/>
  <c r="D1010" i="2" s="1"/>
  <c r="D1011" i="2" a="1"/>
  <c r="D1011" i="2" s="1"/>
  <c r="D1012" i="2" a="1"/>
  <c r="D1012" i="2" s="1"/>
  <c r="D1013" i="2" a="1"/>
  <c r="D1013" i="2" s="1"/>
  <c r="D1014" i="2" a="1"/>
  <c r="D1014" i="2" s="1"/>
  <c r="D1015" i="2" a="1"/>
  <c r="D1015" i="2" s="1"/>
  <c r="D1016" i="2" a="1"/>
  <c r="D1016" i="2" s="1"/>
  <c r="D1017" i="2" a="1"/>
  <c r="D1017" i="2" s="1"/>
  <c r="D1018" i="2" a="1"/>
  <c r="D1018" i="2" s="1"/>
  <c r="D1019" i="2" a="1"/>
  <c r="D1019" i="2" s="1"/>
  <c r="D1020" i="2" a="1"/>
  <c r="D1020" i="2" s="1"/>
  <c r="D1021" i="2" a="1"/>
  <c r="D1021" i="2" s="1"/>
  <c r="D1022" i="2" a="1"/>
  <c r="D1022" i="2" s="1"/>
  <c r="D1023" i="2" a="1"/>
  <c r="D1023" i="2" s="1"/>
  <c r="D1024" i="2" a="1"/>
  <c r="D1024" i="2" s="1"/>
  <c r="D1025" i="2" a="1"/>
  <c r="D1025" i="2" s="1"/>
  <c r="D1026" i="2" a="1"/>
  <c r="D1026" i="2" s="1"/>
  <c r="D1027" i="2" a="1"/>
  <c r="D1027" i="2" s="1"/>
  <c r="D1028" i="2" a="1"/>
  <c r="D1028" i="2" s="1"/>
  <c r="D1029" i="2" a="1"/>
  <c r="D1029" i="2"/>
  <c r="D1030" i="2" a="1"/>
  <c r="D1030" i="2"/>
  <c r="D1031" i="2" a="1"/>
  <c r="D1031" i="2"/>
  <c r="D1032" i="2" a="1"/>
  <c r="D1032" i="2" s="1"/>
  <c r="D1033" i="2" a="1"/>
  <c r="D1033" i="2" s="1"/>
  <c r="D1034" i="2" a="1"/>
  <c r="D1034" i="2" s="1"/>
  <c r="D1035" i="2" a="1"/>
  <c r="D1035" i="2" s="1"/>
  <c r="D1036" i="2" a="1"/>
  <c r="D1036" i="2" s="1"/>
  <c r="D1037" i="2" a="1"/>
  <c r="D1037" i="2" s="1"/>
  <c r="D1038" i="2" a="1"/>
  <c r="D1038" i="2" s="1"/>
  <c r="D1039" i="2" a="1"/>
  <c r="D1039" i="2" s="1"/>
  <c r="D1040" i="2" a="1"/>
  <c r="D1040" i="2" s="1"/>
  <c r="D1041" i="2" a="1"/>
  <c r="D1041" i="2" s="1"/>
  <c r="D1042" i="2" a="1"/>
  <c r="D1042" i="2" s="1"/>
  <c r="D1043" i="2" a="1"/>
  <c r="D1043" i="2" s="1"/>
  <c r="D1044" i="2" a="1"/>
  <c r="D1044" i="2" s="1"/>
  <c r="D1045" i="2" a="1"/>
  <c r="D1045" i="2" s="1"/>
  <c r="D1046" i="2" a="1"/>
  <c r="D1046" i="2" s="1"/>
  <c r="D1047" i="2" a="1"/>
  <c r="D1047" i="2" s="1"/>
  <c r="D1048" i="2" a="1"/>
  <c r="D1048" i="2"/>
  <c r="D1049" i="2" a="1"/>
  <c r="D1049" i="2" s="1"/>
  <c r="D1050" i="2" a="1"/>
  <c r="D1050" i="2" s="1"/>
  <c r="D1051" i="2" a="1"/>
  <c r="D1051" i="2" s="1"/>
  <c r="D1052" i="2" a="1"/>
  <c r="D1052" i="2" s="1"/>
  <c r="D1053" i="2" a="1"/>
  <c r="D1053" i="2" s="1"/>
  <c r="D1054" i="2" a="1"/>
  <c r="D1054" i="2" s="1"/>
  <c r="D1055" i="2" a="1"/>
  <c r="D1055" i="2" s="1"/>
  <c r="D1056" i="2" a="1"/>
  <c r="D1056" i="2" s="1"/>
  <c r="D1057" i="2" a="1"/>
  <c r="D1057" i="2" s="1"/>
  <c r="D1058" i="2" a="1"/>
  <c r="D1058" i="2" s="1"/>
  <c r="D1059" i="2" a="1"/>
  <c r="D1059" i="2" s="1"/>
  <c r="D1060" i="2" a="1"/>
  <c r="D1060" i="2" s="1"/>
  <c r="D1061" i="2" a="1"/>
  <c r="D1061" i="2" s="1"/>
  <c r="D1062" i="2" a="1"/>
  <c r="D1062" i="2" s="1"/>
  <c r="D1063" i="2" a="1"/>
  <c r="D1063" i="2" s="1"/>
  <c r="D1064" i="2" a="1"/>
  <c r="D1064" i="2" s="1"/>
  <c r="D1065" i="2" a="1"/>
  <c r="D1065" i="2" s="1"/>
  <c r="D1066" i="2" a="1"/>
  <c r="D1066" i="2" s="1"/>
  <c r="D1067" i="2" a="1"/>
  <c r="D1067" i="2" s="1"/>
  <c r="D1068" i="2" a="1"/>
  <c r="D1068" i="2" s="1"/>
  <c r="D1069" i="2" a="1"/>
  <c r="D1069" i="2" s="1"/>
  <c r="D1070" i="2" a="1"/>
  <c r="D1070" i="2" s="1"/>
  <c r="D1071" i="2" a="1"/>
  <c r="D1071" i="2" s="1"/>
  <c r="D1072" i="2" a="1"/>
  <c r="D1072" i="2" s="1"/>
  <c r="D1073" i="2" a="1"/>
  <c r="D1073" i="2" s="1"/>
  <c r="D1074" i="2" a="1"/>
  <c r="D1074" i="2" s="1"/>
  <c r="D1075" i="2" a="1"/>
  <c r="D1075" i="2" s="1"/>
  <c r="D1076" i="2" a="1"/>
  <c r="D1076" i="2"/>
  <c r="D1077" i="2" a="1"/>
  <c r="D1077" i="2" s="1"/>
  <c r="D1078" i="2" a="1"/>
  <c r="D1078" i="2" s="1"/>
  <c r="D1079" i="2" a="1"/>
  <c r="D1079" i="2"/>
  <c r="D1080" i="2" a="1"/>
  <c r="D1080" i="2" s="1"/>
  <c r="D1081" i="2" a="1"/>
  <c r="D1081" i="2" s="1"/>
  <c r="D1082" i="2" a="1"/>
  <c r="D1082" i="2" s="1"/>
  <c r="D1083" i="2" a="1"/>
  <c r="D1083" i="2" s="1"/>
  <c r="D1084" i="2" a="1"/>
  <c r="D1084" i="2" s="1"/>
  <c r="D1085" i="2" a="1"/>
  <c r="D1085" i="2" s="1"/>
  <c r="D1086" i="2" a="1"/>
  <c r="D1086" i="2" s="1"/>
  <c r="D1087" i="2" a="1"/>
  <c r="D1087" i="2" s="1"/>
  <c r="D1088" i="2" a="1"/>
  <c r="D1088" i="2" s="1"/>
  <c r="D1089" i="2" a="1"/>
  <c r="D1089" i="2" s="1"/>
  <c r="D1090" i="2" a="1"/>
  <c r="D1090" i="2" s="1"/>
  <c r="D1091" i="2" a="1"/>
  <c r="D1091" i="2" s="1"/>
  <c r="D1092" i="2" a="1"/>
  <c r="D1092" i="2"/>
  <c r="D1093" i="2" a="1"/>
  <c r="D1093" i="2"/>
  <c r="D1094" i="2" a="1"/>
  <c r="D1094" i="2"/>
  <c r="D1095" i="2" a="1"/>
  <c r="D1095" i="2"/>
  <c r="D1096" i="2" a="1"/>
  <c r="D1096" i="2" s="1"/>
  <c r="D1097" i="2" a="1"/>
  <c r="D1097" i="2" s="1"/>
  <c r="D1098" i="2" a="1"/>
  <c r="D1098" i="2" s="1"/>
  <c r="D1099" i="2" a="1"/>
  <c r="D1099" i="2" s="1"/>
  <c r="D1100" i="2" a="1"/>
  <c r="D1100" i="2" s="1"/>
  <c r="D1101" i="2" a="1"/>
  <c r="D1101" i="2" s="1"/>
  <c r="D1102" i="2" a="1"/>
  <c r="D1102" i="2" s="1"/>
  <c r="D1103" i="2" a="1"/>
  <c r="D1103" i="2" s="1"/>
  <c r="D1104" i="2" a="1"/>
  <c r="D1104" i="2" s="1"/>
  <c r="D1105" i="2" a="1"/>
  <c r="D1105" i="2" s="1"/>
  <c r="D1106" i="2" a="1"/>
  <c r="D1106" i="2" s="1"/>
  <c r="D1107" i="2" a="1"/>
  <c r="D1107" i="2" s="1"/>
  <c r="D1108" i="2" a="1"/>
  <c r="D1108" i="2"/>
  <c r="D1109" i="2" a="1"/>
  <c r="D1109" i="2" s="1"/>
  <c r="D1110" i="2" a="1"/>
  <c r="D1110" i="2" s="1"/>
  <c r="D1111" i="2" a="1"/>
  <c r="D1111" i="2" s="1"/>
  <c r="D1112" i="2" a="1"/>
  <c r="D1112" i="2"/>
  <c r="D1113" i="2" a="1"/>
  <c r="D1113" i="2" s="1"/>
  <c r="D1114" i="2" a="1"/>
  <c r="D1114" i="2"/>
  <c r="D1115" i="2" a="1"/>
  <c r="D1115" i="2" s="1"/>
  <c r="D1116" i="2" a="1"/>
  <c r="D1116" i="2" s="1"/>
  <c r="D1117" i="2" a="1"/>
  <c r="D1117" i="2" s="1"/>
  <c r="D1118" i="2" a="1"/>
  <c r="D1118" i="2" s="1"/>
  <c r="D1119" i="2" a="1"/>
  <c r="D1119" i="2" s="1"/>
  <c r="D1120" i="2" a="1"/>
  <c r="D1120" i="2" s="1"/>
  <c r="D1121" i="2" a="1"/>
  <c r="D1121" i="2" s="1"/>
  <c r="D1122" i="2" a="1"/>
  <c r="D1122" i="2" s="1"/>
  <c r="D1123" i="2" a="1"/>
  <c r="D1123" i="2" s="1"/>
  <c r="D1124" i="2" a="1"/>
  <c r="D1124" i="2" s="1"/>
  <c r="D1125" i="2" a="1"/>
  <c r="D1125" i="2" s="1"/>
  <c r="D1126" i="2" a="1"/>
  <c r="D1126" i="2" s="1"/>
  <c r="D1127" i="2" a="1"/>
  <c r="D1127" i="2" s="1"/>
  <c r="D1128" i="2" a="1"/>
  <c r="D1128" i="2" s="1"/>
  <c r="D1129" i="2" a="1"/>
  <c r="D1129" i="2" s="1"/>
  <c r="D1130" i="2" a="1"/>
  <c r="D1130" i="2" s="1"/>
  <c r="D1131" i="2" a="1"/>
  <c r="D1131" i="2" s="1"/>
  <c r="D1132" i="2" a="1"/>
  <c r="D1132" i="2" s="1"/>
  <c r="D1133" i="2" a="1"/>
  <c r="D1133" i="2" s="1"/>
  <c r="D1134" i="2" a="1"/>
  <c r="D1134" i="2" s="1"/>
  <c r="D1135" i="2" a="1"/>
  <c r="D1135" i="2" s="1"/>
  <c r="D1136" i="2" a="1"/>
  <c r="D1136" i="2" s="1"/>
  <c r="D1137" i="2" a="1"/>
  <c r="D1137" i="2" s="1"/>
  <c r="D1138" i="2" a="1"/>
  <c r="D1138" i="2" s="1"/>
  <c r="D1139" i="2" a="1"/>
  <c r="D1139" i="2" s="1"/>
  <c r="D1140" i="2" a="1"/>
  <c r="D1140" i="2" s="1"/>
  <c r="D1141" i="2" a="1"/>
  <c r="D1141" i="2" s="1"/>
  <c r="D1142" i="2" a="1"/>
  <c r="D1142" i="2"/>
  <c r="D1143" i="2" a="1"/>
  <c r="D1143" i="2"/>
  <c r="D1144" i="2" a="1"/>
  <c r="D1144" i="2"/>
  <c r="D1145" i="2" a="1"/>
  <c r="D1145" i="2" s="1"/>
  <c r="D1146" i="2" a="1"/>
  <c r="D1146" i="2" s="1"/>
  <c r="D1147" i="2" a="1"/>
  <c r="D1147" i="2" s="1"/>
  <c r="D1148" i="2" a="1"/>
  <c r="D1148" i="2" s="1"/>
  <c r="D1149" i="2" a="1"/>
  <c r="D1149" i="2" s="1"/>
  <c r="D1150" i="2" a="1"/>
  <c r="D1150" i="2" s="1"/>
  <c r="D1151" i="2" a="1"/>
  <c r="D1151" i="2" s="1"/>
  <c r="D1152" i="2" a="1"/>
  <c r="D1152" i="2" s="1"/>
  <c r="D1153" i="2" a="1"/>
  <c r="D1153" i="2" s="1"/>
  <c r="D1154" i="2" a="1"/>
  <c r="D1154" i="2" s="1"/>
  <c r="D1155" i="2" a="1"/>
  <c r="D1155" i="2" s="1"/>
  <c r="D1156" i="2" a="1"/>
  <c r="D1156" i="2" s="1"/>
  <c r="D1157" i="2" a="1"/>
  <c r="D1157" i="2" s="1"/>
  <c r="D1158" i="2" a="1"/>
  <c r="D1158" i="2" s="1"/>
  <c r="D1159" i="2" a="1"/>
  <c r="D1159" i="2" s="1"/>
  <c r="D1160" i="2" a="1"/>
  <c r="D1160" i="2"/>
  <c r="D1161" i="2" a="1"/>
  <c r="D1161" i="2" s="1"/>
  <c r="D1162" i="2" a="1"/>
  <c r="D1162" i="2" s="1"/>
  <c r="D1163" i="2" a="1"/>
  <c r="D1163" i="2" s="1"/>
  <c r="D1164" i="2" a="1"/>
  <c r="D1164" i="2" s="1"/>
  <c r="D1165" i="2" a="1"/>
  <c r="D1165" i="2" s="1"/>
  <c r="D1166" i="2" a="1"/>
  <c r="D1166" i="2" s="1"/>
  <c r="D1167" i="2" a="1"/>
  <c r="D1167" i="2" s="1"/>
  <c r="D1168" i="2" a="1"/>
  <c r="D1168" i="2" s="1"/>
  <c r="D1169" i="2" a="1"/>
  <c r="D1169" i="2" s="1"/>
  <c r="D1170" i="2" a="1"/>
  <c r="D1170" i="2" s="1"/>
  <c r="D1171" i="2" a="1"/>
  <c r="D1171" i="2" s="1"/>
  <c r="D1172" i="2" a="1"/>
  <c r="D1172" i="2" s="1"/>
  <c r="D1173" i="2" a="1"/>
  <c r="D1173" i="2" s="1"/>
  <c r="D1174" i="2" a="1"/>
  <c r="D1174" i="2" s="1"/>
  <c r="D1175" i="2" a="1"/>
  <c r="D1175" i="2" s="1"/>
  <c r="D1176" i="2" a="1"/>
  <c r="D1176" i="2"/>
  <c r="D1177" i="2" a="1"/>
  <c r="D1177" i="2" s="1"/>
  <c r="D1178" i="2" a="1"/>
  <c r="D1178" i="2"/>
  <c r="D1179" i="2" a="1"/>
  <c r="D1179" i="2" s="1"/>
  <c r="D1180" i="2" a="1"/>
  <c r="D1180" i="2" s="1"/>
  <c r="D1181" i="2" a="1"/>
  <c r="D1181" i="2" s="1"/>
  <c r="D1182" i="2" a="1"/>
  <c r="D1182" i="2" s="1"/>
  <c r="D1183" i="2" a="1"/>
  <c r="D1183" i="2" s="1"/>
  <c r="D1184" i="2" a="1"/>
  <c r="D1184" i="2" s="1"/>
  <c r="D1185" i="2" a="1"/>
  <c r="D1185" i="2" s="1"/>
  <c r="D1186" i="2" a="1"/>
  <c r="D1186" i="2" s="1"/>
  <c r="D1187" i="2" a="1"/>
  <c r="D1187" i="2" s="1"/>
  <c r="D1188" i="2" a="1"/>
  <c r="D1188" i="2" s="1"/>
  <c r="D1189" i="2" a="1"/>
  <c r="D1189" i="2" s="1"/>
  <c r="D1190" i="2" a="1"/>
  <c r="D1190" i="2" s="1"/>
  <c r="D1191" i="2" a="1"/>
  <c r="D1191" i="2" s="1"/>
  <c r="D1192" i="2" a="1"/>
  <c r="D1192" i="2" s="1"/>
  <c r="D1193" i="2" a="1"/>
  <c r="D1193" i="2"/>
  <c r="D1194" i="2" a="1"/>
  <c r="D1194" i="2" s="1"/>
  <c r="D1195" i="2" a="1"/>
  <c r="D1195" i="2" s="1"/>
  <c r="D1196" i="2" a="1"/>
  <c r="D1196" i="2" s="1"/>
  <c r="D1197" i="2" a="1"/>
  <c r="D1197" i="2" s="1"/>
  <c r="D1198" i="2" a="1"/>
  <c r="D1198" i="2" s="1"/>
  <c r="D1199" i="2" a="1"/>
  <c r="D1199" i="2" s="1"/>
  <c r="D1200" i="2" a="1"/>
  <c r="D1200" i="2" s="1"/>
  <c r="D1201" i="2" a="1"/>
  <c r="D1201" i="2" s="1"/>
  <c r="D1202" i="2" a="1"/>
  <c r="D1202" i="2" s="1"/>
  <c r="D1203" i="2" a="1"/>
  <c r="D1203" i="2" s="1"/>
  <c r="D1204" i="2" a="1"/>
  <c r="D1204" i="2"/>
  <c r="D1205" i="2" a="1"/>
  <c r="D1205" i="2" s="1"/>
  <c r="D1206" i="2" a="1"/>
  <c r="D1206" i="2" s="1"/>
  <c r="D1207" i="2" a="1"/>
  <c r="D1207" i="2" s="1"/>
  <c r="D1208" i="2" a="1"/>
  <c r="D1208" i="2" s="1"/>
  <c r="D1209" i="2" a="1"/>
  <c r="D1209" i="2" s="1"/>
  <c r="D1210" i="2" a="1"/>
  <c r="D1210" i="2"/>
  <c r="D1211" i="2" a="1"/>
  <c r="D1211" i="2" s="1"/>
  <c r="D1212" i="2" a="1"/>
  <c r="D1212" i="2" s="1"/>
  <c r="D1213" i="2" a="1"/>
  <c r="D1213" i="2" s="1"/>
  <c r="D1214" i="2" a="1"/>
  <c r="D1214" i="2" s="1"/>
  <c r="D1215" i="2" a="1"/>
  <c r="D1215" i="2" s="1"/>
  <c r="D1216" i="2" a="1"/>
  <c r="D1216" i="2" s="1"/>
  <c r="D1217" i="2" a="1"/>
  <c r="D1217" i="2" s="1"/>
  <c r="D1218" i="2" a="1"/>
  <c r="D1218" i="2" s="1"/>
  <c r="D1219" i="2" a="1"/>
  <c r="D1219" i="2" s="1"/>
  <c r="D1220" i="2" a="1"/>
  <c r="D1220" i="2" s="1"/>
  <c r="D1221" i="2" a="1"/>
  <c r="D1221" i="2" s="1"/>
  <c r="D1222" i="2" a="1"/>
  <c r="D1222" i="2" s="1"/>
  <c r="D1223" i="2" a="1"/>
  <c r="D1223" i="2" s="1"/>
  <c r="D1224" i="2" a="1"/>
  <c r="D1224" i="2" s="1"/>
  <c r="D1225" i="2" a="1"/>
  <c r="D1225" i="2" s="1"/>
  <c r="D1226" i="2" a="1"/>
  <c r="D1226" i="2"/>
  <c r="D1227" i="2" a="1"/>
  <c r="D1227" i="2" s="1"/>
  <c r="D1228" i="2" a="1"/>
  <c r="D1228" i="2" s="1"/>
  <c r="D1229" i="2" a="1"/>
  <c r="D1229" i="2" s="1"/>
  <c r="D1230" i="2" a="1"/>
  <c r="D1230" i="2" s="1"/>
  <c r="D1231" i="2" a="1"/>
  <c r="D1231" i="2" s="1"/>
  <c r="D1232" i="2" a="1"/>
  <c r="D1232" i="2" s="1"/>
  <c r="D1233" i="2" a="1"/>
  <c r="D1233" i="2" s="1"/>
  <c r="D1234" i="2" a="1"/>
  <c r="D1234" i="2" s="1"/>
  <c r="D1235" i="2" a="1"/>
  <c r="D1235" i="2" s="1"/>
  <c r="D1236" i="2" a="1"/>
  <c r="D1236" i="2"/>
  <c r="D1237" i="2" a="1"/>
  <c r="D1237" i="2" s="1"/>
  <c r="D1238" i="2" a="1"/>
  <c r="D1238" i="2" s="1"/>
  <c r="D1239" i="2" a="1"/>
  <c r="D1239" i="2" s="1"/>
  <c r="D1240" i="2" a="1"/>
  <c r="D1240" i="2" s="1"/>
  <c r="D1241" i="2" a="1"/>
  <c r="D1241" i="2" s="1"/>
  <c r="D1242" i="2" a="1"/>
  <c r="D1242" i="2"/>
  <c r="D1243" i="2" a="1"/>
  <c r="D1243" i="2" s="1"/>
  <c r="D1244" i="2" a="1"/>
  <c r="D1244" i="2" s="1"/>
  <c r="D1245" i="2" a="1"/>
  <c r="D1245" i="2" s="1"/>
  <c r="D1246" i="2" a="1"/>
  <c r="D1246" i="2" s="1"/>
  <c r="D1247" i="2" a="1"/>
  <c r="D1247" i="2" s="1"/>
  <c r="D1248" i="2" a="1"/>
  <c r="D1248" i="2" s="1"/>
  <c r="D1249" i="2" a="1"/>
  <c r="D1249" i="2" s="1"/>
  <c r="D1250" i="2" a="1"/>
  <c r="D1250" i="2" s="1"/>
  <c r="D1251" i="2" a="1"/>
  <c r="D1251" i="2" s="1"/>
  <c r="D1252" i="2" a="1"/>
  <c r="D1252" i="2" s="1"/>
  <c r="D1253" i="2" a="1"/>
  <c r="D1253" i="2" s="1"/>
  <c r="D1254" i="2" a="1"/>
  <c r="D1254" i="2" s="1"/>
  <c r="D1255" i="2" a="1"/>
  <c r="D1255" i="2" s="1"/>
  <c r="D1256" i="2" a="1"/>
  <c r="D1256" i="2" s="1"/>
  <c r="D1257" i="2" a="1"/>
  <c r="D1257" i="2" s="1"/>
  <c r="D1258" i="2" a="1"/>
  <c r="D1258" i="2" s="1"/>
  <c r="D1259" i="2" a="1"/>
  <c r="D1259" i="2" s="1"/>
  <c r="D1260" i="2" a="1"/>
  <c r="D1260" i="2" s="1"/>
  <c r="D1261" i="2" a="1"/>
  <c r="D1261" i="2" s="1"/>
  <c r="D1262" i="2" a="1"/>
  <c r="D1262" i="2" s="1"/>
  <c r="D1263" i="2" a="1"/>
  <c r="D1263" i="2" s="1"/>
  <c r="D1264" i="2" a="1"/>
  <c r="D1264" i="2" s="1"/>
  <c r="D1265" i="2" a="1"/>
  <c r="D1265" i="2" s="1"/>
  <c r="D1266" i="2" a="1"/>
  <c r="D1266" i="2" s="1"/>
  <c r="D1267" i="2" a="1"/>
  <c r="D1267" i="2" s="1"/>
  <c r="D1268" i="2" a="1"/>
  <c r="D1268" i="2" s="1"/>
  <c r="D1269" i="2" a="1"/>
  <c r="D1269" i="2" s="1"/>
  <c r="D1270" i="2" a="1"/>
  <c r="D1270" i="2"/>
  <c r="D1271" i="2" a="1"/>
  <c r="D1271" i="2" s="1"/>
  <c r="D1272" i="2" a="1"/>
  <c r="D1272" i="2" s="1"/>
  <c r="D1273" i="2" a="1"/>
  <c r="D1273" i="2"/>
  <c r="D1274" i="2" a="1"/>
  <c r="D1274" i="2" s="1"/>
  <c r="D1275" i="2" a="1"/>
  <c r="D1275" i="2" s="1"/>
  <c r="D1276" i="2" a="1"/>
  <c r="D1276" i="2" s="1"/>
  <c r="D1277" i="2" a="1"/>
  <c r="D1277" i="2" s="1"/>
  <c r="D1278" i="2" a="1"/>
  <c r="D1278" i="2" s="1"/>
  <c r="D1279" i="2" a="1"/>
  <c r="D1279" i="2" s="1"/>
  <c r="D1280" i="2" a="1"/>
  <c r="D1280" i="2" s="1"/>
  <c r="D1281" i="2" a="1"/>
  <c r="D1281" i="2" s="1"/>
  <c r="D1282" i="2" a="1"/>
  <c r="D1282" i="2" s="1"/>
  <c r="D1283" i="2" a="1"/>
  <c r="D1283" i="2" s="1"/>
  <c r="D1284" i="2" a="1"/>
  <c r="D1284" i="2" s="1"/>
  <c r="D1285" i="2" a="1"/>
  <c r="D1285" i="2" s="1"/>
  <c r="D1286" i="2" a="1"/>
  <c r="D1286" i="2"/>
  <c r="D1287" i="2" a="1"/>
  <c r="D1287" i="2" s="1"/>
  <c r="D1288" i="2" a="1"/>
  <c r="D1288" i="2" s="1"/>
  <c r="D1289" i="2" a="1"/>
  <c r="D1289" i="2" s="1"/>
  <c r="D1290" i="2" a="1"/>
  <c r="D1290" i="2" s="1"/>
  <c r="D1291" i="2" a="1"/>
  <c r="D1291" i="2" s="1"/>
  <c r="D1292" i="2" a="1"/>
  <c r="D1292" i="2" s="1"/>
  <c r="D1293" i="2" a="1"/>
  <c r="D1293" i="2" s="1"/>
  <c r="D1294" i="2" a="1"/>
  <c r="D1294" i="2" s="1"/>
  <c r="D1295" i="2" a="1"/>
  <c r="D1295" i="2" s="1"/>
  <c r="D1296" i="2" a="1"/>
  <c r="D1296" i="2" s="1"/>
  <c r="D1297" i="2" a="1"/>
  <c r="D1297" i="2" s="1"/>
  <c r="D1298" i="2" a="1"/>
  <c r="D1298" i="2" s="1"/>
  <c r="D1299" i="2" a="1"/>
  <c r="D1299" i="2" s="1"/>
  <c r="D1300" i="2" a="1"/>
  <c r="D1300" i="2" s="1"/>
  <c r="D1301" i="2" a="1"/>
  <c r="D1301" i="2" s="1"/>
  <c r="D1302" i="2" a="1"/>
  <c r="D1302" i="2"/>
  <c r="D1303" i="2" a="1"/>
  <c r="D1303" i="2"/>
  <c r="D1304" i="2" a="1"/>
  <c r="D1304" i="2" s="1"/>
  <c r="D1305" i="2" a="1"/>
  <c r="D1305" i="2" s="1"/>
  <c r="D1306" i="2" a="1"/>
  <c r="D1306" i="2" s="1"/>
  <c r="D1307" i="2" a="1"/>
  <c r="D1307" i="2" s="1"/>
  <c r="D1308" i="2" a="1"/>
  <c r="D1308" i="2" s="1"/>
  <c r="D1309" i="2" a="1"/>
  <c r="D1309" i="2" s="1"/>
  <c r="D1310" i="2" a="1"/>
  <c r="D1310" i="2" s="1"/>
  <c r="D1311" i="2" a="1"/>
  <c r="D1311" i="2" s="1"/>
  <c r="D1312" i="2" a="1"/>
  <c r="D1312" i="2" s="1"/>
  <c r="D1313" i="2" a="1"/>
  <c r="D1313" i="2" s="1"/>
  <c r="D1314" i="2" a="1"/>
  <c r="D1314" i="2" s="1"/>
  <c r="D1315" i="2" a="1"/>
  <c r="D1315" i="2" s="1"/>
  <c r="D1316" i="2" a="1"/>
  <c r="D1316" i="2" s="1"/>
  <c r="D1317" i="2" a="1"/>
  <c r="D1317" i="2"/>
  <c r="D1318" i="2" a="1"/>
  <c r="D1318" i="2" s="1"/>
  <c r="D1319" i="2" a="1"/>
  <c r="D1319" i="2"/>
  <c r="D1320" i="2" a="1"/>
  <c r="D1320" i="2" s="1"/>
  <c r="D1321" i="2" a="1"/>
  <c r="D1321" i="2" s="1"/>
  <c r="D1322" i="2" a="1"/>
  <c r="D1322" i="2" s="1"/>
  <c r="D1323" i="2" a="1"/>
  <c r="D1323" i="2" s="1"/>
  <c r="D1324" i="2" a="1"/>
  <c r="D1324" i="2" s="1"/>
  <c r="D1325" i="2" a="1"/>
  <c r="D1325" i="2" s="1"/>
  <c r="D1326" i="2" a="1"/>
  <c r="D1326" i="2" s="1"/>
  <c r="D1327" i="2" a="1"/>
  <c r="D1327" i="2" s="1"/>
  <c r="D1328" i="2" a="1"/>
  <c r="D1328" i="2" s="1"/>
  <c r="D1329" i="2" a="1"/>
  <c r="D1329" i="2" s="1"/>
  <c r="D1330" i="2" a="1"/>
  <c r="D1330" i="2" s="1"/>
  <c r="D1331" i="2" a="1"/>
  <c r="D1331" i="2" s="1"/>
  <c r="D1332" i="2" a="1"/>
  <c r="D1332" i="2"/>
  <c r="D1333" i="2" a="1"/>
  <c r="D1333" i="2"/>
  <c r="D1334" i="2" a="1"/>
  <c r="D1334" i="2" s="1"/>
  <c r="D1335" i="2" a="1"/>
  <c r="D1335" i="2"/>
  <c r="D1336" i="2" a="1"/>
  <c r="D1336" i="2" s="1"/>
  <c r="D1337" i="2" a="1"/>
  <c r="D1337" i="2" s="1"/>
  <c r="D1338" i="2" a="1"/>
  <c r="D1338" i="2" s="1"/>
  <c r="D1339" i="2" a="1"/>
  <c r="D1339" i="2" s="1"/>
  <c r="D1340" i="2" a="1"/>
  <c r="D1340" i="2" s="1"/>
  <c r="D1341" i="2" a="1"/>
  <c r="D1341" i="2" s="1"/>
  <c r="D1342" i="2" a="1"/>
  <c r="D1342" i="2" s="1"/>
  <c r="D1343" i="2" a="1"/>
  <c r="D1343" i="2" s="1"/>
  <c r="D1344" i="2" a="1"/>
  <c r="D1344" i="2" s="1"/>
  <c r="D1345" i="2" a="1"/>
  <c r="D1345" i="2" s="1"/>
  <c r="D1346" i="2" a="1"/>
  <c r="D1346" i="2" s="1"/>
  <c r="D1347" i="2" a="1"/>
  <c r="D1347" i="2" s="1"/>
  <c r="D1348" i="2" a="1"/>
  <c r="D1348" i="2" s="1"/>
  <c r="D1349" i="2" a="1"/>
  <c r="D1349" i="2" s="1"/>
  <c r="D1350" i="2" a="1"/>
  <c r="D1350" i="2" s="1"/>
  <c r="D1351" i="2" a="1"/>
  <c r="D1351" i="2" s="1"/>
  <c r="D1352" i="2" a="1"/>
  <c r="D1352" i="2" s="1"/>
  <c r="D1353" i="2" a="1"/>
  <c r="D1353" i="2" s="1"/>
  <c r="D1354" i="2" a="1"/>
  <c r="D1354" i="2"/>
  <c r="D1355" i="2" a="1"/>
  <c r="D1355" i="2" s="1"/>
  <c r="D1356" i="2" a="1"/>
  <c r="D1356" i="2" s="1"/>
  <c r="D1357" i="2" a="1"/>
  <c r="D1357" i="2" s="1"/>
  <c r="D1358" i="2" a="1"/>
  <c r="D1358" i="2" s="1"/>
  <c r="D1359" i="2" a="1"/>
  <c r="D1359" i="2" s="1"/>
  <c r="D1360" i="2" a="1"/>
  <c r="D1360" i="2" s="1"/>
  <c r="D1361" i="2" a="1"/>
  <c r="D1361" i="2" s="1"/>
  <c r="D1362" i="2" a="1"/>
  <c r="D1362" i="2" s="1"/>
  <c r="D1363" i="2" a="1"/>
  <c r="D1363" i="2" s="1"/>
  <c r="D1364" i="2" a="1"/>
  <c r="D1364" i="2" s="1"/>
  <c r="D1365" i="2" a="1"/>
  <c r="D1365" i="2" s="1"/>
  <c r="D1366" i="2" a="1"/>
  <c r="D1366" i="2"/>
  <c r="D1367" i="2" a="1"/>
  <c r="D1367" i="2"/>
  <c r="D1368" i="2" a="1"/>
  <c r="D1368" i="2" s="1"/>
  <c r="D1369" i="2" a="1"/>
  <c r="D1369" i="2" s="1"/>
  <c r="D1370" i="2" a="1"/>
  <c r="D1370" i="2" s="1"/>
  <c r="D1371" i="2" a="1"/>
  <c r="D1371" i="2" s="1"/>
  <c r="D1372" i="2" a="1"/>
  <c r="D1372" i="2" s="1"/>
  <c r="D1373" i="2" a="1"/>
  <c r="D1373" i="2" s="1"/>
  <c r="D1374" i="2" a="1"/>
  <c r="D1374" i="2" s="1"/>
  <c r="D1375" i="2" a="1"/>
  <c r="D1375" i="2" s="1"/>
  <c r="D1376" i="2" a="1"/>
  <c r="D1376" i="2" s="1"/>
  <c r="D1377" i="2" a="1"/>
  <c r="D1377" i="2" s="1"/>
  <c r="D1378" i="2" a="1"/>
  <c r="D1378" i="2" s="1"/>
  <c r="D1379" i="2" a="1"/>
  <c r="D1379" i="2" s="1"/>
  <c r="D1380" i="2" a="1"/>
  <c r="D1380" i="2" s="1"/>
  <c r="D1381" i="2" a="1"/>
  <c r="D1381" i="2" s="1"/>
  <c r="D1382" i="2" a="1"/>
  <c r="D1382" i="2" s="1"/>
  <c r="D1383" i="2" a="1"/>
  <c r="D1383" i="2" s="1"/>
  <c r="D1384" i="2" a="1"/>
  <c r="D1384" i="2" s="1"/>
  <c r="D1385" i="2" a="1"/>
  <c r="D1385" i="2" s="1"/>
  <c r="D1386" i="2" a="1"/>
  <c r="D1386" i="2"/>
  <c r="D1387" i="2" a="1"/>
  <c r="D1387" i="2" s="1"/>
  <c r="D1388" i="2" a="1"/>
  <c r="D1388" i="2" s="1"/>
  <c r="D1389" i="2" a="1"/>
  <c r="D1389" i="2" s="1"/>
  <c r="D1390" i="2" a="1"/>
  <c r="D1390" i="2" s="1"/>
  <c r="D1391" i="2" a="1"/>
  <c r="D1391" i="2" s="1"/>
  <c r="D1392" i="2" a="1"/>
  <c r="D1392" i="2" s="1"/>
  <c r="D1393" i="2" a="1"/>
  <c r="D1393" i="2" s="1"/>
  <c r="D1394" i="2" a="1"/>
  <c r="D1394" i="2" s="1"/>
  <c r="D1395" i="2" a="1"/>
  <c r="D1395" i="2" s="1"/>
  <c r="D1396" i="2" a="1"/>
  <c r="D1396" i="2" s="1"/>
  <c r="D1397" i="2" a="1"/>
  <c r="D1397" i="2" s="1"/>
  <c r="D1398" i="2" a="1"/>
  <c r="D1398" i="2" s="1"/>
  <c r="D1399" i="2" a="1"/>
  <c r="D1399" i="2" s="1"/>
  <c r="D1400" i="2" a="1"/>
  <c r="D1400" i="2" s="1"/>
  <c r="D1401" i="2" a="1"/>
  <c r="D1401" i="2" s="1"/>
  <c r="D1402" i="2" a="1"/>
  <c r="D1402" i="2" s="1"/>
  <c r="D1403" i="2" a="1"/>
  <c r="D1403" i="2" s="1"/>
  <c r="D1404" i="2" a="1"/>
  <c r="D1404" i="2" s="1"/>
  <c r="D1405" i="2" a="1"/>
  <c r="D1405" i="2" s="1"/>
  <c r="D1406" i="2" a="1"/>
  <c r="D1406" i="2" s="1"/>
  <c r="D1407" i="2" a="1"/>
  <c r="D1407" i="2" s="1"/>
  <c r="D1408" i="2" a="1"/>
  <c r="D1408" i="2" s="1"/>
  <c r="D1409" i="2" a="1"/>
  <c r="D1409" i="2" s="1"/>
  <c r="D1410" i="2" a="1"/>
  <c r="D1410" i="2" s="1"/>
  <c r="D1411" i="2" a="1"/>
  <c r="D1411" i="2" s="1"/>
  <c r="D1412" i="2" a="1"/>
  <c r="D1412" i="2" s="1"/>
  <c r="D1413" i="2" a="1"/>
  <c r="D1413" i="2" s="1"/>
  <c r="D1414" i="2" a="1"/>
  <c r="D1414" i="2"/>
  <c r="D1415" i="2" a="1"/>
  <c r="D1415" i="2" s="1"/>
  <c r="D1416" i="2" a="1"/>
  <c r="D1416" i="2" s="1"/>
  <c r="D1417" i="2" a="1"/>
  <c r="D1417" i="2" s="1"/>
  <c r="D1418" i="2" a="1"/>
  <c r="D1418" i="2" s="1"/>
  <c r="D1419" i="2" a="1"/>
  <c r="D1419" i="2"/>
  <c r="D1420" i="2" a="1"/>
  <c r="D1420" i="2" s="1"/>
  <c r="D1421" i="2" a="1"/>
  <c r="D1421" i="2" s="1"/>
  <c r="D1422" i="2" a="1"/>
  <c r="D1422" i="2" s="1"/>
  <c r="D1423" i="2" a="1"/>
  <c r="D1423" i="2" s="1"/>
  <c r="D1424" i="2" a="1"/>
  <c r="D1424" i="2"/>
  <c r="D1425" i="2" a="1"/>
  <c r="D1425" i="2" s="1"/>
  <c r="D1426" i="2" a="1"/>
  <c r="D1426" i="2" s="1"/>
  <c r="D1427" i="2" a="1"/>
  <c r="D1427" i="2" s="1"/>
  <c r="D1428" i="2" a="1"/>
  <c r="D1428" i="2" s="1"/>
  <c r="D1429" i="2" a="1"/>
  <c r="D1429" i="2" s="1"/>
  <c r="D1430" i="2" a="1"/>
  <c r="D1430" i="2" s="1"/>
  <c r="D1431" i="2" a="1"/>
  <c r="D1431" i="2" s="1"/>
  <c r="D1432" i="2" a="1"/>
  <c r="D1432" i="2"/>
  <c r="D1433" i="2" a="1"/>
  <c r="D1433" i="2" s="1"/>
  <c r="D1434" i="2" a="1"/>
  <c r="D1434" i="2" s="1"/>
  <c r="D1435" i="2" a="1"/>
  <c r="D1435" i="2" s="1"/>
  <c r="D1436" i="2" a="1"/>
  <c r="D1436" i="2"/>
  <c r="D1437" i="2" a="1"/>
  <c r="D1437" i="2" s="1"/>
  <c r="D1438" i="2" a="1"/>
  <c r="D1438" i="2" s="1"/>
  <c r="D1439" i="2" a="1"/>
  <c r="D1439" i="2" s="1"/>
  <c r="D1440" i="2" a="1"/>
  <c r="D1440" i="2" s="1"/>
  <c r="D1441" i="2" a="1"/>
  <c r="D1441" i="2" s="1"/>
  <c r="D1442" i="2" a="1"/>
  <c r="D1442" i="2"/>
  <c r="D1443" i="2" a="1"/>
  <c r="D1443" i="2" s="1"/>
  <c r="D1444" i="2" a="1"/>
  <c r="D1444" i="2" s="1"/>
  <c r="D1445" i="2" a="1"/>
  <c r="D1445" i="2" s="1"/>
  <c r="D1446" i="2" a="1"/>
  <c r="D1446" i="2" s="1"/>
  <c r="D1447" i="2" a="1"/>
  <c r="D1447" i="2" s="1"/>
  <c r="D1448" i="2" a="1"/>
  <c r="D1448" i="2" s="1"/>
  <c r="D1449" i="2" a="1"/>
  <c r="D1449" i="2" s="1"/>
  <c r="D1450" i="2" a="1"/>
  <c r="D1450" i="2" s="1"/>
  <c r="D1451" i="2" a="1"/>
  <c r="D1451" i="2" s="1"/>
  <c r="D1452" i="2" a="1"/>
  <c r="D1452" i="2" s="1"/>
  <c r="D1453" i="2" a="1"/>
  <c r="D1453" i="2" s="1"/>
  <c r="D1454" i="2" a="1"/>
  <c r="D1454" i="2" s="1"/>
  <c r="D1455" i="2" a="1"/>
  <c r="D1455" i="2"/>
  <c r="D1456" i="2" a="1"/>
  <c r="D1456" i="2"/>
  <c r="D1457" i="2" a="1"/>
  <c r="D1457" i="2" s="1"/>
  <c r="D1458" i="2" a="1"/>
  <c r="D1458" i="2" s="1"/>
  <c r="D1459" i="2" a="1"/>
  <c r="D1459" i="2" s="1"/>
  <c r="D1460" i="2" a="1"/>
  <c r="D1460" i="2" s="1"/>
  <c r="D1461" i="2" a="1"/>
  <c r="D1461" i="2" s="1"/>
  <c r="D1462" i="2" a="1"/>
  <c r="D1462" i="2" s="1"/>
  <c r="D1463" i="2" a="1"/>
  <c r="D1463" i="2" s="1"/>
  <c r="D1464" i="2" a="1"/>
  <c r="D1464" i="2" s="1"/>
  <c r="D1465" i="2" a="1"/>
  <c r="D1465" i="2" s="1"/>
  <c r="D1466" i="2" a="1"/>
  <c r="D1466" i="2" s="1"/>
  <c r="D1467" i="2" a="1"/>
  <c r="D1467" i="2" s="1"/>
  <c r="D1468" i="2" a="1"/>
  <c r="D1468" i="2" s="1"/>
  <c r="D1469" i="2" a="1"/>
  <c r="D1469" i="2" s="1"/>
  <c r="D1470" i="2" a="1"/>
  <c r="D1470" i="2" s="1"/>
  <c r="D1471" i="2" a="1"/>
  <c r="D1471" i="2" s="1"/>
  <c r="D1472" i="2" a="1"/>
  <c r="D1472" i="2" s="1"/>
  <c r="D1473" i="2" a="1"/>
  <c r="D1473" i="2"/>
  <c r="D1474" i="2" a="1"/>
  <c r="D1474" i="2" s="1"/>
  <c r="D1475" i="2" a="1"/>
  <c r="D1475" i="2" s="1"/>
  <c r="D1476" i="2" a="1"/>
  <c r="D1476" i="2" s="1"/>
  <c r="D1477" i="2" a="1"/>
  <c r="D1477" i="2" s="1"/>
  <c r="D1478" i="2" a="1"/>
  <c r="D1478" i="2" s="1"/>
  <c r="D1479" i="2" a="1"/>
  <c r="D1479" i="2" s="1"/>
  <c r="D1480" i="2" a="1"/>
  <c r="D1480" i="2" s="1"/>
  <c r="D1481" i="2" a="1"/>
  <c r="D1481" i="2" s="1"/>
  <c r="D1482" i="2" a="1"/>
  <c r="D1482" i="2" s="1"/>
  <c r="D1483" i="2" a="1"/>
  <c r="D1483" i="2" s="1"/>
  <c r="D1484" i="2" a="1"/>
  <c r="D1484" i="2" s="1"/>
  <c r="D1485" i="2" a="1"/>
  <c r="D1485" i="2" s="1"/>
  <c r="D1486" i="2" a="1"/>
  <c r="D1486" i="2" s="1"/>
  <c r="D1487" i="2" a="1"/>
  <c r="D1487" i="2" s="1"/>
  <c r="D1488" i="2" a="1"/>
  <c r="D1488" i="2" s="1"/>
  <c r="D1489" i="2" a="1"/>
  <c r="D1489" i="2" s="1"/>
  <c r="D1490" i="2" a="1"/>
  <c r="D1490" i="2" s="1"/>
  <c r="D1491" i="2" a="1"/>
  <c r="D1491" i="2" s="1"/>
  <c r="D1492" i="2" a="1"/>
  <c r="D1492" i="2" s="1"/>
  <c r="D1493" i="2" a="1"/>
  <c r="D1493" i="2" s="1"/>
  <c r="D1494" i="2" a="1"/>
  <c r="D1494" i="2"/>
  <c r="D1495" i="2" a="1"/>
  <c r="D1495" i="2" s="1"/>
  <c r="D1496" i="2" a="1"/>
  <c r="D1496" i="2" s="1"/>
  <c r="D1497" i="2" a="1"/>
  <c r="D1497" i="2" s="1"/>
  <c r="D1498" i="2" a="1"/>
  <c r="D1498" i="2" s="1"/>
  <c r="D1499" i="2" a="1"/>
  <c r="D1499" i="2" s="1"/>
  <c r="D1500" i="2" a="1"/>
  <c r="D1500" i="2" s="1"/>
  <c r="D1501" i="2" a="1"/>
  <c r="D1501" i="2" s="1"/>
  <c r="D1502" i="2" a="1"/>
  <c r="D1502" i="2" s="1"/>
  <c r="D1503" i="2" a="1"/>
  <c r="D1503" i="2" s="1"/>
  <c r="D1504" i="2" a="1"/>
  <c r="D1504" i="2" s="1"/>
  <c r="D1505" i="2" a="1"/>
  <c r="D1505" i="2" s="1"/>
  <c r="D1506" i="2" a="1"/>
  <c r="D1506" i="2" s="1"/>
  <c r="D1507" i="2" a="1"/>
  <c r="D1507" i="2" s="1"/>
  <c r="D1508" i="2" a="1"/>
  <c r="D1508" i="2" s="1"/>
  <c r="D1509" i="2" a="1"/>
  <c r="D1509" i="2" s="1"/>
  <c r="D1510" i="2" a="1"/>
  <c r="D1510" i="2"/>
  <c r="D1511" i="2" a="1"/>
  <c r="D1511" i="2" s="1"/>
  <c r="D1512" i="2" a="1"/>
  <c r="D1512" i="2" s="1"/>
  <c r="D1513" i="2" a="1"/>
  <c r="D1513" i="2" s="1"/>
  <c r="D1514" i="2" a="1"/>
  <c r="D1514" i="2" s="1"/>
  <c r="D1515" i="2" a="1"/>
  <c r="D1515" i="2" s="1"/>
  <c r="D1516" i="2" a="1"/>
  <c r="D1516" i="2" s="1"/>
  <c r="D1517" i="2" a="1"/>
  <c r="D1517" i="2" s="1"/>
  <c r="D1518" i="2" a="1"/>
  <c r="D1518" i="2" s="1"/>
  <c r="D1519" i="2" a="1"/>
  <c r="D1519" i="2" s="1"/>
  <c r="D1520" i="2" a="1"/>
  <c r="D1520" i="2" s="1"/>
  <c r="D1521" i="2" a="1"/>
  <c r="D1521" i="2" s="1"/>
  <c r="D1522" i="2" a="1"/>
  <c r="D1522" i="2" s="1"/>
  <c r="D1523" i="2" a="1"/>
  <c r="D1523" i="2"/>
  <c r="D1524" i="2" a="1"/>
  <c r="D1524" i="2" s="1"/>
  <c r="D1525" i="2" a="1"/>
  <c r="D1525" i="2" s="1"/>
  <c r="D1526" i="2" a="1"/>
  <c r="D1526" i="2" s="1"/>
  <c r="D1527" i="2" a="1"/>
  <c r="D1527" i="2" s="1"/>
  <c r="D1528" i="2" a="1"/>
  <c r="D1528" i="2" s="1"/>
  <c r="D1529" i="2" a="1"/>
  <c r="D1529" i="2" s="1"/>
  <c r="D1530" i="2" a="1"/>
  <c r="D1530" i="2" s="1"/>
  <c r="D1531" i="2" a="1"/>
  <c r="D1531" i="2" s="1"/>
  <c r="D1532" i="2" a="1"/>
  <c r="D1532" i="2" s="1"/>
  <c r="D1533" i="2" a="1"/>
  <c r="D1533" i="2" s="1"/>
  <c r="D1534" i="2" a="1"/>
  <c r="D1534" i="2" s="1"/>
  <c r="D1535" i="2" a="1"/>
  <c r="D1535" i="2" s="1"/>
  <c r="D1536" i="2" a="1"/>
  <c r="D1536" i="2" s="1"/>
  <c r="D1537" i="2" a="1"/>
  <c r="D1537" i="2" s="1"/>
  <c r="D1538" i="2" a="1"/>
  <c r="D1538" i="2" s="1"/>
  <c r="D1539" i="2" a="1"/>
  <c r="D1539" i="2" s="1"/>
  <c r="D1540" i="2" a="1"/>
  <c r="D1540" i="2" s="1"/>
  <c r="D1541" i="2" a="1"/>
  <c r="D1541" i="2" s="1"/>
  <c r="D1542" i="2" a="1"/>
  <c r="D1542" i="2" s="1"/>
  <c r="D1543" i="2" a="1"/>
  <c r="D1543" i="2" s="1"/>
  <c r="D1544" i="2" a="1"/>
  <c r="D1544" i="2" s="1"/>
  <c r="D1545" i="2" a="1"/>
  <c r="D1545" i="2"/>
  <c r="D1546" i="2" a="1"/>
  <c r="D1546" i="2" s="1"/>
  <c r="D1547" i="2" a="1"/>
  <c r="D1547" i="2" s="1"/>
  <c r="D1548" i="2" a="1"/>
  <c r="D1548" i="2" s="1"/>
  <c r="D1549" i="2" a="1"/>
  <c r="D1549" i="2" s="1"/>
  <c r="D1550" i="2" a="1"/>
  <c r="D1550" i="2" s="1"/>
  <c r="D1551" i="2" a="1"/>
  <c r="D1551" i="2" s="1"/>
  <c r="D1552" i="2" a="1"/>
  <c r="D1552" i="2" s="1"/>
  <c r="D1553" i="2" a="1"/>
  <c r="D1553" i="2" s="1"/>
  <c r="D1554" i="2" a="1"/>
  <c r="D1554" i="2" s="1"/>
  <c r="D1555" i="2" a="1"/>
  <c r="D1555" i="2" s="1"/>
  <c r="D1556" i="2" a="1"/>
  <c r="D1556" i="2" s="1"/>
  <c r="D1557" i="2" a="1"/>
  <c r="D1557" i="2" s="1"/>
  <c r="D1558" i="2" a="1"/>
  <c r="D1558" i="2" s="1"/>
  <c r="D1559" i="2" a="1"/>
  <c r="D1559" i="2" s="1"/>
  <c r="D1560" i="2" a="1"/>
  <c r="D1560" i="2" s="1"/>
  <c r="D1561" i="2" a="1"/>
  <c r="D1561" i="2" s="1"/>
  <c r="D1562" i="2" a="1"/>
  <c r="D1562" i="2" s="1"/>
  <c r="D1563" i="2" a="1"/>
  <c r="D1563" i="2" s="1"/>
  <c r="D1564" i="2" a="1"/>
  <c r="D1564" i="2" s="1"/>
  <c r="D1565" i="2" a="1"/>
  <c r="D1565" i="2" s="1"/>
  <c r="D1566" i="2" a="1"/>
  <c r="D1566" i="2" s="1"/>
  <c r="D1567" i="2" a="1"/>
  <c r="D1567" i="2" s="1"/>
  <c r="D1568" i="2" a="1"/>
  <c r="D1568" i="2" s="1"/>
  <c r="D1569" i="2" a="1"/>
  <c r="D1569" i="2" s="1"/>
  <c r="D1570" i="2" a="1"/>
  <c r="D1570" i="2" s="1"/>
  <c r="D1571" i="2" a="1"/>
  <c r="D1571" i="2" s="1"/>
  <c r="D1572" i="2" a="1"/>
  <c r="D1572" i="2" s="1"/>
  <c r="D1573" i="2" a="1"/>
  <c r="D1573" i="2" s="1"/>
  <c r="D1574" i="2" a="1"/>
  <c r="D1574" i="2" s="1"/>
  <c r="D1575" i="2" a="1"/>
  <c r="D1575" i="2" s="1"/>
  <c r="D1576" i="2" a="1"/>
  <c r="D1576" i="2" s="1"/>
  <c r="D1577" i="2" a="1"/>
  <c r="D1577" i="2" s="1"/>
  <c r="D1578" i="2" a="1"/>
  <c r="D1578" i="2" s="1"/>
  <c r="D1579" i="2" a="1"/>
  <c r="D1579" i="2"/>
  <c r="D1580" i="2" a="1"/>
  <c r="D1580" i="2"/>
  <c r="D1581" i="2" a="1"/>
  <c r="D1581" i="2" s="1"/>
  <c r="D1582" i="2" a="1"/>
  <c r="D1582" i="2" s="1"/>
  <c r="D1583" i="2" a="1"/>
  <c r="D1583" i="2" s="1"/>
  <c r="D1584" i="2" a="1"/>
  <c r="D1584" i="2"/>
  <c r="D1585" i="2" a="1"/>
  <c r="D1585" i="2" s="1"/>
  <c r="D1586" i="2" a="1"/>
  <c r="D1586" i="2" s="1"/>
  <c r="D1587" i="2" a="1"/>
  <c r="D1587" i="2" s="1"/>
  <c r="D1588" i="2" a="1"/>
  <c r="D1588" i="2" s="1"/>
  <c r="D1589" i="2" a="1"/>
  <c r="D1589" i="2" s="1"/>
  <c r="D1590" i="2" a="1"/>
  <c r="D1590" i="2" s="1"/>
  <c r="D1591" i="2" a="1"/>
  <c r="D1591" i="2" s="1"/>
  <c r="D1592" i="2" a="1"/>
  <c r="D1592" i="2" s="1"/>
  <c r="D1593" i="2" a="1"/>
  <c r="D1593" i="2" s="1"/>
  <c r="D1594" i="2" a="1"/>
  <c r="D1594" i="2" s="1"/>
  <c r="D1595" i="2" a="1"/>
  <c r="D1595" i="2" s="1"/>
  <c r="D1596" i="2" a="1"/>
  <c r="D1596" i="2" s="1"/>
  <c r="D1597" i="2" a="1"/>
  <c r="D1597" i="2" s="1"/>
  <c r="D1598" i="2" a="1"/>
  <c r="D1598" i="2" s="1"/>
  <c r="D1599" i="2" a="1"/>
  <c r="D1599" i="2" s="1"/>
  <c r="D1600" i="2" a="1"/>
  <c r="D1600" i="2"/>
  <c r="D1601" i="2" a="1"/>
  <c r="D1601" i="2" s="1"/>
  <c r="D1602" i="2" a="1"/>
  <c r="D1602" i="2" s="1"/>
  <c r="D1603" i="2" a="1"/>
  <c r="D1603" i="2" s="1"/>
  <c r="D1604" i="2" a="1"/>
  <c r="D1604" i="2" s="1"/>
  <c r="D1605" i="2" a="1"/>
  <c r="D1605" i="2" s="1"/>
  <c r="D1606" i="2" a="1"/>
  <c r="D1606" i="2" s="1"/>
  <c r="D1607" i="2" a="1"/>
  <c r="D1607" i="2" s="1"/>
  <c r="D1608" i="2" a="1"/>
  <c r="D1608" i="2" s="1"/>
  <c r="D1609" i="2" a="1"/>
  <c r="D1609" i="2" s="1"/>
  <c r="D1610" i="2" a="1"/>
  <c r="D1610" i="2" s="1"/>
  <c r="D1611" i="2" a="1"/>
  <c r="D1611" i="2" s="1"/>
  <c r="D1612" i="2" a="1"/>
  <c r="D1612" i="2"/>
  <c r="D1613" i="2" a="1"/>
  <c r="D1613" i="2" s="1"/>
  <c r="D1614" i="2" a="1"/>
  <c r="D1614" i="2" s="1"/>
  <c r="D1615" i="2" a="1"/>
  <c r="D1615" i="2" s="1"/>
  <c r="D1616" i="2" a="1"/>
  <c r="D1616" i="2" s="1"/>
  <c r="D1617" i="2" a="1"/>
  <c r="D1617" i="2" s="1"/>
  <c r="D1618" i="2" a="1"/>
  <c r="D1618" i="2" s="1"/>
  <c r="D1619" i="2" a="1"/>
  <c r="D1619" i="2" s="1"/>
  <c r="D1620" i="2" a="1"/>
  <c r="D1620" i="2" s="1"/>
  <c r="D1621" i="2" a="1"/>
  <c r="D1621" i="2" s="1"/>
  <c r="D1622" i="2" a="1"/>
  <c r="D1622" i="2" s="1"/>
  <c r="D1623" i="2" a="1"/>
  <c r="D1623" i="2" s="1"/>
  <c r="D1624" i="2" a="1"/>
  <c r="D1624" i="2" s="1"/>
  <c r="D1625" i="2" a="1"/>
  <c r="D1625" i="2" s="1"/>
  <c r="D1626" i="2" a="1"/>
  <c r="D1626" i="2" s="1"/>
  <c r="D1627" i="2" a="1"/>
  <c r="D1627" i="2" s="1"/>
  <c r="D1628" i="2" a="1"/>
  <c r="D1628" i="2" s="1"/>
  <c r="D1629" i="2" a="1"/>
  <c r="D1629" i="2" s="1"/>
  <c r="D1630" i="2" a="1"/>
  <c r="D1630" i="2" s="1"/>
  <c r="D1631" i="2" a="1"/>
  <c r="D1631" i="2" s="1"/>
  <c r="D1632" i="2" a="1"/>
  <c r="D1632" i="2" s="1"/>
  <c r="D1633" i="2" a="1"/>
  <c r="D1633" i="2" s="1"/>
  <c r="D1634" i="2" a="1"/>
  <c r="D1634" i="2" s="1"/>
  <c r="D1635" i="2" a="1"/>
  <c r="D1635" i="2" s="1"/>
  <c r="D1636" i="2" a="1"/>
  <c r="D1636" i="2" s="1"/>
  <c r="D1637" i="2" a="1"/>
  <c r="D1637" i="2" s="1"/>
  <c r="D1638" i="2" a="1"/>
  <c r="D1638" i="2"/>
  <c r="D1639" i="2" a="1"/>
  <c r="D1639" i="2" s="1"/>
  <c r="D1640" i="2" a="1"/>
  <c r="D1640" i="2" s="1"/>
  <c r="D1641" i="2" a="1"/>
  <c r="D1641" i="2" s="1"/>
  <c r="D1642" i="2" a="1"/>
  <c r="D1642" i="2" s="1"/>
  <c r="D1643" i="2" a="1"/>
  <c r="D1643" i="2" s="1"/>
  <c r="D1644" i="2" a="1"/>
  <c r="D1644" i="2" s="1"/>
  <c r="D1645" i="2" a="1"/>
  <c r="D1645" i="2" s="1"/>
  <c r="D1646" i="2" a="1"/>
  <c r="D1646" i="2" s="1"/>
  <c r="D1647" i="2" a="1"/>
  <c r="D1647" i="2" s="1"/>
  <c r="D1648" i="2" a="1"/>
  <c r="D1648" i="2" s="1"/>
  <c r="D1649" i="2" a="1"/>
  <c r="D1649" i="2" s="1"/>
  <c r="D1650" i="2" a="1"/>
  <c r="D1650" i="2" s="1"/>
  <c r="D1651" i="2" a="1"/>
  <c r="D1651" i="2" s="1"/>
  <c r="D1652" i="2" a="1"/>
  <c r="D1652" i="2" s="1"/>
  <c r="D1653" i="2" a="1"/>
  <c r="D1653" i="2" s="1"/>
  <c r="D1654" i="2" a="1"/>
  <c r="D1654" i="2"/>
  <c r="D1655" i="2" a="1"/>
  <c r="D1655" i="2"/>
  <c r="D1656" i="2" a="1"/>
  <c r="D1656" i="2" s="1"/>
  <c r="D1657" i="2" a="1"/>
  <c r="D1657" i="2" s="1"/>
  <c r="D1658" i="2" a="1"/>
  <c r="D1658" i="2"/>
  <c r="D1659" i="2" a="1"/>
  <c r="D1659" i="2" s="1"/>
  <c r="D1660" i="2" a="1"/>
  <c r="D1660" i="2" s="1"/>
  <c r="D1661" i="2" a="1"/>
  <c r="D1661" i="2" s="1"/>
  <c r="D1662" i="2" a="1"/>
  <c r="D1662" i="2" s="1"/>
  <c r="D1663" i="2" a="1"/>
  <c r="D1663" i="2" s="1"/>
  <c r="D1664" i="2" a="1"/>
  <c r="D1664" i="2" s="1"/>
  <c r="D1665" i="2" a="1"/>
  <c r="D1665" i="2" s="1"/>
  <c r="D1666" i="2" a="1"/>
  <c r="D1666" i="2"/>
  <c r="D1667" i="2" a="1"/>
  <c r="D1667" i="2" s="1"/>
  <c r="D1668" i="2" a="1"/>
  <c r="D1668" i="2" s="1"/>
  <c r="D1669" i="2" a="1"/>
  <c r="D1669" i="2" s="1"/>
  <c r="D1670" i="2" a="1"/>
  <c r="D1670" i="2" s="1"/>
  <c r="D1671" i="2" a="1"/>
  <c r="D1671" i="2"/>
  <c r="D1672" i="2" a="1"/>
  <c r="D1672" i="2" s="1"/>
  <c r="D1673" i="2" a="1"/>
  <c r="D1673" i="2"/>
  <c r="D1674" i="2" a="1"/>
  <c r="D1674" i="2" s="1"/>
  <c r="D1675" i="2" a="1"/>
  <c r="D1675" i="2" s="1"/>
  <c r="D1676" i="2" a="1"/>
  <c r="D1676" i="2" s="1"/>
  <c r="D1677" i="2" a="1"/>
  <c r="D1677" i="2" s="1"/>
  <c r="D1678" i="2" a="1"/>
  <c r="D1678" i="2" s="1"/>
  <c r="D1679" i="2" a="1"/>
  <c r="D1679" i="2" s="1"/>
  <c r="D1680" i="2" a="1"/>
  <c r="D1680" i="2" s="1"/>
  <c r="D1681" i="2" a="1"/>
  <c r="D1681" i="2" s="1"/>
  <c r="D1682" i="2" a="1"/>
  <c r="D1682" i="2" s="1"/>
  <c r="D1683" i="2" a="1"/>
  <c r="D1683" i="2" s="1"/>
  <c r="D1684" i="2" a="1"/>
  <c r="D1684" i="2" s="1"/>
  <c r="D1685" i="2" a="1"/>
  <c r="D1685" i="2" s="1"/>
  <c r="D1686" i="2" a="1"/>
  <c r="D1686" i="2" s="1"/>
  <c r="D1687" i="2" a="1"/>
  <c r="D1687" i="2" s="1"/>
  <c r="D1688" i="2" a="1"/>
  <c r="D1688" i="2" s="1"/>
  <c r="D1689" i="2" a="1"/>
  <c r="D1689" i="2" s="1"/>
  <c r="D1690" i="2" a="1"/>
  <c r="D1690" i="2"/>
  <c r="D1691" i="2" a="1"/>
  <c r="D1691" i="2" s="1"/>
  <c r="D1692" i="2" a="1"/>
  <c r="D1692" i="2" s="1"/>
  <c r="D1693" i="2" a="1"/>
  <c r="D1693" i="2" s="1"/>
  <c r="D1694" i="2" a="1"/>
  <c r="D1694" i="2" s="1"/>
  <c r="D1695" i="2" a="1"/>
  <c r="D1695" i="2" s="1"/>
  <c r="D1696" i="2" a="1"/>
  <c r="D1696" i="2" s="1"/>
  <c r="D1697" i="2" a="1"/>
  <c r="D1697" i="2" s="1"/>
  <c r="D1698" i="2" a="1"/>
  <c r="D1698" i="2" s="1"/>
  <c r="D1699" i="2" a="1"/>
  <c r="D1699" i="2" s="1"/>
  <c r="D1700" i="2" a="1"/>
  <c r="D1700" i="2"/>
  <c r="D1701" i="2" a="1"/>
  <c r="D1701" i="2" s="1"/>
  <c r="D1702" i="2" a="1"/>
  <c r="D1702" i="2" s="1"/>
  <c r="D1703" i="2" a="1"/>
  <c r="D1703" i="2" s="1"/>
  <c r="D1704" i="2" a="1"/>
  <c r="D1704" i="2" s="1"/>
  <c r="D1705" i="2" a="1"/>
  <c r="D1705" i="2" s="1"/>
  <c r="D1706" i="2" a="1"/>
  <c r="D1706" i="2" s="1"/>
  <c r="D1707" i="2" a="1"/>
  <c r="D1707" i="2"/>
  <c r="D1708" i="2" a="1"/>
  <c r="D1708" i="2" s="1"/>
  <c r="D1709" i="2" a="1"/>
  <c r="D1709" i="2" s="1"/>
  <c r="D1710" i="2" a="1"/>
  <c r="D1710" i="2" s="1"/>
  <c r="D1711" i="2" a="1"/>
  <c r="D1711" i="2" s="1"/>
  <c r="D1712" i="2" a="1"/>
  <c r="D1712" i="2" s="1"/>
  <c r="D1713" i="2" a="1"/>
  <c r="D1713" i="2" s="1"/>
  <c r="D1714" i="2" a="1"/>
  <c r="D1714" i="2" s="1"/>
  <c r="D1715" i="2" a="1"/>
  <c r="D1715" i="2" s="1"/>
  <c r="D1716" i="2" a="1"/>
  <c r="D1716" i="2" s="1"/>
  <c r="D1717" i="2" a="1"/>
  <c r="D1717" i="2" s="1"/>
  <c r="D1718" i="2" a="1"/>
  <c r="D1718" i="2" s="1"/>
  <c r="D1719" i="2" a="1"/>
  <c r="D1719" i="2" s="1"/>
  <c r="D1720" i="2" a="1"/>
  <c r="D1720" i="2" s="1"/>
  <c r="D1721" i="2" a="1"/>
  <c r="D1721" i="2" s="1"/>
  <c r="D1722" i="2" a="1"/>
  <c r="D1722" i="2" s="1"/>
  <c r="D1723" i="2" a="1"/>
  <c r="D1723" i="2" s="1"/>
  <c r="D1724" i="2" a="1"/>
  <c r="D1724" i="2" s="1"/>
  <c r="D1725" i="2" a="1"/>
  <c r="D1725" i="2" s="1"/>
  <c r="D1726" i="2" a="1"/>
  <c r="D1726" i="2"/>
  <c r="D1727" i="2" a="1"/>
  <c r="D1727" i="2" s="1"/>
  <c r="D1728" i="2" a="1"/>
  <c r="D1728" i="2" s="1"/>
  <c r="D1729" i="2" a="1"/>
  <c r="D1729" i="2" s="1"/>
  <c r="D1730" i="2" a="1"/>
  <c r="D1730" i="2" s="1"/>
  <c r="D1731" i="2" a="1"/>
  <c r="D1731" i="2" s="1"/>
  <c r="D1732" i="2" a="1"/>
  <c r="D1732" i="2" s="1"/>
  <c r="D1733" i="2" a="1"/>
  <c r="D1733" i="2" s="1"/>
  <c r="D1734" i="2" a="1"/>
  <c r="D1734" i="2" s="1"/>
  <c r="D1735" i="2" a="1"/>
  <c r="D1735" i="2"/>
  <c r="D1736" i="2" a="1"/>
  <c r="D1736" i="2" s="1"/>
  <c r="D1737" i="2" a="1"/>
  <c r="D1737" i="2" s="1"/>
  <c r="D1738" i="2" a="1"/>
  <c r="D1738" i="2" s="1"/>
  <c r="D1739" i="2" a="1"/>
  <c r="D1739" i="2" s="1"/>
  <c r="D1740" i="2" a="1"/>
  <c r="D1740" i="2" s="1"/>
  <c r="D1741" i="2" a="1"/>
  <c r="D1741" i="2" s="1"/>
  <c r="D1742" i="2" a="1"/>
  <c r="D1742" i="2" s="1"/>
  <c r="D1743" i="2" a="1"/>
  <c r="D1743" i="2" s="1"/>
  <c r="D1744" i="2" a="1"/>
  <c r="D1744" i="2" s="1"/>
  <c r="D1745" i="2" a="1"/>
  <c r="D1745" i="2" s="1"/>
  <c r="D1746" i="2" a="1"/>
  <c r="D1746" i="2" s="1"/>
  <c r="D1747" i="2" a="1"/>
  <c r="D1747" i="2" s="1"/>
  <c r="D1748" i="2" a="1"/>
  <c r="D1748" i="2" s="1"/>
  <c r="D1749" i="2" a="1"/>
  <c r="D1749" i="2" s="1"/>
  <c r="D1750" i="2" a="1"/>
  <c r="D1750" i="2" s="1"/>
  <c r="D1751" i="2" a="1"/>
  <c r="D1751" i="2" s="1"/>
  <c r="D1752" i="2" a="1"/>
  <c r="D1752" i="2" s="1"/>
  <c r="D1753" i="2" a="1"/>
  <c r="D1753" i="2" s="1"/>
  <c r="D1754" i="2" a="1"/>
  <c r="D1754" i="2" s="1"/>
  <c r="D1755" i="2" a="1"/>
  <c r="D1755" i="2" s="1"/>
  <c r="D1756" i="2" a="1"/>
  <c r="D1756" i="2" s="1"/>
  <c r="D1757" i="2" a="1"/>
  <c r="D1757" i="2" s="1"/>
  <c r="D1758" i="2" a="1"/>
  <c r="D1758" i="2" s="1"/>
  <c r="D1759" i="2" a="1"/>
  <c r="D1759" i="2" s="1"/>
  <c r="D1760" i="2" a="1"/>
  <c r="D1760" i="2" s="1"/>
  <c r="D1761" i="2" a="1"/>
  <c r="D1761" i="2" s="1"/>
  <c r="D1762" i="2" a="1"/>
  <c r="D1762" i="2" s="1"/>
  <c r="D1763" i="2" a="1"/>
  <c r="D1763" i="2" s="1"/>
  <c r="D1764" i="2" a="1"/>
  <c r="D1764" i="2"/>
  <c r="D1765" i="2" a="1"/>
  <c r="D1765" i="2" s="1"/>
  <c r="D1766" i="2" a="1"/>
  <c r="D1766" i="2"/>
  <c r="D1767" i="2" a="1"/>
  <c r="D1767" i="2"/>
  <c r="D1768" i="2" a="1"/>
  <c r="D1768" i="2" s="1"/>
  <c r="D1769" i="2" a="1"/>
  <c r="D1769" i="2" s="1"/>
  <c r="D1770" i="2" a="1"/>
  <c r="D1770" i="2" s="1"/>
  <c r="D1771" i="2" a="1"/>
  <c r="D1771" i="2" s="1"/>
  <c r="D1772" i="2" a="1"/>
  <c r="D1772" i="2" s="1"/>
  <c r="D1773" i="2" a="1"/>
  <c r="D1773" i="2" s="1"/>
  <c r="D1774" i="2" a="1"/>
  <c r="D1774" i="2" s="1"/>
  <c r="D1775" i="2" a="1"/>
  <c r="D1775" i="2" s="1"/>
  <c r="D1776" i="2" a="1"/>
  <c r="D1776" i="2" s="1"/>
  <c r="D1777" i="2" a="1"/>
  <c r="D1777" i="2" s="1"/>
  <c r="D1778" i="2" a="1"/>
  <c r="D1778" i="2" s="1"/>
  <c r="D1779" i="2" a="1"/>
  <c r="D1779" i="2" s="1"/>
  <c r="D1780" i="2" a="1"/>
  <c r="D1780" i="2" s="1"/>
  <c r="D1781" i="2" a="1"/>
  <c r="D1781" i="2" s="1"/>
  <c r="D1782" i="2" a="1"/>
  <c r="D1782" i="2" s="1"/>
  <c r="D1783" i="2" a="1"/>
  <c r="D1783" i="2" s="1"/>
  <c r="D1784" i="2" a="1"/>
  <c r="D1784" i="2"/>
  <c r="D1785" i="2" a="1"/>
  <c r="D1785" i="2" s="1"/>
  <c r="D1786" i="2" a="1"/>
  <c r="D1786" i="2" s="1"/>
  <c r="D1787" i="2" a="1"/>
  <c r="D1787" i="2" s="1"/>
  <c r="D1788" i="2" a="1"/>
  <c r="D1788" i="2" s="1"/>
  <c r="D1789" i="2" a="1"/>
  <c r="D1789" i="2" s="1"/>
  <c r="D1790" i="2" a="1"/>
  <c r="D1790" i="2" s="1"/>
  <c r="D1791" i="2" a="1"/>
  <c r="D1791" i="2" s="1"/>
  <c r="D1792" i="2" a="1"/>
  <c r="D1792" i="2" s="1"/>
  <c r="D1793" i="2" a="1"/>
  <c r="D1793" i="2" s="1"/>
  <c r="D1794" i="2" a="1"/>
  <c r="D1794" i="2"/>
  <c r="D1795" i="2" a="1"/>
  <c r="D1795" i="2" s="1"/>
  <c r="D1796" i="2" a="1"/>
  <c r="D1796" i="2" s="1"/>
  <c r="D1797" i="2" a="1"/>
  <c r="D1797" i="2" s="1"/>
  <c r="D1798" i="2" a="1"/>
  <c r="D1798" i="2" s="1"/>
  <c r="D1799" i="2" a="1"/>
  <c r="D1799" i="2" s="1"/>
  <c r="D1800" i="2" a="1"/>
  <c r="D1800" i="2" s="1"/>
  <c r="D1801" i="2" a="1"/>
  <c r="D1801" i="2" s="1"/>
  <c r="D1802" i="2" a="1"/>
  <c r="D1802" i="2" s="1"/>
  <c r="D1803" i="2" a="1"/>
  <c r="D1803" i="2" s="1"/>
  <c r="D1804" i="2" a="1"/>
  <c r="D1804" i="2" s="1"/>
  <c r="D1805" i="2" a="1"/>
  <c r="D1805" i="2" s="1"/>
  <c r="D1806" i="2" a="1"/>
  <c r="D1806" i="2" s="1"/>
  <c r="D1807" i="2" a="1"/>
  <c r="D1807" i="2" s="1"/>
  <c r="D1808" i="2" a="1"/>
  <c r="D1808" i="2" s="1"/>
  <c r="D1809" i="2" a="1"/>
  <c r="D1809" i="2" s="1"/>
  <c r="D1810" i="2" a="1"/>
  <c r="D1810" i="2" s="1"/>
  <c r="D1811" i="2" a="1"/>
  <c r="D1811" i="2" s="1"/>
  <c r="D1812" i="2" a="1"/>
  <c r="D1812" i="2" s="1"/>
  <c r="D1813" i="2" a="1"/>
  <c r="D1813" i="2" s="1"/>
  <c r="D1814" i="2" a="1"/>
  <c r="D1814" i="2" s="1"/>
  <c r="D1815" i="2" a="1"/>
  <c r="D1815" i="2" s="1"/>
  <c r="D1816" i="2" a="1"/>
  <c r="D1816" i="2" s="1"/>
  <c r="D1817" i="2" a="1"/>
  <c r="D1817" i="2" s="1"/>
  <c r="D1818" i="2" a="1"/>
  <c r="D1818" i="2" s="1"/>
  <c r="D1819" i="2" a="1"/>
  <c r="D1819" i="2" s="1"/>
  <c r="D1820" i="2" a="1"/>
  <c r="D1820" i="2" s="1"/>
  <c r="D1821" i="2" a="1"/>
  <c r="D1821" i="2" s="1"/>
  <c r="D1822" i="2" a="1"/>
  <c r="D1822" i="2"/>
  <c r="D1823" i="2" a="1"/>
  <c r="D1823" i="2" s="1"/>
  <c r="D1824" i="2" a="1"/>
  <c r="D1824" i="2" s="1"/>
  <c r="D1825" i="2" a="1"/>
  <c r="D1825" i="2" s="1"/>
  <c r="D1826" i="2" a="1"/>
  <c r="D1826" i="2" s="1"/>
  <c r="D1827" i="2" a="1"/>
  <c r="D1827" i="2" s="1"/>
  <c r="D1828" i="2" a="1"/>
  <c r="D1828" i="2" s="1"/>
  <c r="D1829" i="2" a="1"/>
  <c r="D1829" i="2" s="1"/>
  <c r="D1830" i="2" a="1"/>
  <c r="D1830" i="2" s="1"/>
  <c r="D1831" i="2" a="1"/>
  <c r="D1831" i="2" s="1"/>
  <c r="D1832" i="2" a="1"/>
  <c r="D1832" i="2" s="1"/>
  <c r="D1833" i="2" a="1"/>
  <c r="D1833" i="2" s="1"/>
  <c r="D1834" i="2" a="1"/>
  <c r="D1834" i="2" s="1"/>
  <c r="D1835" i="2" a="1"/>
  <c r="D1835" i="2" s="1"/>
  <c r="D1836" i="2" a="1"/>
  <c r="D1836" i="2" s="1"/>
  <c r="D1837" i="2" a="1"/>
  <c r="D1837" i="2" s="1"/>
  <c r="D1838" i="2" a="1"/>
  <c r="D1838" i="2" s="1"/>
  <c r="D1839" i="2" a="1"/>
  <c r="D1839" i="2" s="1"/>
  <c r="D1840" i="2" a="1"/>
  <c r="D1840" i="2" s="1"/>
  <c r="D1841" i="2" a="1"/>
  <c r="D1841" i="2" s="1"/>
  <c r="D1842" i="2" a="1"/>
  <c r="D1842" i="2" s="1"/>
  <c r="D1843" i="2" a="1"/>
  <c r="D1843" i="2" s="1"/>
  <c r="D1844" i="2" a="1"/>
  <c r="D1844" i="2" s="1"/>
  <c r="D1845" i="2" a="1"/>
  <c r="D1845" i="2" s="1"/>
  <c r="D1846" i="2" a="1"/>
  <c r="D1846" i="2" s="1"/>
  <c r="D1847" i="2" a="1"/>
  <c r="D1847" i="2" s="1"/>
  <c r="D1848" i="2" a="1"/>
  <c r="D1848" i="2" s="1"/>
  <c r="D1849" i="2" a="1"/>
  <c r="D1849" i="2" s="1"/>
  <c r="D1850" i="2" a="1"/>
  <c r="D1850" i="2"/>
  <c r="D1851" i="2" a="1"/>
  <c r="D1851" i="2" s="1"/>
  <c r="D1852" i="2" a="1"/>
  <c r="D1852" i="2" s="1"/>
  <c r="D1853" i="2" a="1"/>
  <c r="D1853" i="2" s="1"/>
  <c r="D1854" i="2" a="1"/>
  <c r="D1854" i="2" s="1"/>
  <c r="D1855" i="2" a="1"/>
  <c r="D1855" i="2" s="1"/>
  <c r="D1856" i="2" a="1"/>
  <c r="D1856" i="2" s="1"/>
  <c r="D1857" i="2" a="1"/>
  <c r="D1857" i="2"/>
  <c r="D1858" i="2" a="1"/>
  <c r="D1858" i="2" s="1"/>
  <c r="D1859" i="2" a="1"/>
  <c r="D1859" i="2" s="1"/>
  <c r="D1860" i="2" a="1"/>
  <c r="D1860" i="2" s="1"/>
  <c r="D1861" i="2" a="1"/>
  <c r="D1861" i="2" s="1"/>
  <c r="D1862" i="2" a="1"/>
  <c r="D1862" i="2" s="1"/>
  <c r="D1863" i="2" a="1"/>
  <c r="D1863" i="2" s="1"/>
  <c r="D1864" i="2" a="1"/>
  <c r="D1864" i="2" s="1"/>
  <c r="D1865" i="2" a="1"/>
  <c r="D1865" i="2" s="1"/>
  <c r="D1866" i="2" a="1"/>
  <c r="D1866" i="2" s="1"/>
  <c r="D1867" i="2" a="1"/>
  <c r="D1867" i="2" s="1"/>
  <c r="D1868" i="2" a="1"/>
  <c r="D1868" i="2" s="1"/>
  <c r="D1869" i="2" a="1"/>
  <c r="D1869" i="2" s="1"/>
  <c r="D1870" i="2" a="1"/>
  <c r="D1870" i="2" s="1"/>
  <c r="D1871" i="2" a="1"/>
  <c r="D1871" i="2" s="1"/>
  <c r="D1872" i="2" a="1"/>
  <c r="D1872" i="2" s="1"/>
  <c r="D1873" i="2" a="1"/>
  <c r="D1873" i="2" s="1"/>
  <c r="D1874" i="2" a="1"/>
  <c r="D1874" i="2" s="1"/>
  <c r="D1875" i="2" a="1"/>
  <c r="D1875" i="2" s="1"/>
  <c r="D1876" i="2" a="1"/>
  <c r="D1876" i="2" s="1"/>
  <c r="D1877" i="2" a="1"/>
  <c r="D1877" i="2" s="1"/>
  <c r="D1878" i="2" a="1"/>
  <c r="D1878" i="2" s="1"/>
  <c r="D1879" i="2" a="1"/>
  <c r="D1879" i="2" s="1"/>
  <c r="D1880" i="2" a="1"/>
  <c r="D1880" i="2" s="1"/>
  <c r="D1881" i="2" a="1"/>
  <c r="D1881" i="2" s="1"/>
  <c r="D1882" i="2" a="1"/>
  <c r="D1882" i="2" s="1"/>
  <c r="D1883" i="2" a="1"/>
  <c r="D1883" i="2" s="1"/>
  <c r="D1884" i="2" a="1"/>
  <c r="D1884" i="2" s="1"/>
  <c r="D1885" i="2" a="1"/>
  <c r="D1885" i="2" s="1"/>
  <c r="D1886" i="2" a="1"/>
  <c r="D1886" i="2" s="1"/>
  <c r="D1887" i="2" a="1"/>
  <c r="D1887" i="2" s="1"/>
  <c r="D1888" i="2" a="1"/>
  <c r="D1888" i="2" s="1"/>
  <c r="D1889" i="2" a="1"/>
  <c r="D1889" i="2" s="1"/>
  <c r="D1890" i="2" a="1"/>
  <c r="D1890" i="2"/>
  <c r="D1891" i="2" a="1"/>
  <c r="D1891" i="2" s="1"/>
  <c r="D1892" i="2" a="1"/>
  <c r="D1892" i="2" s="1"/>
  <c r="D1893" i="2" a="1"/>
  <c r="D1893" i="2" s="1"/>
  <c r="D1894" i="2" a="1"/>
  <c r="D1894" i="2" s="1"/>
  <c r="D1895" i="2" a="1"/>
  <c r="D1895" i="2" s="1"/>
  <c r="D1896" i="2" a="1"/>
  <c r="D1896" i="2" s="1"/>
  <c r="D1897" i="2" a="1"/>
  <c r="D1897" i="2" s="1"/>
  <c r="D1898" i="2" a="1"/>
  <c r="D1898" i="2" s="1"/>
  <c r="D1899" i="2" a="1"/>
  <c r="D1899" i="2" s="1"/>
  <c r="D1900" i="2" a="1"/>
  <c r="D1900" i="2" s="1"/>
  <c r="D1901" i="2" a="1"/>
  <c r="D1901" i="2" s="1"/>
  <c r="D1902" i="2" a="1"/>
  <c r="D1902" i="2" s="1"/>
  <c r="D1903" i="2" a="1"/>
  <c r="D1903" i="2" s="1"/>
  <c r="D1904" i="2" a="1"/>
  <c r="D1904" i="2" s="1"/>
  <c r="D1905" i="2" a="1"/>
  <c r="D1905" i="2" s="1"/>
  <c r="D1906" i="2" a="1"/>
  <c r="D1906" i="2" s="1"/>
  <c r="D1907" i="2" a="1"/>
  <c r="D1907" i="2" s="1"/>
  <c r="D1908" i="2" a="1"/>
  <c r="D1908" i="2"/>
  <c r="D1909" i="2" a="1"/>
  <c r="D1909" i="2" s="1"/>
  <c r="D1910" i="2" a="1"/>
  <c r="D1910" i="2" s="1"/>
  <c r="D1911" i="2" a="1"/>
  <c r="D1911" i="2" s="1"/>
  <c r="D1912" i="2" a="1"/>
  <c r="D1912" i="2"/>
  <c r="D1913" i="2" a="1"/>
  <c r="D1913" i="2" s="1"/>
  <c r="D1914" i="2" a="1"/>
  <c r="D1914" i="2" s="1"/>
  <c r="D1915" i="2" a="1"/>
  <c r="D1915" i="2" s="1"/>
  <c r="D1916" i="2" a="1"/>
  <c r="D1916" i="2" s="1"/>
  <c r="D1917" i="2" a="1"/>
  <c r="D1917" i="2" s="1"/>
  <c r="D1918" i="2" a="1"/>
  <c r="D1918" i="2" s="1"/>
  <c r="D1919" i="2" a="1"/>
  <c r="D1919" i="2" s="1"/>
  <c r="D1920" i="2" a="1"/>
  <c r="D1920" i="2" s="1"/>
  <c r="D1921" i="2" a="1"/>
  <c r="D1921" i="2" s="1"/>
  <c r="D1922" i="2" a="1"/>
  <c r="D1922" i="2" s="1"/>
  <c r="D1923" i="2" a="1"/>
  <c r="D1923" i="2" s="1"/>
  <c r="D1924" i="2" a="1"/>
  <c r="D1924" i="2" s="1"/>
  <c r="D1925" i="2" a="1"/>
  <c r="D1925" i="2" s="1"/>
  <c r="D1926" i="2" a="1"/>
  <c r="D1926" i="2" s="1"/>
  <c r="D1927" i="2" a="1"/>
  <c r="D1927" i="2" s="1"/>
  <c r="D1928" i="2" a="1"/>
  <c r="D1928" i="2" s="1"/>
  <c r="D1929" i="2" a="1"/>
  <c r="D1929" i="2" s="1"/>
  <c r="D1930" i="2" a="1"/>
  <c r="D1930" i="2" s="1"/>
  <c r="D1931" i="2" a="1"/>
  <c r="D1931" i="2"/>
  <c r="D1932" i="2" a="1"/>
  <c r="D1932" i="2" s="1"/>
  <c r="D1933" i="2" a="1"/>
  <c r="D1933" i="2" s="1"/>
  <c r="D1934" i="2" a="1"/>
  <c r="D1934" i="2" s="1"/>
  <c r="D1935" i="2" a="1"/>
  <c r="D1935" i="2" s="1"/>
  <c r="D1936" i="2" a="1"/>
  <c r="D1936" i="2" s="1"/>
  <c r="D1937" i="2" a="1"/>
  <c r="D1937" i="2" s="1"/>
  <c r="D1938" i="2" a="1"/>
  <c r="D1938" i="2" s="1"/>
  <c r="D1939" i="2" a="1"/>
  <c r="D1939" i="2" s="1"/>
  <c r="D1940" i="2" a="1"/>
  <c r="D1940" i="2" s="1"/>
  <c r="D1941" i="2" a="1"/>
  <c r="D1941" i="2" s="1"/>
  <c r="D1942" i="2" a="1"/>
  <c r="D1942" i="2" s="1"/>
  <c r="D1943" i="2" a="1"/>
  <c r="D1943" i="2" s="1"/>
  <c r="D1944" i="2" a="1"/>
  <c r="D1944" i="2" s="1"/>
  <c r="D1945" i="2" a="1"/>
  <c r="D1945" i="2" s="1"/>
  <c r="D1946" i="2" a="1"/>
  <c r="D1946" i="2" s="1"/>
  <c r="D1947" i="2" a="1"/>
  <c r="D1947" i="2" s="1"/>
  <c r="D1948" i="2" a="1"/>
  <c r="D1948" i="2"/>
  <c r="D1949" i="2" a="1"/>
  <c r="D1949" i="2" s="1"/>
  <c r="D1950" i="2" a="1"/>
  <c r="D1950" i="2" s="1"/>
  <c r="D1951" i="2" a="1"/>
  <c r="D1951" i="2" s="1"/>
  <c r="D1952" i="2" a="1"/>
  <c r="D1952" i="2" s="1"/>
  <c r="D1953" i="2" a="1"/>
  <c r="D1953" i="2" s="1"/>
  <c r="D1954" i="2" a="1"/>
  <c r="D1954" i="2" s="1"/>
  <c r="D1955" i="2" a="1"/>
  <c r="D1955" i="2" s="1"/>
  <c r="D1956" i="2" a="1"/>
  <c r="D1956" i="2" s="1"/>
  <c r="D1957" i="2" a="1"/>
  <c r="D1957" i="2" s="1"/>
  <c r="D1958" i="2" a="1"/>
  <c r="D1958" i="2" s="1"/>
  <c r="D1959" i="2" a="1"/>
  <c r="D1959" i="2" s="1"/>
  <c r="D1960" i="2" a="1"/>
  <c r="D1960" i="2" s="1"/>
  <c r="D1961" i="2" a="1"/>
  <c r="D1961" i="2" s="1"/>
  <c r="D1962" i="2" a="1"/>
  <c r="D1962" i="2" s="1"/>
  <c r="D1963" i="2" a="1"/>
  <c r="D1963" i="2"/>
  <c r="D1964" i="2" a="1"/>
  <c r="D1964" i="2" s="1"/>
  <c r="D1965" i="2" a="1"/>
  <c r="D1965" i="2" s="1"/>
  <c r="D1966" i="2" a="1"/>
  <c r="D1966" i="2" s="1"/>
  <c r="D1967" i="2" a="1"/>
  <c r="D1967" i="2" s="1"/>
  <c r="D1968" i="2" a="1"/>
  <c r="D1968" i="2" s="1"/>
  <c r="D1969" i="2" a="1"/>
  <c r="D1969" i="2" s="1"/>
  <c r="D1970" i="2" a="1"/>
  <c r="D1970" i="2" s="1"/>
  <c r="D1971" i="2" a="1"/>
  <c r="D1971" i="2" s="1"/>
  <c r="D1972" i="2" a="1"/>
  <c r="D1972" i="2" s="1"/>
  <c r="D1973" i="2" a="1"/>
  <c r="D1973" i="2" s="1"/>
  <c r="D1974" i="2" a="1"/>
  <c r="D1974" i="2" s="1"/>
  <c r="D1975" i="2" a="1"/>
  <c r="D1975" i="2" s="1"/>
  <c r="D1976" i="2" a="1"/>
  <c r="D1976" i="2" s="1"/>
  <c r="D1977" i="2" a="1"/>
  <c r="D1977" i="2" s="1"/>
  <c r="D1978" i="2" a="1"/>
  <c r="D1978" i="2" s="1"/>
  <c r="D1979" i="2" a="1"/>
  <c r="D1979" i="2" s="1"/>
  <c r="D1980" i="2" a="1"/>
  <c r="D1980" i="2" s="1"/>
  <c r="D1981" i="2" a="1"/>
  <c r="D1981" i="2" s="1"/>
  <c r="D1982" i="2" a="1"/>
  <c r="D1982" i="2"/>
  <c r="D1983" i="2" a="1"/>
  <c r="D1983" i="2" s="1"/>
  <c r="D1984" i="2" a="1"/>
  <c r="D1984" i="2" s="1"/>
  <c r="D1985" i="2" a="1"/>
  <c r="D1985" i="2" s="1"/>
  <c r="D1986" i="2" a="1"/>
  <c r="D1986" i="2" s="1"/>
  <c r="D1987" i="2" a="1"/>
  <c r="D1987" i="2" s="1"/>
  <c r="D1988" i="2" a="1"/>
  <c r="D1988" i="2" s="1"/>
  <c r="D1989" i="2" a="1"/>
  <c r="D1989" i="2" s="1"/>
  <c r="D1990" i="2" a="1"/>
  <c r="D1990" i="2" s="1"/>
  <c r="D1991" i="2" a="1"/>
  <c r="D1991" i="2" s="1"/>
  <c r="D1992" i="2" a="1"/>
  <c r="D1992" i="2" s="1"/>
  <c r="D1993" i="2" a="1"/>
  <c r="D1993" i="2" s="1"/>
  <c r="D1994" i="2" a="1"/>
  <c r="D1994" i="2" s="1"/>
  <c r="D1995" i="2" a="1"/>
  <c r="D1995" i="2" s="1"/>
  <c r="D1996" i="2" a="1"/>
  <c r="D1996" i="2"/>
  <c r="D1997" i="2" a="1"/>
  <c r="D1997" i="2" s="1"/>
  <c r="D1998" i="2" a="1"/>
  <c r="D1998" i="2" s="1"/>
  <c r="D1999" i="2" a="1"/>
  <c r="D1999" i="2" s="1"/>
  <c r="D2000" i="2" a="1"/>
  <c r="D2000" i="2" s="1"/>
  <c r="D2001" i="2" a="1"/>
  <c r="D2001" i="2" s="1"/>
  <c r="D2002" i="2" a="1"/>
  <c r="D2002" i="2"/>
  <c r="D2003" i="2" a="1"/>
  <c r="D2003" i="2" s="1"/>
  <c r="D2004" i="2" a="1"/>
  <c r="D2004" i="2" s="1"/>
  <c r="D2005" i="2" a="1"/>
  <c r="D2005" i="2" s="1"/>
  <c r="D2006" i="2" a="1"/>
  <c r="D2006" i="2" s="1"/>
  <c r="D2007" i="2" a="1"/>
  <c r="D2007" i="2" s="1"/>
  <c r="D2008" i="2" a="1"/>
  <c r="D2008" i="2" s="1"/>
  <c r="D2009" i="2" a="1"/>
  <c r="D2009" i="2" s="1"/>
  <c r="D2010" i="2" a="1"/>
  <c r="D2010" i="2" s="1"/>
  <c r="D2011" i="2" a="1"/>
  <c r="D2011" i="2" s="1"/>
  <c r="D2012" i="2" a="1"/>
  <c r="D2012" i="2" s="1"/>
  <c r="D2013" i="2" a="1"/>
  <c r="D2013" i="2" s="1"/>
  <c r="D2014" i="2" a="1"/>
  <c r="D2014" i="2" s="1"/>
  <c r="D2015" i="2" a="1"/>
  <c r="D2015" i="2" s="1"/>
  <c r="D2016" i="2" a="1"/>
  <c r="D2016" i="2" s="1"/>
  <c r="D2017" i="2" a="1"/>
  <c r="D2017" i="2" s="1"/>
  <c r="D2018" i="2" a="1"/>
  <c r="D2018" i="2"/>
  <c r="D2019" i="2" a="1"/>
  <c r="D2019" i="2" s="1"/>
  <c r="D2020" i="2" a="1"/>
  <c r="D2020" i="2" s="1"/>
  <c r="D2021" i="2" a="1"/>
  <c r="D2021" i="2" s="1"/>
  <c r="D2022" i="2" a="1"/>
  <c r="D2022" i="2" s="1"/>
  <c r="D2023" i="2" a="1"/>
  <c r="D2023" i="2" s="1"/>
  <c r="D2024" i="2" a="1"/>
  <c r="D2024" i="2" s="1"/>
  <c r="D2025" i="2" a="1"/>
  <c r="D2025" i="2"/>
  <c r="D2026" i="2" a="1"/>
  <c r="D2026" i="2" s="1"/>
  <c r="D2027" i="2" a="1"/>
  <c r="D2027" i="2" s="1"/>
  <c r="D2028" i="2" a="1"/>
  <c r="D2028" i="2" s="1"/>
  <c r="D2029" i="2" a="1"/>
  <c r="D2029" i="2" s="1"/>
  <c r="D2030" i="2" a="1"/>
  <c r="D2030" i="2" s="1"/>
  <c r="D2031" i="2" a="1"/>
  <c r="D2031" i="2" s="1"/>
  <c r="D2032" i="2" a="1"/>
  <c r="D2032" i="2" s="1"/>
  <c r="D2033" i="2" a="1"/>
  <c r="D2033" i="2" s="1"/>
  <c r="D2034" i="2" a="1"/>
  <c r="D2034" i="2" s="1"/>
  <c r="D2035" i="2" a="1"/>
  <c r="D2035" i="2" s="1"/>
  <c r="D2036" i="2" a="1"/>
  <c r="D2036" i="2" s="1"/>
  <c r="D2037" i="2" a="1"/>
  <c r="D2037" i="2" s="1"/>
  <c r="D2038" i="2" a="1"/>
  <c r="D2038" i="2" s="1"/>
  <c r="D2039" i="2" a="1"/>
  <c r="D2039" i="2" s="1"/>
  <c r="D2040" i="2" a="1"/>
  <c r="D2040" i="2"/>
  <c r="D2041" i="2" a="1"/>
  <c r="D2041" i="2" s="1"/>
  <c r="D2042" i="2" a="1"/>
  <c r="D2042" i="2" s="1"/>
  <c r="D2043" i="2" a="1"/>
  <c r="D2043" i="2" s="1"/>
  <c r="D2044" i="2" a="1"/>
  <c r="D2044" i="2" s="1"/>
  <c r="D2045" i="2" a="1"/>
  <c r="D2045" i="2" s="1"/>
  <c r="D2046" i="2" a="1"/>
  <c r="D2046" i="2" s="1"/>
  <c r="D2047" i="2" a="1"/>
  <c r="D2047" i="2" s="1"/>
  <c r="D2048" i="2" a="1"/>
  <c r="D2048" i="2" s="1"/>
  <c r="D2049" i="2" a="1"/>
  <c r="D2049" i="2" s="1"/>
  <c r="D2050" i="2" a="1"/>
  <c r="D2050" i="2"/>
  <c r="D2051" i="2" a="1"/>
  <c r="D2051" i="2" s="1"/>
  <c r="D2052" i="2" a="1"/>
  <c r="D2052" i="2" s="1"/>
  <c r="D2053" i="2" a="1"/>
  <c r="D2053" i="2" s="1"/>
  <c r="D2054" i="2" a="1"/>
  <c r="D2054" i="2" s="1"/>
  <c r="D2055" i="2" a="1"/>
  <c r="D2055" i="2" s="1"/>
  <c r="D2056" i="2" a="1"/>
  <c r="D2056" i="2" s="1"/>
  <c r="D2057" i="2" a="1"/>
  <c r="D2057" i="2" s="1"/>
  <c r="D2058" i="2" a="1"/>
  <c r="D2058" i="2" s="1"/>
  <c r="D2059" i="2" a="1"/>
  <c r="D2059" i="2" s="1"/>
  <c r="D2060" i="2" a="1"/>
  <c r="D2060" i="2" s="1"/>
  <c r="D2061" i="2" a="1"/>
  <c r="D2061" i="2" s="1"/>
  <c r="D2062" i="2" a="1"/>
  <c r="D2062" i="2" s="1"/>
  <c r="D2063" i="2" a="1"/>
  <c r="D2063" i="2" s="1"/>
  <c r="D2064" i="2" a="1"/>
  <c r="D2064" i="2" s="1"/>
  <c r="D2065" i="2" a="1"/>
  <c r="D2065" i="2" s="1"/>
  <c r="D2066" i="2" a="1"/>
  <c r="D2066" i="2" s="1"/>
  <c r="D2067" i="2" a="1"/>
  <c r="D2067" i="2" s="1"/>
  <c r="D2068" i="2" a="1"/>
  <c r="D2068" i="2" s="1"/>
  <c r="D2069" i="2" a="1"/>
  <c r="D2069" i="2" s="1"/>
  <c r="D2070" i="2" a="1"/>
  <c r="D2070" i="2" s="1"/>
  <c r="D2071" i="2" a="1"/>
  <c r="D2071" i="2" s="1"/>
  <c r="D2072" i="2" a="1"/>
  <c r="D2072" i="2" s="1"/>
  <c r="D2073" i="2" a="1"/>
  <c r="D2073" i="2"/>
  <c r="D2074" i="2" a="1"/>
  <c r="D2074" i="2" s="1"/>
  <c r="D2075" i="2" a="1"/>
  <c r="D2075" i="2" s="1"/>
  <c r="D2076" i="2" a="1"/>
  <c r="D2076" i="2" s="1"/>
  <c r="D2077" i="2" a="1"/>
  <c r="D2077" i="2" s="1"/>
  <c r="D2078" i="2" a="1"/>
  <c r="D2078" i="2"/>
  <c r="D2079" i="2" a="1"/>
  <c r="D2079" i="2"/>
  <c r="D2080" i="2" a="1"/>
  <c r="D2080" i="2" s="1"/>
  <c r="D2081" i="2" a="1"/>
  <c r="D2081" i="2" s="1"/>
  <c r="D2082" i="2" a="1"/>
  <c r="D2082" i="2" s="1"/>
  <c r="D2083" i="2" a="1"/>
  <c r="D2083" i="2" s="1"/>
  <c r="D2084" i="2" a="1"/>
  <c r="D2084" i="2" s="1"/>
  <c r="D2085" i="2" a="1"/>
  <c r="D2085" i="2" s="1"/>
  <c r="D2086" i="2" a="1"/>
  <c r="D2086" i="2" s="1"/>
  <c r="D2087" i="2" a="1"/>
  <c r="D2087" i="2" s="1"/>
  <c r="D2088" i="2" a="1"/>
  <c r="D2088" i="2" s="1"/>
  <c r="D2089" i="2" a="1"/>
  <c r="D2089" i="2" s="1"/>
  <c r="D2090" i="2" a="1"/>
  <c r="D2090" i="2" s="1"/>
  <c r="D2091" i="2" a="1"/>
  <c r="D2091" i="2" s="1"/>
  <c r="D2092" i="2" a="1"/>
  <c r="D2092" i="2" s="1"/>
  <c r="D2093" i="2" a="1"/>
  <c r="D2093" i="2" s="1"/>
  <c r="D2094" i="2" a="1"/>
  <c r="D2094" i="2" s="1"/>
  <c r="D2095" i="2" a="1"/>
  <c r="D2095" i="2"/>
  <c r="D2096" i="2" a="1"/>
  <c r="D2096" i="2" s="1"/>
  <c r="D2097" i="2" a="1"/>
  <c r="D2097" i="2" s="1"/>
  <c r="D2098" i="2" a="1"/>
  <c r="D2098" i="2" s="1"/>
  <c r="D2099" i="2" a="1"/>
  <c r="D2099" i="2" s="1"/>
  <c r="D2100" i="2" a="1"/>
  <c r="D2100" i="2" s="1"/>
  <c r="D2101" i="2" a="1"/>
  <c r="D2101" i="2" s="1"/>
  <c r="D2102" i="2" a="1"/>
  <c r="D2102" i="2" s="1"/>
  <c r="D2103" i="2" a="1"/>
  <c r="D2103" i="2" s="1"/>
  <c r="D2104" i="2" a="1"/>
  <c r="D2104" i="2" s="1"/>
  <c r="D2105" i="2" a="1"/>
  <c r="D2105" i="2" s="1"/>
  <c r="D2106" i="2" a="1"/>
  <c r="D2106" i="2"/>
  <c r="D2107" i="2" a="1"/>
  <c r="D2107" i="2" s="1"/>
  <c r="D2108" i="2" a="1"/>
  <c r="D2108" i="2" s="1"/>
  <c r="D2109" i="2" a="1"/>
  <c r="D2109" i="2" s="1"/>
  <c r="D2110" i="2" a="1"/>
  <c r="D2110" i="2" s="1"/>
  <c r="D2111" i="2" a="1"/>
  <c r="D2111" i="2" s="1"/>
  <c r="D2112" i="2" a="1"/>
  <c r="D2112" i="2" s="1"/>
  <c r="D2113" i="2" a="1"/>
  <c r="D2113" i="2" s="1"/>
  <c r="D2114" i="2" a="1"/>
  <c r="D2114" i="2" s="1"/>
  <c r="D2115" i="2" a="1"/>
  <c r="D2115" i="2" s="1"/>
  <c r="D2116" i="2" a="1"/>
  <c r="D2116" i="2" s="1"/>
  <c r="D2117" i="2" a="1"/>
  <c r="D2117" i="2"/>
  <c r="D2118" i="2" a="1"/>
  <c r="D2118" i="2"/>
  <c r="D2119" i="2" a="1"/>
  <c r="D2119" i="2" s="1"/>
  <c r="D2120" i="2" a="1"/>
  <c r="D2120" i="2" s="1"/>
  <c r="D2121" i="2" a="1"/>
  <c r="D2121" i="2" s="1"/>
  <c r="D2122" i="2" a="1"/>
  <c r="D2122" i="2" s="1"/>
  <c r="D2123" i="2" a="1"/>
  <c r="D2123" i="2" s="1"/>
  <c r="D2124" i="2" a="1"/>
  <c r="D2124" i="2" s="1"/>
  <c r="D2125" i="2" a="1"/>
  <c r="D2125" i="2" s="1"/>
  <c r="D2126" i="2" a="1"/>
  <c r="D2126" i="2" s="1"/>
  <c r="D2127" i="2" a="1"/>
  <c r="D2127" i="2" s="1"/>
  <c r="D2128" i="2" a="1"/>
  <c r="D2128" i="2" s="1"/>
  <c r="D2129" i="2" a="1"/>
  <c r="D2129" i="2" s="1"/>
  <c r="D2130" i="2" a="1"/>
  <c r="D2130" i="2" s="1"/>
  <c r="D2131" i="2" a="1"/>
  <c r="D2131" i="2" s="1"/>
  <c r="D2132" i="2" a="1"/>
  <c r="D2132" i="2" s="1"/>
  <c r="D2133" i="2" a="1"/>
  <c r="D2133" i="2"/>
  <c r="D2134" i="2" a="1"/>
  <c r="D2134" i="2" s="1"/>
  <c r="D2135" i="2" a="1"/>
  <c r="D2135" i="2" s="1"/>
  <c r="D2136" i="2" a="1"/>
  <c r="D2136" i="2" s="1"/>
  <c r="D2137" i="2" a="1"/>
  <c r="D2137" i="2" s="1"/>
  <c r="D2138" i="2" a="1"/>
  <c r="D2138" i="2" s="1"/>
  <c r="D2139" i="2" a="1"/>
  <c r="D2139" i="2" s="1"/>
  <c r="D2140" i="2" a="1"/>
  <c r="D2140" i="2" s="1"/>
  <c r="D2141" i="2" a="1"/>
  <c r="D2141" i="2" s="1"/>
  <c r="D2142" i="2" a="1"/>
  <c r="D2142" i="2" s="1"/>
  <c r="D2143" i="2" a="1"/>
  <c r="D2143" i="2" s="1"/>
  <c r="D2144" i="2" a="1"/>
  <c r="D2144" i="2"/>
  <c r="D2145" i="2" a="1"/>
  <c r="D2145" i="2" s="1"/>
  <c r="D2146" i="2" a="1"/>
  <c r="D2146" i="2" s="1"/>
  <c r="D2147" i="2" a="1"/>
  <c r="D2147" i="2" s="1"/>
  <c r="D2148" i="2" a="1"/>
  <c r="D2148" i="2" s="1"/>
  <c r="D2149" i="2" a="1"/>
  <c r="D2149" i="2" s="1"/>
  <c r="D2150" i="2" a="1"/>
  <c r="D2150" i="2" s="1"/>
  <c r="D2151" i="2" a="1"/>
  <c r="D2151" i="2" s="1"/>
  <c r="D2152" i="2" a="1"/>
  <c r="D2152" i="2" s="1"/>
  <c r="D2153" i="2" a="1"/>
  <c r="D2153" i="2" s="1"/>
  <c r="D2154" i="2" a="1"/>
  <c r="D2154" i="2" s="1"/>
  <c r="D2155" i="2" a="1"/>
  <c r="D2155" i="2" s="1"/>
  <c r="D2156" i="2" a="1"/>
  <c r="D2156" i="2" s="1"/>
  <c r="D2157" i="2" a="1"/>
  <c r="D2157" i="2" s="1"/>
  <c r="D2158" i="2" a="1"/>
  <c r="D2158" i="2" s="1"/>
  <c r="D2159" i="2" a="1"/>
  <c r="D2159" i="2" s="1"/>
  <c r="D2160" i="2" a="1"/>
  <c r="D2160" i="2" s="1"/>
  <c r="D2161" i="2" a="1"/>
  <c r="D2161" i="2" s="1"/>
  <c r="D2162" i="2" a="1"/>
  <c r="D2162" i="2" s="1"/>
  <c r="D2163" i="2" a="1"/>
  <c r="D2163" i="2" s="1"/>
  <c r="D2164" i="2" a="1"/>
  <c r="D2164" i="2" s="1"/>
  <c r="D2165" i="2" a="1"/>
  <c r="D2165" i="2" s="1"/>
  <c r="D2166" i="2" a="1"/>
  <c r="D2166" i="2" s="1"/>
  <c r="D2167" i="2" a="1"/>
  <c r="D2167" i="2" s="1"/>
  <c r="D2168" i="2" a="1"/>
  <c r="D2168" i="2" s="1"/>
  <c r="D2169" i="2" a="1"/>
  <c r="D2169" i="2" s="1"/>
  <c r="D2170" i="2" a="1"/>
  <c r="D2170" i="2"/>
  <c r="D2171" i="2" a="1"/>
  <c r="D2171" i="2" s="1"/>
  <c r="D2172" i="2" a="1"/>
  <c r="D2172" i="2" s="1"/>
  <c r="D2173" i="2" a="1"/>
  <c r="D2173" i="2" s="1"/>
  <c r="D2174" i="2" a="1"/>
  <c r="D2174" i="2" s="1"/>
  <c r="D2175" i="2" a="1"/>
  <c r="D2175" i="2" s="1"/>
  <c r="D2176" i="2" a="1"/>
  <c r="D2176" i="2" s="1"/>
  <c r="D2177" i="2" a="1"/>
  <c r="D2177" i="2" s="1"/>
  <c r="D2178" i="2" a="1"/>
  <c r="D2178" i="2" s="1"/>
  <c r="D2179" i="2" a="1"/>
  <c r="D2179" i="2" s="1"/>
  <c r="D2180" i="2" a="1"/>
  <c r="D2180" i="2" s="1"/>
  <c r="D2181" i="2" a="1"/>
  <c r="D2181" i="2" s="1"/>
  <c r="D2182" i="2" a="1"/>
  <c r="D2182" i="2" s="1"/>
  <c r="D2183" i="2" a="1"/>
  <c r="D2183" i="2" s="1"/>
  <c r="D2184" i="2" a="1"/>
  <c r="D2184" i="2" s="1"/>
  <c r="D2185" i="2" a="1"/>
  <c r="D2185" i="2" s="1"/>
  <c r="D2186" i="2" a="1"/>
  <c r="D2186" i="2" s="1"/>
  <c r="D2187" i="2" a="1"/>
  <c r="D2187" i="2"/>
  <c r="D2188" i="2" a="1"/>
  <c r="D2188" i="2" s="1"/>
  <c r="D2189" i="2" a="1"/>
  <c r="D2189" i="2" s="1"/>
  <c r="D2190" i="2" a="1"/>
  <c r="D2190" i="2" s="1"/>
  <c r="D2191" i="2" a="1"/>
  <c r="D2191" i="2" s="1"/>
  <c r="D2192" i="2" a="1"/>
  <c r="D2192" i="2" s="1"/>
  <c r="D2193" i="2" a="1"/>
  <c r="D2193" i="2" s="1"/>
  <c r="D2194" i="2" a="1"/>
  <c r="D2194" i="2" s="1"/>
  <c r="D2195" i="2" a="1"/>
  <c r="D2195" i="2"/>
  <c r="D2196" i="2" a="1"/>
  <c r="D2196" i="2" s="1"/>
  <c r="D2197" i="2" a="1"/>
  <c r="D2197" i="2" s="1"/>
  <c r="D2198" i="2" a="1"/>
  <c r="D2198" i="2" s="1"/>
  <c r="D2199" i="2" a="1"/>
  <c r="D2199" i="2" s="1"/>
  <c r="D2200" i="2" a="1"/>
  <c r="D2200" i="2" s="1"/>
  <c r="D2201" i="2" a="1"/>
  <c r="D2201" i="2" s="1"/>
  <c r="D2202" i="2" a="1"/>
  <c r="D2202" i="2" s="1"/>
  <c r="D2203" i="2" a="1"/>
  <c r="D2203" i="2" s="1"/>
  <c r="D2204" i="2" a="1"/>
  <c r="D2204" i="2" s="1"/>
  <c r="D2205" i="2" a="1"/>
  <c r="D2205" i="2" s="1"/>
  <c r="D2206" i="2" a="1"/>
  <c r="D2206" i="2" s="1"/>
  <c r="D2207" i="2" a="1"/>
  <c r="D2207" i="2" s="1"/>
  <c r="D2208" i="2" a="1"/>
  <c r="D2208" i="2" s="1"/>
  <c r="D2209" i="2" a="1"/>
  <c r="D2209" i="2" s="1"/>
  <c r="D2210" i="2" a="1"/>
  <c r="D2210" i="2" s="1"/>
  <c r="D2211" i="2" a="1"/>
  <c r="D2211" i="2" s="1"/>
  <c r="D2212" i="2" a="1"/>
  <c r="D2212" i="2" s="1"/>
  <c r="D2213" i="2" a="1"/>
  <c r="D2213" i="2" s="1"/>
  <c r="D2214" i="2" a="1"/>
  <c r="D2214" i="2" s="1"/>
  <c r="D2215" i="2" a="1"/>
  <c r="D2215" i="2" s="1"/>
  <c r="D2216" i="2" a="1"/>
  <c r="D2216" i="2" s="1"/>
  <c r="D2217" i="2" a="1"/>
  <c r="D2217" i="2" s="1"/>
  <c r="D2218" i="2" a="1"/>
  <c r="D2218" i="2" s="1"/>
  <c r="D2219" i="2" a="1"/>
  <c r="D2219" i="2" s="1"/>
  <c r="D2220" i="2" a="1"/>
  <c r="D2220" i="2" s="1"/>
  <c r="D2221" i="2" a="1"/>
  <c r="D2221" i="2" s="1"/>
  <c r="D2222" i="2" a="1"/>
  <c r="D2222" i="2" s="1"/>
  <c r="D2223" i="2" a="1"/>
  <c r="D2223" i="2" s="1"/>
  <c r="D2224" i="2" a="1"/>
  <c r="D2224" i="2" s="1"/>
  <c r="D2225" i="2" a="1"/>
  <c r="D2225" i="2" s="1"/>
  <c r="D2226" i="2" a="1"/>
  <c r="D2226" i="2" s="1"/>
  <c r="D2227" i="2" a="1"/>
  <c r="D2227" i="2"/>
  <c r="D2228" i="2" a="1"/>
  <c r="D2228" i="2" s="1"/>
  <c r="D2229" i="2" a="1"/>
  <c r="D2229" i="2" s="1"/>
  <c r="D2230" i="2" a="1"/>
  <c r="D2230" i="2" s="1"/>
  <c r="D2231" i="2" a="1"/>
  <c r="D2231" i="2" s="1"/>
  <c r="D2232" i="2" a="1"/>
  <c r="D2232" i="2" s="1"/>
  <c r="D2233" i="2" a="1"/>
  <c r="D2233" i="2" s="1"/>
  <c r="D2234" i="2" a="1"/>
  <c r="D2234" i="2" s="1"/>
  <c r="D2235" i="2" a="1"/>
  <c r="D2235" i="2" s="1"/>
  <c r="D2236" i="2" a="1"/>
  <c r="D2236" i="2" s="1"/>
  <c r="D2237" i="2" a="1"/>
  <c r="D2237" i="2" s="1"/>
  <c r="D2238" i="2" a="1"/>
  <c r="D2238" i="2" s="1"/>
  <c r="D2239" i="2" a="1"/>
  <c r="D2239" i="2" s="1"/>
  <c r="D2240" i="2" a="1"/>
  <c r="D2240" i="2" s="1"/>
  <c r="D2241" i="2" a="1"/>
  <c r="D2241" i="2" s="1"/>
  <c r="D2242" i="2" a="1"/>
  <c r="D2242" i="2" s="1"/>
  <c r="D2243" i="2" a="1"/>
  <c r="D2243" i="2" s="1"/>
  <c r="D2244" i="2" a="1"/>
  <c r="D2244" i="2" s="1"/>
  <c r="D2245" i="2" a="1"/>
  <c r="D2245" i="2" s="1"/>
  <c r="D2246" i="2" a="1"/>
  <c r="D2246" i="2"/>
  <c r="D2247" i="2" a="1"/>
  <c r="D2247" i="2" s="1"/>
  <c r="D2248" i="2" a="1"/>
  <c r="D2248" i="2" s="1"/>
  <c r="D2249" i="2" a="1"/>
  <c r="D2249" i="2" s="1"/>
  <c r="D2250" i="2" a="1"/>
  <c r="D2250" i="2" s="1"/>
  <c r="D2251" i="2" a="1"/>
  <c r="D2251" i="2" s="1"/>
  <c r="D2252" i="2" a="1"/>
  <c r="D2252" i="2" s="1"/>
  <c r="D2253" i="2" a="1"/>
  <c r="D2253" i="2" s="1"/>
  <c r="D2254" i="2" a="1"/>
  <c r="D2254" i="2" s="1"/>
  <c r="D2255" i="2" a="1"/>
  <c r="D2255" i="2" s="1"/>
  <c r="D2256" i="2" a="1"/>
  <c r="D2256" i="2" s="1"/>
  <c r="D2257" i="2" a="1"/>
  <c r="D2257" i="2" s="1"/>
  <c r="D2258" i="2" a="1"/>
  <c r="D2258" i="2" s="1"/>
  <c r="D2259" i="2" a="1"/>
  <c r="D2259" i="2" s="1"/>
  <c r="D2260" i="2" a="1"/>
  <c r="D2260" i="2" s="1"/>
  <c r="D2261" i="2" a="1"/>
  <c r="D2261" i="2"/>
  <c r="D2262" i="2" a="1"/>
  <c r="D2262" i="2" s="1"/>
  <c r="D2263" i="2" a="1"/>
  <c r="D2263" i="2" s="1"/>
  <c r="D2264" i="2" a="1"/>
  <c r="D2264" i="2" s="1"/>
  <c r="D2265" i="2" a="1"/>
  <c r="D2265" i="2" s="1"/>
  <c r="D2266" i="2" a="1"/>
  <c r="D2266" i="2" s="1"/>
  <c r="D2267" i="2" a="1"/>
  <c r="D2267" i="2"/>
  <c r="D2268" i="2" a="1"/>
  <c r="D2268" i="2" s="1"/>
  <c r="D2269" i="2" a="1"/>
  <c r="D2269" i="2" s="1"/>
  <c r="D2270" i="2" a="1"/>
  <c r="D2270" i="2" s="1"/>
  <c r="D2271" i="2" a="1"/>
  <c r="D2271" i="2" s="1"/>
  <c r="D2272" i="2" a="1"/>
  <c r="D2272" i="2" s="1"/>
  <c r="D2273" i="2" a="1"/>
  <c r="D2273" i="2" s="1"/>
  <c r="D2274" i="2" a="1"/>
  <c r="D2274" i="2" s="1"/>
  <c r="D2275" i="2" a="1"/>
  <c r="D2275" i="2" s="1"/>
  <c r="D2276" i="2" a="1"/>
  <c r="D2276" i="2" s="1"/>
  <c r="D2277" i="2" a="1"/>
  <c r="D2277" i="2" s="1"/>
  <c r="D2278" i="2" a="1"/>
  <c r="D2278" i="2" s="1"/>
  <c r="D2279" i="2" a="1"/>
  <c r="D2279" i="2" s="1"/>
  <c r="D2280" i="2" a="1"/>
  <c r="D2280" i="2" s="1"/>
  <c r="D2281" i="2" a="1"/>
  <c r="D2281" i="2"/>
  <c r="D2282" i="2" a="1"/>
  <c r="D2282" i="2" s="1"/>
  <c r="D2283" i="2" a="1"/>
  <c r="D2283" i="2" s="1"/>
  <c r="D2284" i="2" a="1"/>
  <c r="D2284" i="2" s="1"/>
  <c r="D2285" i="2" a="1"/>
  <c r="D2285" i="2" s="1"/>
  <c r="D2286" i="2" a="1"/>
  <c r="D2286" i="2" s="1"/>
  <c r="D2287" i="2" a="1"/>
  <c r="D2287" i="2" s="1"/>
  <c r="D2288" i="2" a="1"/>
  <c r="D2288" i="2" s="1"/>
  <c r="D2289" i="2" a="1"/>
  <c r="D2289" i="2" s="1"/>
  <c r="D2290" i="2" a="1"/>
  <c r="D2290" i="2" s="1"/>
  <c r="D2291" i="2" a="1"/>
  <c r="D2291" i="2" s="1"/>
  <c r="D2292" i="2" a="1"/>
  <c r="D2292" i="2" s="1"/>
  <c r="D2293" i="2" a="1"/>
  <c r="D2293" i="2" s="1"/>
  <c r="D2294" i="2" a="1"/>
  <c r="D2294" i="2" s="1"/>
  <c r="D2295" i="2" a="1"/>
  <c r="D2295" i="2" s="1"/>
  <c r="D2296" i="2" a="1"/>
  <c r="D2296" i="2" s="1"/>
  <c r="D2297" i="2" a="1"/>
  <c r="D2297" i="2" s="1"/>
  <c r="D2298" i="2" a="1"/>
  <c r="D2298" i="2" s="1"/>
  <c r="D2299" i="2" a="1"/>
  <c r="D2299" i="2" s="1"/>
  <c r="D2300" i="2" a="1"/>
  <c r="D2300" i="2" s="1"/>
  <c r="D2301" i="2" a="1"/>
  <c r="D2301" i="2"/>
  <c r="D2302" i="2" a="1"/>
  <c r="D2302" i="2" s="1"/>
  <c r="D2303" i="2" a="1"/>
  <c r="D2303" i="2" s="1"/>
  <c r="D2304" i="2" a="1"/>
  <c r="D2304" i="2" s="1"/>
  <c r="D2305" i="2" a="1"/>
  <c r="D2305" i="2" s="1"/>
  <c r="D2306" i="2" a="1"/>
  <c r="D2306" i="2"/>
  <c r="D2307" i="2" a="1"/>
  <c r="D2307" i="2" s="1"/>
  <c r="D2308" i="2" a="1"/>
  <c r="D2308" i="2"/>
  <c r="D2309" i="2" a="1"/>
  <c r="D2309" i="2" s="1"/>
  <c r="D2310" i="2" a="1"/>
  <c r="D2310" i="2" s="1"/>
  <c r="D2311" i="2" a="1"/>
  <c r="D2311" i="2" s="1"/>
  <c r="D2312" i="2" a="1"/>
  <c r="D2312" i="2" s="1"/>
  <c r="D2313" i="2" a="1"/>
  <c r="D2313" i="2" s="1"/>
  <c r="D2314" i="2" a="1"/>
  <c r="D2314" i="2" s="1"/>
  <c r="D2315" i="2" a="1"/>
  <c r="D2315" i="2"/>
  <c r="D2316" i="2" a="1"/>
  <c r="D2316" i="2" s="1"/>
  <c r="D2317" i="2" a="1"/>
  <c r="D2317" i="2" s="1"/>
  <c r="D2318" i="2" a="1"/>
  <c r="D2318" i="2" s="1"/>
  <c r="D2319" i="2" a="1"/>
  <c r="D2319" i="2" s="1"/>
  <c r="D2320" i="2" a="1"/>
  <c r="D2320" i="2" s="1"/>
  <c r="D2321" i="2" a="1"/>
  <c r="D2321" i="2" s="1"/>
  <c r="D2322" i="2" a="1"/>
  <c r="D2322" i="2" s="1"/>
  <c r="D2323" i="2" a="1"/>
  <c r="D2323" i="2" s="1"/>
  <c r="D2324" i="2" a="1"/>
  <c r="D2324" i="2" s="1"/>
  <c r="D2325" i="2" a="1"/>
  <c r="D2325" i="2" s="1"/>
  <c r="D2326" i="2" a="1"/>
  <c r="D2326" i="2" s="1"/>
  <c r="D2327" i="2" a="1"/>
  <c r="D2327" i="2" s="1"/>
  <c r="D2328" i="2" a="1"/>
  <c r="D2328" i="2"/>
  <c r="D2329" i="2" a="1"/>
  <c r="D2329" i="2" s="1"/>
  <c r="D2330" i="2" a="1"/>
  <c r="D2330" i="2" s="1"/>
  <c r="D2331" i="2" a="1"/>
  <c r="D2331" i="2" s="1"/>
  <c r="D2332" i="2" a="1"/>
  <c r="D2332" i="2" s="1"/>
  <c r="D2333" i="2" a="1"/>
  <c r="D2333" i="2" s="1"/>
  <c r="D2334" i="2" a="1"/>
  <c r="D2334" i="2" s="1"/>
  <c r="D2335" i="2" a="1"/>
  <c r="D2335" i="2" s="1"/>
  <c r="D2336" i="2" a="1"/>
  <c r="D2336" i="2" s="1"/>
  <c r="D2337" i="2" a="1"/>
  <c r="D2337" i="2" s="1"/>
  <c r="D2338" i="2" a="1"/>
  <c r="D2338" i="2" s="1"/>
  <c r="D2339" i="2" a="1"/>
  <c r="D2339" i="2" s="1"/>
  <c r="D2340" i="2" a="1"/>
  <c r="D2340" i="2"/>
  <c r="D2341" i="2" a="1"/>
  <c r="D2341" i="2" s="1"/>
  <c r="D2342" i="2" a="1"/>
  <c r="D2342" i="2" s="1"/>
  <c r="D2343" i="2" a="1"/>
  <c r="D2343" i="2" s="1"/>
  <c r="D2344" i="2" a="1"/>
  <c r="D2344" i="2" s="1"/>
  <c r="D2345" i="2" a="1"/>
  <c r="D2345" i="2" s="1"/>
  <c r="D2346" i="2" a="1"/>
  <c r="D2346" i="2" s="1"/>
  <c r="D2347" i="2" a="1"/>
  <c r="D2347" i="2" s="1"/>
  <c r="D2348" i="2" a="1"/>
  <c r="D2348" i="2" s="1"/>
  <c r="D2349" i="2" a="1"/>
  <c r="D2349" i="2"/>
  <c r="D2350" i="2" a="1"/>
  <c r="D2350" i="2" s="1"/>
  <c r="D2351" i="2" a="1"/>
  <c r="D2351" i="2" s="1"/>
  <c r="D2352" i="2" a="1"/>
  <c r="D2352" i="2" s="1"/>
  <c r="D2353" i="2" a="1"/>
  <c r="D2353" i="2" s="1"/>
  <c r="D2354" i="2" a="1"/>
  <c r="D2354" i="2" s="1"/>
  <c r="D2355" i="2" a="1"/>
  <c r="D2355" i="2"/>
  <c r="D2356" i="2" a="1"/>
  <c r="D2356" i="2" s="1"/>
  <c r="D2357" i="2" a="1"/>
  <c r="D2357" i="2" s="1"/>
  <c r="D2358" i="2" a="1"/>
  <c r="D2358" i="2" s="1"/>
  <c r="D2359" i="2" a="1"/>
  <c r="D2359" i="2" s="1"/>
  <c r="D2360" i="2" a="1"/>
  <c r="D2360" i="2" s="1"/>
  <c r="D2361" i="2" a="1"/>
  <c r="D2361" i="2" s="1"/>
  <c r="D2362" i="2" a="1"/>
  <c r="D2362" i="2" s="1"/>
  <c r="D2363" i="2" a="1"/>
  <c r="D2363" i="2" s="1"/>
  <c r="D2364" i="2" a="1"/>
  <c r="D2364" i="2" s="1"/>
  <c r="D2365" i="2" a="1"/>
  <c r="D2365" i="2" s="1"/>
  <c r="D2366" i="2" a="1"/>
  <c r="D2366" i="2" s="1"/>
  <c r="D2367" i="2" a="1"/>
  <c r="D2367" i="2" s="1"/>
  <c r="D2368" i="2" a="1"/>
  <c r="D2368" i="2"/>
  <c r="D2369" i="2" a="1"/>
  <c r="D2369" i="2" s="1"/>
  <c r="D2370" i="2" a="1"/>
  <c r="D2370" i="2" s="1"/>
  <c r="D2371" i="2" a="1"/>
  <c r="D2371" i="2" s="1"/>
  <c r="D2372" i="2" a="1"/>
  <c r="D2372" i="2" s="1"/>
  <c r="D2373" i="2" a="1"/>
  <c r="D2373" i="2" s="1"/>
  <c r="D2374" i="2" a="1"/>
  <c r="D2374" i="2" s="1"/>
  <c r="D2375" i="2" a="1"/>
  <c r="D2375" i="2" s="1"/>
  <c r="D2376" i="2" a="1"/>
  <c r="D2376" i="2" s="1"/>
  <c r="D2377" i="2" a="1"/>
  <c r="D2377" i="2" s="1"/>
  <c r="D2378" i="2" a="1"/>
  <c r="D2378" i="2"/>
  <c r="D2379" i="2" a="1"/>
  <c r="D2379" i="2" s="1"/>
  <c r="D2380" i="2" a="1"/>
  <c r="D2380" i="2" s="1"/>
  <c r="D2381" i="2" a="1"/>
  <c r="D2381" i="2" s="1"/>
  <c r="D2382" i="2" a="1"/>
  <c r="D2382" i="2" s="1"/>
  <c r="D2383" i="2" a="1"/>
  <c r="D2383" i="2" s="1"/>
  <c r="D2384" i="2" a="1"/>
  <c r="D2384" i="2" s="1"/>
  <c r="D2385" i="2" a="1"/>
  <c r="D2385" i="2" s="1"/>
  <c r="D2386" i="2" a="1"/>
  <c r="D2386" i="2" s="1"/>
  <c r="D2387" i="2" a="1"/>
  <c r="D2387" i="2" s="1"/>
  <c r="D2388" i="2" a="1"/>
  <c r="D2388" i="2" s="1"/>
  <c r="D2389" i="2" a="1"/>
  <c r="D2389" i="2" s="1"/>
  <c r="D2390" i="2" a="1"/>
  <c r="D2390" i="2"/>
  <c r="D2391" i="2" a="1"/>
  <c r="D2391" i="2" s="1"/>
  <c r="D2392" i="2" a="1"/>
  <c r="D2392" i="2"/>
  <c r="D2393" i="2" a="1"/>
  <c r="D2393" i="2" s="1"/>
  <c r="D2394" i="2" a="1"/>
  <c r="D2394" i="2" s="1"/>
  <c r="D2395" i="2" a="1"/>
  <c r="D2395" i="2" s="1"/>
  <c r="D2396" i="2" a="1"/>
  <c r="D2396" i="2"/>
  <c r="D2397" i="2" a="1"/>
  <c r="D2397" i="2" s="1"/>
  <c r="D2398" i="2" a="1"/>
  <c r="D2398" i="2" s="1"/>
  <c r="D2399" i="2" a="1"/>
  <c r="D2399" i="2" s="1"/>
  <c r="D2400" i="2" a="1"/>
  <c r="D2400" i="2" s="1"/>
  <c r="D2401" i="2" a="1"/>
  <c r="D2401" i="2" s="1"/>
  <c r="D2402" i="2" a="1"/>
  <c r="D2402" i="2" s="1"/>
  <c r="D2403" i="2" a="1"/>
  <c r="D2403" i="2" s="1"/>
  <c r="D2404" i="2" a="1"/>
  <c r="D2404" i="2" s="1"/>
  <c r="D2405" i="2" a="1"/>
  <c r="D2405" i="2" s="1"/>
  <c r="D2406" i="2" a="1"/>
  <c r="D2406" i="2" s="1"/>
  <c r="D2407" i="2" a="1"/>
  <c r="D2407" i="2" s="1"/>
  <c r="D2408" i="2" a="1"/>
  <c r="D2408" i="2"/>
  <c r="D2409" i="2" a="1"/>
  <c r="D2409" i="2"/>
  <c r="D2410" i="2" a="1"/>
  <c r="D2410" i="2" s="1"/>
  <c r="D2411" i="2" a="1"/>
  <c r="D2411" i="2" s="1"/>
  <c r="D2412" i="2" a="1"/>
  <c r="D2412" i="2" s="1"/>
  <c r="D2413" i="2" a="1"/>
  <c r="D2413" i="2" s="1"/>
  <c r="D2414" i="2" a="1"/>
  <c r="D2414" i="2" s="1"/>
  <c r="D2415" i="2" a="1"/>
  <c r="D2415" i="2" s="1"/>
  <c r="D2416" i="2" a="1"/>
  <c r="D2416" i="2" s="1"/>
  <c r="D2417" i="2" a="1"/>
  <c r="D2417" i="2" s="1"/>
  <c r="D2418" i="2" a="1"/>
  <c r="D2418" i="2" s="1"/>
  <c r="D2419" i="2" a="1"/>
  <c r="D2419" i="2" s="1"/>
  <c r="D2420" i="2" a="1"/>
  <c r="D2420" i="2" s="1"/>
  <c r="D2421" i="2" a="1"/>
  <c r="D2421" i="2" s="1"/>
  <c r="D2422" i="2" a="1"/>
  <c r="D2422" i="2" s="1"/>
  <c r="D2423" i="2" a="1"/>
  <c r="D2423" i="2" s="1"/>
  <c r="D2424" i="2" a="1"/>
  <c r="D2424" i="2" s="1"/>
  <c r="D2425" i="2" a="1"/>
  <c r="D2425" i="2"/>
  <c r="D2426" i="2" a="1"/>
  <c r="D2426" i="2" s="1"/>
  <c r="D2427" i="2" a="1"/>
  <c r="D2427" i="2" s="1"/>
  <c r="D2428" i="2" a="1"/>
  <c r="D2428" i="2" s="1"/>
  <c r="D2429" i="2" a="1"/>
  <c r="D2429" i="2" s="1"/>
  <c r="D2430" i="2" a="1"/>
  <c r="D2430" i="2" s="1"/>
  <c r="D2431" i="2" a="1"/>
  <c r="D2431" i="2" s="1"/>
  <c r="D2432" i="2" a="1"/>
  <c r="D2432" i="2"/>
  <c r="D2433" i="2" a="1"/>
  <c r="D2433" i="2" s="1"/>
  <c r="D2434" i="2" a="1"/>
  <c r="D2434" i="2" s="1"/>
  <c r="D2435" i="2" a="1"/>
  <c r="D2435" i="2" s="1"/>
  <c r="D2436" i="2" a="1"/>
  <c r="D2436" i="2" s="1"/>
  <c r="D2437" i="2" a="1"/>
  <c r="D2437" i="2" s="1"/>
  <c r="D2438" i="2" a="1"/>
  <c r="D2438" i="2" s="1"/>
  <c r="D2439" i="2" a="1"/>
  <c r="D2439" i="2" s="1"/>
  <c r="D2440" i="2" a="1"/>
  <c r="D2440" i="2" s="1"/>
  <c r="D2441" i="2" a="1"/>
  <c r="D2441" i="2" s="1"/>
  <c r="D2442" i="2" a="1"/>
  <c r="D2442" i="2" s="1"/>
  <c r="D2443" i="2" a="1"/>
  <c r="D2443" i="2" s="1"/>
  <c r="D2444" i="2" a="1"/>
  <c r="D2444" i="2" s="1"/>
  <c r="D2445" i="2" a="1"/>
  <c r="D2445" i="2" s="1"/>
  <c r="D2446" i="2" a="1"/>
  <c r="D2446" i="2" s="1"/>
  <c r="D2447" i="2" a="1"/>
  <c r="D2447" i="2" s="1"/>
  <c r="D2448" i="2" a="1"/>
  <c r="D2448" i="2" s="1"/>
  <c r="D2449" i="2" a="1"/>
  <c r="D2449" i="2" s="1"/>
  <c r="D2450" i="2" a="1"/>
  <c r="D2450" i="2" s="1"/>
  <c r="D2451" i="2" a="1"/>
  <c r="D2451" i="2"/>
  <c r="D2452" i="2" a="1"/>
  <c r="D2452" i="2" s="1"/>
  <c r="D2453" i="2" a="1"/>
  <c r="D2453" i="2" s="1"/>
  <c r="D2454" i="2" a="1"/>
  <c r="D2454" i="2" s="1"/>
  <c r="D2455" i="2" a="1"/>
  <c r="D2455" i="2" s="1"/>
  <c r="D2456" i="2" a="1"/>
  <c r="D2456" i="2" s="1"/>
  <c r="D2457" i="2" a="1"/>
  <c r="D2457" i="2" s="1"/>
  <c r="D2458" i="2" a="1"/>
  <c r="D2458" i="2" s="1"/>
  <c r="D2459" i="2" a="1"/>
  <c r="D2459" i="2" s="1"/>
  <c r="D2460" i="2" a="1"/>
  <c r="D2460" i="2" s="1"/>
  <c r="D2461" i="2" a="1"/>
  <c r="D2461" i="2" s="1"/>
  <c r="D2462" i="2" a="1"/>
  <c r="D2462" i="2" s="1"/>
  <c r="D2463" i="2" a="1"/>
  <c r="D2463" i="2" s="1"/>
  <c r="D2464" i="2" a="1"/>
  <c r="D2464" i="2" s="1"/>
  <c r="D2465" i="2" a="1"/>
  <c r="D2465" i="2" s="1"/>
  <c r="D2466" i="2" a="1"/>
  <c r="D2466" i="2"/>
  <c r="D2467" i="2" a="1"/>
  <c r="D2467" i="2" s="1"/>
  <c r="D2468" i="2" a="1"/>
  <c r="D2468" i="2" s="1"/>
  <c r="D2469" i="2" a="1"/>
  <c r="D2469" i="2" s="1"/>
  <c r="D2470" i="2" a="1"/>
  <c r="D2470" i="2" s="1"/>
  <c r="D2471" i="2" a="1"/>
  <c r="D2471" i="2" s="1"/>
  <c r="D2472" i="2" a="1"/>
  <c r="D2472" i="2" s="1"/>
  <c r="D2473" i="2" a="1"/>
  <c r="D2473" i="2" s="1"/>
  <c r="D2474" i="2" a="1"/>
  <c r="D2474" i="2" s="1"/>
  <c r="D2475" i="2" a="1"/>
  <c r="D2475" i="2" s="1"/>
  <c r="D2476" i="2" a="1"/>
  <c r="D2476" i="2" s="1"/>
  <c r="D2477" i="2" a="1"/>
  <c r="D2477" i="2" s="1"/>
  <c r="D2478" i="2" a="1"/>
  <c r="D2478" i="2" s="1"/>
  <c r="D2479" i="2" a="1"/>
  <c r="D2479" i="2" s="1"/>
  <c r="D2480" i="2" a="1"/>
  <c r="D2480" i="2" s="1"/>
  <c r="D2481" i="2" a="1"/>
  <c r="D2481" i="2"/>
  <c r="D2482" i="2" a="1"/>
  <c r="D2482" i="2" s="1"/>
  <c r="D2483" i="2" a="1"/>
  <c r="D2483" i="2" s="1"/>
  <c r="D2484" i="2" a="1"/>
  <c r="D2484" i="2" s="1"/>
  <c r="D2485" i="2" a="1"/>
  <c r="D2485" i="2" s="1"/>
  <c r="D2486" i="2" a="1"/>
  <c r="D2486" i="2" s="1"/>
  <c r="D2487" i="2" a="1"/>
  <c r="D2487" i="2" s="1"/>
  <c r="D2488" i="2" a="1"/>
  <c r="D2488" i="2" s="1"/>
  <c r="D2489" i="2" a="1"/>
  <c r="D2489" i="2" s="1"/>
  <c r="D2490" i="2" a="1"/>
  <c r="D2490" i="2" s="1"/>
  <c r="D2491" i="2" a="1"/>
  <c r="D2491" i="2" s="1"/>
  <c r="D2492" i="2" a="1"/>
  <c r="D2492" i="2" s="1"/>
  <c r="D2493" i="2" a="1"/>
  <c r="D2493" i="2" s="1"/>
  <c r="D2494" i="2" a="1"/>
  <c r="D2494" i="2" s="1"/>
  <c r="D2495" i="2" a="1"/>
  <c r="D2495" i="2" s="1"/>
  <c r="D2496" i="2" a="1"/>
  <c r="D2496" i="2" s="1"/>
  <c r="D2497" i="2" a="1"/>
  <c r="D2497" i="2" s="1"/>
  <c r="D2498" i="2" a="1"/>
  <c r="D2498" i="2" s="1"/>
  <c r="D2499" i="2" a="1"/>
  <c r="D2499" i="2" s="1"/>
  <c r="D2500" i="2" a="1"/>
  <c r="D2500" i="2" s="1"/>
  <c r="D2501" i="2" a="1"/>
  <c r="D2501" i="2" s="1"/>
  <c r="D2502" i="2" a="1"/>
  <c r="D2502" i="2" s="1"/>
  <c r="D2503" i="2" a="1"/>
  <c r="D2503" i="2" s="1"/>
  <c r="D2504" i="2" a="1"/>
  <c r="D2504" i="2" s="1"/>
  <c r="D2505" i="2" a="1"/>
  <c r="D2505" i="2" s="1"/>
  <c r="D2506" i="2" a="1"/>
  <c r="D2506" i="2" s="1"/>
  <c r="D2507" i="2" a="1"/>
  <c r="D2507" i="2" s="1"/>
  <c r="D2508" i="2" a="1"/>
  <c r="D2508" i="2"/>
  <c r="D2509" i="2" a="1"/>
  <c r="D2509" i="2" s="1"/>
  <c r="D2510" i="2" a="1"/>
  <c r="D2510" i="2" s="1"/>
  <c r="D2511" i="2" a="1"/>
  <c r="D2511" i="2" s="1"/>
  <c r="D2512" i="2" a="1"/>
  <c r="D2512" i="2" s="1"/>
  <c r="D2513" i="2" a="1"/>
  <c r="D2513" i="2" s="1"/>
  <c r="D2514" i="2" a="1"/>
  <c r="D2514" i="2" s="1"/>
  <c r="D2515" i="2" a="1"/>
  <c r="D2515" i="2" s="1"/>
  <c r="D2516" i="2" a="1"/>
  <c r="D2516" i="2" s="1"/>
  <c r="D2517" i="2" a="1"/>
  <c r="D2517" i="2" s="1"/>
  <c r="D2518" i="2" a="1"/>
  <c r="D2518" i="2" s="1"/>
  <c r="D2519" i="2" a="1"/>
  <c r="D2519" i="2" s="1"/>
  <c r="D2520" i="2" a="1"/>
  <c r="D2520" i="2" s="1"/>
  <c r="D2521" i="2" a="1"/>
  <c r="D2521" i="2" s="1"/>
  <c r="D2522" i="2" a="1"/>
  <c r="D2522" i="2" s="1"/>
  <c r="D2523" i="2" a="1"/>
  <c r="D2523" i="2" s="1"/>
  <c r="D2524" i="2" a="1"/>
  <c r="D2524" i="2" s="1"/>
  <c r="D2525" i="2" a="1"/>
  <c r="D2525" i="2"/>
  <c r="D2526" i="2" a="1"/>
  <c r="D2526" i="2" s="1"/>
  <c r="D2527" i="2" a="1"/>
  <c r="D2527" i="2" s="1"/>
  <c r="D2528" i="2" a="1"/>
  <c r="D2528" i="2" s="1"/>
  <c r="D2529" i="2" a="1"/>
  <c r="D2529" i="2" s="1"/>
  <c r="D2530" i="2" a="1"/>
  <c r="D2530" i="2" s="1"/>
  <c r="D2531" i="2" a="1"/>
  <c r="D2531" i="2" s="1"/>
  <c r="D2532" i="2" a="1"/>
  <c r="D2532" i="2" s="1"/>
  <c r="D2533" i="2" a="1"/>
  <c r="D2533" i="2"/>
  <c r="D2534" i="2" a="1"/>
  <c r="D2534" i="2" s="1"/>
  <c r="D2535" i="2" a="1"/>
  <c r="D2535" i="2" s="1"/>
  <c r="D2536" i="2" a="1"/>
  <c r="D2536" i="2" s="1"/>
  <c r="D2537" i="2" a="1"/>
  <c r="D2537" i="2" s="1"/>
  <c r="D2538" i="2" a="1"/>
  <c r="D2538" i="2" s="1"/>
  <c r="D2539" i="2" a="1"/>
  <c r="D2539" i="2" s="1"/>
  <c r="D2540" i="2" a="1"/>
  <c r="D2540" i="2" s="1"/>
  <c r="D2541" i="2" a="1"/>
  <c r="D2541" i="2" s="1"/>
  <c r="D2542" i="2" a="1"/>
  <c r="D2542" i="2" s="1"/>
  <c r="D2543" i="2" a="1"/>
  <c r="D2543" i="2" s="1"/>
  <c r="D2544" i="2" a="1"/>
  <c r="D2544" i="2" s="1"/>
  <c r="D2545" i="2" a="1"/>
  <c r="D2545" i="2" s="1"/>
  <c r="D2546" i="2" a="1"/>
  <c r="D2546" i="2" s="1"/>
  <c r="D2547" i="2" a="1"/>
  <c r="D2547" i="2" s="1"/>
  <c r="D2548" i="2" a="1"/>
  <c r="D2548" i="2" s="1"/>
  <c r="D2549" i="2" a="1"/>
  <c r="D2549" i="2" s="1"/>
  <c r="D2550" i="2" a="1"/>
  <c r="D2550" i="2" s="1"/>
  <c r="D2551" i="2" a="1"/>
  <c r="D2551" i="2" s="1"/>
  <c r="D2552" i="2" a="1"/>
  <c r="D2552" i="2" s="1"/>
  <c r="D2553" i="2" a="1"/>
  <c r="D2553" i="2" s="1"/>
  <c r="D2554" i="2" a="1"/>
  <c r="D2554" i="2" s="1"/>
  <c r="D2555" i="2" a="1"/>
  <c r="D2555" i="2" s="1"/>
  <c r="D2556" i="2" a="1"/>
  <c r="D2556" i="2" s="1"/>
  <c r="D2557" i="2" a="1"/>
  <c r="D2557" i="2" s="1"/>
  <c r="D2558" i="2" a="1"/>
  <c r="D2558" i="2" s="1"/>
  <c r="D2559" i="2" a="1"/>
  <c r="D2559" i="2" s="1"/>
  <c r="D2560" i="2" a="1"/>
  <c r="D2560" i="2" s="1"/>
  <c r="D2561" i="2" a="1"/>
  <c r="D2561" i="2" s="1"/>
  <c r="D2562" i="2" a="1"/>
  <c r="D2562" i="2" s="1"/>
  <c r="D2563" i="2" a="1"/>
  <c r="D2563" i="2" s="1"/>
  <c r="D2564" i="2" a="1"/>
  <c r="D2564" i="2" s="1"/>
  <c r="D2565" i="2" a="1"/>
  <c r="D2565" i="2" s="1"/>
  <c r="D2566" i="2" a="1"/>
  <c r="D2566" i="2" s="1"/>
  <c r="D2567" i="2" a="1"/>
  <c r="D2567" i="2" s="1"/>
  <c r="D2568" i="2" a="1"/>
  <c r="D2568" i="2" s="1"/>
  <c r="D2569" i="2" a="1"/>
  <c r="D2569" i="2" s="1"/>
  <c r="D2570" i="2" a="1"/>
  <c r="D2570" i="2" s="1"/>
  <c r="D2571" i="2" a="1"/>
  <c r="D2571" i="2" s="1"/>
  <c r="D2572" i="2" a="1"/>
  <c r="D2572" i="2" s="1"/>
  <c r="D2573" i="2" a="1"/>
  <c r="D2573" i="2" s="1"/>
  <c r="D2574" i="2" a="1"/>
  <c r="D2574" i="2" s="1"/>
  <c r="D2575" i="2" a="1"/>
  <c r="D2575" i="2" s="1"/>
  <c r="D2576" i="2" a="1"/>
  <c r="D2576" i="2" s="1"/>
  <c r="D2577" i="2" a="1"/>
  <c r="D2577" i="2" s="1"/>
  <c r="D2578" i="2" a="1"/>
  <c r="D2578" i="2" s="1"/>
  <c r="D2579" i="2" a="1"/>
  <c r="D2579" i="2" s="1"/>
  <c r="D2580" i="2" a="1"/>
  <c r="D2580" i="2" s="1"/>
  <c r="D2581" i="2" a="1"/>
  <c r="D2581" i="2" s="1"/>
  <c r="D2582" i="2" a="1"/>
  <c r="D2582" i="2" s="1"/>
  <c r="D2583" i="2" a="1"/>
  <c r="D2583" i="2" s="1"/>
  <c r="D2584" i="2" a="1"/>
  <c r="D2584" i="2" s="1"/>
  <c r="D2585" i="2" a="1"/>
  <c r="D2585" i="2" s="1"/>
  <c r="D2586" i="2" a="1"/>
  <c r="D2586" i="2" s="1"/>
  <c r="D2587" i="2" a="1"/>
  <c r="D2587" i="2" s="1"/>
  <c r="D2588" i="2" a="1"/>
  <c r="D2588" i="2" s="1"/>
  <c r="D2589" i="2" a="1"/>
  <c r="D2589" i="2" s="1"/>
  <c r="D2590" i="2" a="1"/>
  <c r="D2590" i="2" s="1"/>
  <c r="D2591" i="2" a="1"/>
  <c r="D2591" i="2" s="1"/>
  <c r="D2592" i="2" a="1"/>
  <c r="D2592" i="2" s="1"/>
  <c r="D2593" i="2" a="1"/>
  <c r="D2593" i="2" s="1"/>
  <c r="D2594" i="2" a="1"/>
  <c r="D2594" i="2" s="1"/>
  <c r="D2595" i="2" a="1"/>
  <c r="D2595" i="2" s="1"/>
  <c r="D2596" i="2" a="1"/>
  <c r="D2596" i="2" s="1"/>
  <c r="D2597" i="2" a="1"/>
  <c r="D2597" i="2" s="1"/>
  <c r="D2598" i="2" a="1"/>
  <c r="D2598" i="2" s="1"/>
  <c r="D2599" i="2" a="1"/>
  <c r="D2599" i="2" s="1"/>
  <c r="D2600" i="2" a="1"/>
  <c r="D2600" i="2" s="1"/>
  <c r="D2601" i="2" a="1"/>
  <c r="D2601" i="2" s="1"/>
  <c r="D2602" i="2" a="1"/>
  <c r="D2602" i="2" s="1"/>
  <c r="D2603" i="2" a="1"/>
  <c r="D2603" i="2" s="1"/>
  <c r="D2604" i="2" a="1"/>
  <c r="D2604" i="2" s="1"/>
  <c r="D2605" i="2" a="1"/>
  <c r="D2605" i="2"/>
  <c r="D2606" i="2" a="1"/>
  <c r="D2606" i="2" s="1"/>
  <c r="D2607" i="2" a="1"/>
  <c r="D2607" i="2" s="1"/>
  <c r="D2608" i="2" a="1"/>
  <c r="D2608" i="2" s="1"/>
  <c r="D2609" i="2" a="1"/>
  <c r="D2609" i="2" s="1"/>
  <c r="D2610" i="2" a="1"/>
  <c r="D2610" i="2" s="1"/>
  <c r="D2611" i="2" a="1"/>
  <c r="D2611" i="2" s="1"/>
  <c r="D2612" i="2" a="1"/>
  <c r="D2612" i="2" s="1"/>
  <c r="D2613" i="2" a="1"/>
  <c r="D2613" i="2" s="1"/>
  <c r="D2614" i="2" a="1"/>
  <c r="D2614" i="2" s="1"/>
  <c r="D2615" i="2" a="1"/>
  <c r="D2615" i="2" s="1"/>
  <c r="D2616" i="2" a="1"/>
  <c r="D2616" i="2" s="1"/>
  <c r="D2617" i="2" a="1"/>
  <c r="D2617" i="2" s="1"/>
  <c r="D2618" i="2" a="1"/>
  <c r="D2618" i="2" s="1"/>
  <c r="D2619" i="2" a="1"/>
  <c r="D2619" i="2" s="1"/>
  <c r="D2620" i="2" a="1"/>
  <c r="D2620" i="2" s="1"/>
  <c r="D2621" i="2" a="1"/>
  <c r="D2621" i="2" s="1"/>
  <c r="D2622" i="2" a="1"/>
  <c r="D2622" i="2" s="1"/>
  <c r="D2623" i="2" a="1"/>
  <c r="D2623" i="2" s="1"/>
  <c r="D2624" i="2" a="1"/>
  <c r="D2624" i="2" s="1"/>
  <c r="D2625" i="2" a="1"/>
  <c r="D2625" i="2" s="1"/>
  <c r="D2626" i="2" a="1"/>
  <c r="D2626" i="2" s="1"/>
  <c r="D2627" i="2" a="1"/>
  <c r="D2627" i="2" s="1"/>
  <c r="D2628" i="2" a="1"/>
  <c r="D2628" i="2" s="1"/>
  <c r="D2629" i="2" a="1"/>
  <c r="D2629" i="2"/>
  <c r="D2630" i="2" a="1"/>
  <c r="D2630" i="2" s="1"/>
  <c r="D2631" i="2" a="1"/>
  <c r="D2631" i="2" s="1"/>
  <c r="D2632" i="2" a="1"/>
  <c r="D2632" i="2" s="1"/>
  <c r="D2633" i="2" a="1"/>
  <c r="D2633" i="2" s="1"/>
  <c r="D2634" i="2" a="1"/>
  <c r="D2634" i="2" s="1"/>
  <c r="D2635" i="2" a="1"/>
  <c r="D2635" i="2" s="1"/>
  <c r="D2636" i="2" a="1"/>
  <c r="D2636" i="2" s="1"/>
  <c r="D2637" i="2" a="1"/>
  <c r="D2637" i="2" s="1"/>
  <c r="D2638" i="2" a="1"/>
  <c r="D2638" i="2" s="1"/>
  <c r="D2639" i="2" a="1"/>
  <c r="D2639" i="2" s="1"/>
  <c r="D2640" i="2" a="1"/>
  <c r="D2640" i="2" s="1"/>
  <c r="D2641" i="2" a="1"/>
  <c r="D2641" i="2" s="1"/>
  <c r="D2642" i="2" a="1"/>
  <c r="D2642" i="2" s="1"/>
  <c r="D2643" i="2" a="1"/>
  <c r="D2643" i="2" s="1"/>
  <c r="D2644" i="2" a="1"/>
  <c r="D2644" i="2" s="1"/>
  <c r="D2645" i="2" a="1"/>
  <c r="D2645" i="2" s="1"/>
  <c r="D2646" i="2" a="1"/>
  <c r="D2646" i="2" s="1"/>
  <c r="D2647" i="2" a="1"/>
  <c r="D2647" i="2" s="1"/>
  <c r="D2648" i="2" a="1"/>
  <c r="D2648" i="2" s="1"/>
  <c r="D2649" i="2" a="1"/>
  <c r="D2649" i="2" s="1"/>
  <c r="D2650" i="2" a="1"/>
  <c r="D2650" i="2" s="1"/>
  <c r="D2651" i="2" a="1"/>
  <c r="D2651" i="2" s="1"/>
  <c r="D2652" i="2" a="1"/>
  <c r="D2652" i="2" s="1"/>
  <c r="D2653" i="2" a="1"/>
  <c r="D2653" i="2"/>
  <c r="D2654" i="2" a="1"/>
  <c r="D2654" i="2" s="1"/>
  <c r="D2655" i="2" a="1"/>
  <c r="D2655" i="2" s="1"/>
  <c r="D2656" i="2" a="1"/>
  <c r="D2656" i="2" s="1"/>
  <c r="D2657" i="2" a="1"/>
  <c r="D2657" i="2" s="1"/>
  <c r="D2658" i="2" a="1"/>
  <c r="D2658" i="2" s="1"/>
  <c r="D2659" i="2" a="1"/>
  <c r="D2659" i="2" s="1"/>
  <c r="D2660" i="2" a="1"/>
  <c r="D2660" i="2" s="1"/>
  <c r="D2661" i="2" a="1"/>
  <c r="D2661" i="2"/>
  <c r="D2662" i="2" a="1"/>
  <c r="D2662" i="2" s="1"/>
  <c r="D2663" i="2" a="1"/>
  <c r="D2663" i="2" s="1"/>
  <c r="D2664" i="2" a="1"/>
  <c r="D2664" i="2" s="1"/>
  <c r="D2665" i="2" a="1"/>
  <c r="D2665" i="2" s="1"/>
  <c r="D2666" i="2" a="1"/>
  <c r="D2666" i="2" s="1"/>
  <c r="D2667" i="2" a="1"/>
  <c r="D2667" i="2" s="1"/>
  <c r="D2668" i="2" a="1"/>
  <c r="D2668" i="2" s="1"/>
  <c r="D2669" i="2" a="1"/>
  <c r="D2669" i="2"/>
  <c r="D2670" i="2" a="1"/>
  <c r="D2670" i="2" s="1"/>
  <c r="D2671" i="2" a="1"/>
  <c r="D2671" i="2" s="1"/>
  <c r="A3" i="9"/>
  <c r="B3" i="9" s="1"/>
  <c r="H9" i="11" l="1"/>
  <c r="H8" i="11"/>
  <c r="H7" i="11"/>
  <c r="H6" i="11"/>
  <c r="H5" i="11"/>
  <c r="H4" i="11"/>
  <c r="H3" i="11"/>
  <c r="H10" i="11" s="1"/>
  <c r="J4" i="11"/>
  <c r="J3" i="11"/>
  <c r="N10" i="11"/>
  <c r="O10" i="11" s="1"/>
  <c r="F10" i="11"/>
  <c r="J8" i="11"/>
  <c r="K7" i="11"/>
  <c r="O2" i="11"/>
  <c r="P2" i="11" s="1"/>
  <c r="J2" i="11"/>
  <c r="J10" i="11" s="1"/>
  <c r="B14" i="11" s="1"/>
  <c r="J9" i="11"/>
  <c r="J7" i="11"/>
  <c r="B17" i="11"/>
  <c r="J6" i="11"/>
  <c r="J5" i="11"/>
  <c r="B7" i="13"/>
  <c r="I3" i="11"/>
  <c r="L3" i="11" s="1"/>
  <c r="K6" i="11"/>
  <c r="K4" i="11"/>
  <c r="K5" i="11"/>
  <c r="G10" i="11"/>
  <c r="K3" i="11"/>
  <c r="I2" i="11"/>
  <c r="I9" i="11"/>
  <c r="L9" i="11" s="1"/>
  <c r="I8" i="11"/>
  <c r="L8" i="11" s="1"/>
  <c r="I7" i="11"/>
  <c r="L7" i="11" s="1"/>
  <c r="K2" i="11"/>
  <c r="I6" i="11"/>
  <c r="K9" i="11"/>
  <c r="I5" i="11"/>
  <c r="K8" i="11"/>
  <c r="I4" i="11"/>
  <c r="L4" i="11" s="1"/>
  <c r="A4" i="9"/>
  <c r="M8" i="11" l="1"/>
  <c r="L6" i="11"/>
  <c r="L5" i="11"/>
  <c r="M9" i="11"/>
  <c r="M7" i="11"/>
  <c r="M4" i="11"/>
  <c r="M5" i="11"/>
  <c r="M6" i="11"/>
  <c r="M3" i="11"/>
  <c r="B3" i="13"/>
  <c r="B8" i="13" s="1"/>
  <c r="B9" i="13" s="1"/>
  <c r="B10" i="13" s="1"/>
  <c r="B11" i="13" s="1"/>
  <c r="I10" i="11"/>
  <c r="L2" i="11"/>
  <c r="K10" i="11"/>
  <c r="B15" i="11" s="1"/>
  <c r="A5" i="9"/>
  <c r="B4" i="9"/>
  <c r="D3" i="13" l="1"/>
  <c r="L10" i="11"/>
  <c r="B16" i="11" s="1"/>
  <c r="M2" i="11"/>
  <c r="M10" i="11" s="1"/>
  <c r="A6" i="9"/>
  <c r="B5" i="9"/>
  <c r="A7" i="9" l="1"/>
  <c r="B6" i="9"/>
  <c r="A8" i="9" l="1"/>
  <c r="B7" i="9"/>
  <c r="A9" i="9" l="1"/>
  <c r="B8" i="9"/>
  <c r="A10" i="9" l="1"/>
  <c r="B9" i="9"/>
  <c r="A11" i="9" l="1"/>
  <c r="B10" i="9"/>
  <c r="A12" i="9" l="1"/>
  <c r="B11" i="9"/>
  <c r="A13" i="9" l="1"/>
  <c r="B12" i="9"/>
  <c r="A14" i="9" l="1"/>
  <c r="B13" i="9"/>
  <c r="A15" i="9" l="1"/>
  <c r="B14" i="9"/>
  <c r="A16" i="9" l="1"/>
  <c r="B15" i="9"/>
  <c r="A17" i="9" l="1"/>
  <c r="B16" i="9"/>
  <c r="A18" i="9" l="1"/>
  <c r="B17" i="9"/>
  <c r="A19" i="9" l="1"/>
  <c r="B18" i="9"/>
  <c r="A20" i="9" l="1"/>
  <c r="B19" i="9"/>
  <c r="A21" i="9" l="1"/>
  <c r="B20" i="9"/>
  <c r="A22" i="9" l="1"/>
  <c r="B21" i="9"/>
  <c r="A23" i="9" l="1"/>
  <c r="B22" i="9"/>
  <c r="A24" i="9" l="1"/>
  <c r="B23" i="9"/>
  <c r="A25" i="9" l="1"/>
  <c r="B24" i="9"/>
  <c r="A26" i="9" l="1"/>
  <c r="B25" i="9"/>
  <c r="A27" i="9" l="1"/>
  <c r="B26" i="9"/>
  <c r="L2" i="9" s="1"/>
  <c r="A28" i="9" l="1"/>
  <c r="B27" i="9"/>
  <c r="L3" i="9" s="1"/>
  <c r="A29" i="9" l="1"/>
  <c r="B28" i="9"/>
  <c r="L4" i="9" s="1"/>
  <c r="A30" i="9" l="1"/>
  <c r="B29" i="9"/>
  <c r="L5" i="9" s="1"/>
  <c r="A31" i="9" l="1"/>
  <c r="B30" i="9"/>
  <c r="L6" i="9" s="1"/>
  <c r="A32" i="9" l="1"/>
  <c r="B31" i="9"/>
  <c r="L7" i="9" s="1"/>
  <c r="A33" i="9" l="1"/>
  <c r="B32" i="9"/>
  <c r="L8" i="9" s="1"/>
  <c r="A34" i="9" l="1"/>
  <c r="B33" i="9"/>
  <c r="L9" i="9" s="1"/>
  <c r="A35" i="9" l="1"/>
  <c r="B34" i="9"/>
  <c r="L10" i="9" s="1"/>
  <c r="A36" i="9" l="1"/>
  <c r="B35" i="9"/>
  <c r="L11" i="9" s="1"/>
  <c r="A37" i="9" l="1"/>
  <c r="B36" i="9"/>
  <c r="L12" i="9" s="1"/>
  <c r="A38" i="9" l="1"/>
  <c r="B37" i="9"/>
  <c r="L13" i="9" s="1"/>
  <c r="E2" i="9"/>
  <c r="H2" i="9"/>
  <c r="B38" i="9" l="1"/>
  <c r="E3" i="9"/>
  <c r="K2" i="9"/>
  <c r="F2" i="9"/>
  <c r="A39" i="9"/>
  <c r="H3" i="9"/>
  <c r="G2" i="9"/>
  <c r="I2" i="9" l="1"/>
  <c r="J2" i="9"/>
  <c r="A40" i="9"/>
  <c r="E4" i="9"/>
  <c r="B39" i="9"/>
  <c r="L14" i="9"/>
  <c r="B2" i="12" s="1"/>
  <c r="K3" i="9"/>
  <c r="F3" i="9"/>
  <c r="L15" i="9" s="1"/>
  <c r="B3" i="12" s="1"/>
  <c r="G3" i="9"/>
  <c r="G4" i="9"/>
  <c r="H4" i="9"/>
  <c r="I3" i="9" l="1"/>
  <c r="J3" i="9"/>
  <c r="F4" i="9"/>
  <c r="L16" i="9" s="1"/>
  <c r="B4" i="12" s="1"/>
  <c r="K4" i="9"/>
  <c r="A41" i="9"/>
  <c r="E5" i="9"/>
  <c r="K5" i="9" s="1"/>
  <c r="B40" i="9"/>
  <c r="I4" i="9" l="1"/>
  <c r="J4" i="9"/>
  <c r="A42" i="9"/>
  <c r="E6" i="9"/>
  <c r="B41" i="9"/>
  <c r="F5" i="9"/>
  <c r="L17" i="9" s="1"/>
  <c r="B5" i="12" s="1"/>
  <c r="H5" i="9"/>
  <c r="G5" i="9"/>
  <c r="H6" i="9"/>
  <c r="I5" i="9" l="1"/>
  <c r="J5" i="9"/>
  <c r="F6" i="9"/>
  <c r="L18" i="9" s="1"/>
  <c r="B6" i="12" s="1"/>
  <c r="K6" i="9"/>
  <c r="A43" i="9"/>
  <c r="B42" i="9"/>
  <c r="E7" i="9"/>
  <c r="G6" i="9"/>
  <c r="H7" i="9"/>
  <c r="I6" i="9" l="1"/>
  <c r="J6" i="9"/>
  <c r="K7" i="9"/>
  <c r="F7" i="9"/>
  <c r="L19" i="9" s="1"/>
  <c r="B7" i="12" s="1"/>
  <c r="A44" i="9"/>
  <c r="E8" i="9"/>
  <c r="B43" i="9"/>
  <c r="G7" i="9"/>
  <c r="H8" i="9"/>
  <c r="I7" i="9" l="1"/>
  <c r="J7" i="9"/>
  <c r="K8" i="9"/>
  <c r="F8" i="9"/>
  <c r="L20" i="9" s="1"/>
  <c r="B8" i="12" s="1"/>
  <c r="A45" i="9"/>
  <c r="E9" i="9"/>
  <c r="B44" i="9"/>
  <c r="G8" i="9"/>
  <c r="H9" i="9"/>
  <c r="I8" i="9" l="1"/>
  <c r="J8" i="9"/>
  <c r="K9" i="9"/>
  <c r="F9" i="9"/>
  <c r="L21" i="9" s="1"/>
  <c r="B9" i="12" s="1"/>
  <c r="A46" i="9"/>
  <c r="E10" i="9"/>
  <c r="B45" i="9"/>
  <c r="H10" i="9"/>
  <c r="G9" i="9"/>
  <c r="I9" i="9" l="1"/>
  <c r="J9" i="9"/>
  <c r="K10" i="9"/>
  <c r="F10" i="9"/>
  <c r="L22" i="9" s="1"/>
  <c r="B10" i="12" s="1"/>
  <c r="A47" i="9"/>
  <c r="E11" i="9"/>
  <c r="B46" i="9"/>
  <c r="G10" i="9"/>
  <c r="H11" i="9"/>
  <c r="I10" i="9" l="1"/>
  <c r="J10" i="9"/>
  <c r="K11" i="9"/>
  <c r="F11" i="9"/>
  <c r="L23" i="9" s="1"/>
  <c r="B11" i="12" s="1"/>
  <c r="A48" i="9"/>
  <c r="E12" i="9"/>
  <c r="B47" i="9"/>
  <c r="H12" i="9"/>
  <c r="G11" i="9"/>
  <c r="I11" i="9" l="1"/>
  <c r="J11" i="9"/>
  <c r="A49" i="9"/>
  <c r="E13" i="9"/>
  <c r="B48" i="9"/>
  <c r="K12" i="9"/>
  <c r="F12" i="9"/>
  <c r="L24" i="9" s="1"/>
  <c r="B12" i="12" s="1"/>
  <c r="G13" i="9"/>
  <c r="H13" i="9"/>
  <c r="G12" i="9"/>
  <c r="I12" i="9" l="1"/>
  <c r="J12" i="9"/>
  <c r="I13" i="9"/>
  <c r="J13" i="9"/>
  <c r="K13" i="9"/>
  <c r="F13" i="9"/>
  <c r="A50" i="9"/>
  <c r="E14" i="9"/>
  <c r="A2" i="12" s="1"/>
  <c r="B49" i="9"/>
  <c r="P4" i="9" l="1" a="1"/>
  <c r="P4" i="9" s="1"/>
  <c r="O4" i="9" a="1"/>
  <c r="O4" i="9" s="1"/>
  <c r="N4" i="9" a="1"/>
  <c r="N4" i="9" s="1"/>
  <c r="A51" i="9"/>
  <c r="E15" i="9"/>
  <c r="A3" i="12" s="1"/>
  <c r="B50" i="9"/>
  <c r="L25" i="9"/>
  <c r="B13" i="12" s="1"/>
  <c r="B14" i="12" s="1"/>
  <c r="F14" i="9"/>
  <c r="K14" i="9"/>
  <c r="G14" i="9"/>
  <c r="H15" i="9"/>
  <c r="H14" i="9"/>
  <c r="C2" i="12" l="1"/>
  <c r="I14" i="9"/>
  <c r="J14" i="9"/>
  <c r="K15" i="9"/>
  <c r="F15" i="9"/>
  <c r="C3" i="12" s="1"/>
  <c r="D3" i="12" s="1"/>
  <c r="E3" i="12" s="1"/>
  <c r="F3" i="12" s="1"/>
  <c r="A52" i="9"/>
  <c r="E16" i="9"/>
  <c r="A4" i="12" s="1"/>
  <c r="B51" i="9"/>
  <c r="G15" i="9"/>
  <c r="D2" i="12" l="1"/>
  <c r="I15" i="9"/>
  <c r="J15" i="9"/>
  <c r="K16" i="9"/>
  <c r="F16" i="9"/>
  <c r="C4" i="12" s="1"/>
  <c r="D4" i="12" s="1"/>
  <c r="E4" i="12" s="1"/>
  <c r="F4" i="12" s="1"/>
  <c r="A53" i="9"/>
  <c r="E17" i="9"/>
  <c r="A5" i="12" s="1"/>
  <c r="B52" i="9"/>
  <c r="H16" i="9"/>
  <c r="G16" i="9"/>
  <c r="E2" i="12" l="1"/>
  <c r="F2" i="12" s="1"/>
  <c r="I16" i="9"/>
  <c r="J16" i="9"/>
  <c r="K17" i="9"/>
  <c r="F17" i="9"/>
  <c r="C5" i="12" s="1"/>
  <c r="D5" i="12" s="1"/>
  <c r="E5" i="12" s="1"/>
  <c r="F5" i="12" s="1"/>
  <c r="A54" i="9"/>
  <c r="E18" i="9"/>
  <c r="A6" i="12" s="1"/>
  <c r="B53" i="9"/>
  <c r="G17" i="9"/>
  <c r="H17" i="9"/>
  <c r="J17" i="9" l="1"/>
  <c r="I17" i="9"/>
  <c r="K18" i="9"/>
  <c r="F18" i="9"/>
  <c r="C6" i="12" s="1"/>
  <c r="D6" i="12" s="1"/>
  <c r="E6" i="12" s="1"/>
  <c r="F6" i="12" s="1"/>
  <c r="A55" i="9"/>
  <c r="E19" i="9"/>
  <c r="A7" i="12" s="1"/>
  <c r="B54" i="9"/>
  <c r="H18" i="9"/>
  <c r="G18" i="9"/>
  <c r="J18" i="9" l="1"/>
  <c r="I18" i="9"/>
  <c r="K19" i="9"/>
  <c r="F19" i="9"/>
  <c r="C7" i="12" s="1"/>
  <c r="D7" i="12" s="1"/>
  <c r="E7" i="12" s="1"/>
  <c r="F7" i="12" s="1"/>
  <c r="A56" i="9"/>
  <c r="E20" i="9"/>
  <c r="A8" i="12" s="1"/>
  <c r="B55" i="9"/>
  <c r="G19" i="9"/>
  <c r="H19" i="9"/>
  <c r="J19" i="9" l="1"/>
  <c r="I19" i="9"/>
  <c r="F20" i="9"/>
  <c r="C8" i="12" s="1"/>
  <c r="D8" i="12" s="1"/>
  <c r="E8" i="12" s="1"/>
  <c r="F8" i="12" s="1"/>
  <c r="K20" i="9"/>
  <c r="A57" i="9"/>
  <c r="E21" i="9"/>
  <c r="A9" i="12" s="1"/>
  <c r="B56" i="9"/>
  <c r="G20" i="9"/>
  <c r="H20" i="9"/>
  <c r="J20" i="9" l="1"/>
  <c r="I20" i="9"/>
  <c r="F21" i="9"/>
  <c r="C9" i="12" s="1"/>
  <c r="D9" i="12" s="1"/>
  <c r="E9" i="12" s="1"/>
  <c r="F9" i="12" s="1"/>
  <c r="K21" i="9"/>
  <c r="A58" i="9"/>
  <c r="E22" i="9"/>
  <c r="B57" i="9"/>
  <c r="G21" i="9"/>
  <c r="H21" i="9"/>
  <c r="G22" i="9"/>
  <c r="A10" i="12" l="1"/>
  <c r="J21" i="9"/>
  <c r="I21" i="9"/>
  <c r="F22" i="9"/>
  <c r="C10" i="12" s="1"/>
  <c r="D10" i="12" s="1"/>
  <c r="E10" i="12" s="1"/>
  <c r="F10" i="12" s="1"/>
  <c r="K22" i="9"/>
  <c r="A59" i="9"/>
  <c r="E23" i="9"/>
  <c r="A11" i="12" s="1"/>
  <c r="B58" i="9"/>
  <c r="H22" i="9"/>
  <c r="J22" i="9" l="1"/>
  <c r="I22" i="9"/>
  <c r="F23" i="9"/>
  <c r="C11" i="12" s="1"/>
  <c r="D11" i="12" s="1"/>
  <c r="E11" i="12" s="1"/>
  <c r="F11" i="12" s="1"/>
  <c r="K23" i="9"/>
  <c r="A60" i="9"/>
  <c r="E24" i="9"/>
  <c r="A12" i="12" s="1"/>
  <c r="B59" i="9"/>
  <c r="G23" i="9"/>
  <c r="H23" i="9"/>
  <c r="J23" i="9" l="1"/>
  <c r="I23" i="9"/>
  <c r="F24" i="9"/>
  <c r="C12" i="12" s="1"/>
  <c r="D12" i="12" s="1"/>
  <c r="E12" i="12" s="1"/>
  <c r="F12" i="12" s="1"/>
  <c r="K24" i="9"/>
  <c r="A61" i="9"/>
  <c r="E25" i="9"/>
  <c r="A13" i="12" s="1"/>
  <c r="B60" i="9"/>
  <c r="G24" i="9"/>
  <c r="H24" i="9"/>
  <c r="I24" i="9" l="1"/>
  <c r="J24" i="9"/>
  <c r="F25" i="9"/>
  <c r="K25" i="9"/>
  <c r="B61" i="9"/>
  <c r="H25" i="9"/>
  <c r="G25" i="9"/>
  <c r="C13" i="12" l="1"/>
  <c r="N12" i="9" a="1"/>
  <c r="N12" i="9" s="1"/>
  <c r="P9" i="9" a="1"/>
  <c r="P9" i="9" s="1"/>
  <c r="N9" i="9" a="1"/>
  <c r="N9" i="9" s="1"/>
  <c r="O9" i="9" a="1"/>
  <c r="O9" i="9" s="1"/>
  <c r="I25" i="9"/>
  <c r="J25" i="9"/>
  <c r="D13" i="12" l="1"/>
  <c r="C14" i="12"/>
  <c r="E13" i="12" l="1"/>
  <c r="F13" i="12" s="1"/>
  <c r="D14" i="12"/>
  <c r="E14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7A9C65-12F5-4191-8A49-4FEA1C767735}" keepAlive="1" name="Query - COPY_Raw_liquor_data (2)" description="Connection to the 'COPY_Raw_liquor_data (2)' query in the workbook." type="5" refreshedVersion="0" background="1">
    <dbPr connection="Provider=Microsoft.Mashup.OleDb.1;Data Source=$Workbook$;Location=&quot;COPY_Raw_liquor_data (2)&quot;;Extended Properties=&quot;&quot;" command="SELECT * FROM [COPY_Raw_liquor_data (2)]"/>
  </connection>
  <connection id="2" xr16:uid="{87DB856B-E373-49A3-89B3-F73B860CC425}" keepAlive="1" name="Query - Master_Raw_liquor_data" description="Connection to the 'Master_Raw_liquor_data' query in the workbook." type="5" refreshedVersion="7" background="1" saveData="1">
    <dbPr connection="Provider=Microsoft.Mashup.OleDb.1;Data Source=$Workbook$;Location=Master_Raw_liquor_data;Extended Properties=&quot;&quot;" command="SELECT * FROM [Master_Raw_liquor_data]"/>
  </connection>
  <connection id="3" xr16:uid="{4D3C351E-BC89-4065-84D6-838179EA34F2}" keepAlive="1" name="Query - Master_Raw_liquor_data (2)" description="Connection to the 'Master_Raw_liquor_data (2)' query in the workbook." type="5" refreshedVersion="7" background="1" saveData="1">
    <dbPr connection="Provider=Microsoft.Mashup.OleDb.1;Data Source=$Workbook$;Location=&quot;Master_Raw_liquor_data (2)&quot;;Extended Properties=&quot;&quot;" command="SELECT * FROM [Master_Raw_liquor_data (2)]"/>
  </connection>
  <connection id="4" xr16:uid="{605933C4-902C-435E-B24F-7DF15885910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CF3DD059-1A99-47F8-90EC-74B9A7D3D0A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1C19B6A9-63CD-42CF-970D-7E22BB5B4B3E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781F501F-91BC-4D3F-966E-BE469A5C4BA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1A5412BA-1808-418C-9E4C-FC7DD51AC44F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E8EEFFE3-7A3E-40B5-97E0-D10E2396966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<sst xmlns="http://schemas.openxmlformats.org/spreadsheetml/2006/main" count="2786" uniqueCount="150">
  <si>
    <t>Year</t>
  </si>
  <si>
    <t>Start of Month</t>
  </si>
  <si>
    <t>category_name</t>
  </si>
  <si>
    <t>sum_sale_bottles</t>
  </si>
  <si>
    <t>sum_sale_dollars</t>
  </si>
  <si>
    <t>sum_sale_liters</t>
  </si>
  <si>
    <t>transactions</t>
  </si>
  <si>
    <t>AGED DARK RUM</t>
  </si>
  <si>
    <t>AMERICAN BRANDIES</t>
  </si>
  <si>
    <t>AMERICAN CORDIALS &amp; LIQUEURS</t>
  </si>
  <si>
    <t>AMERICAN DISTILLED SPIRITS SPECIALTY</t>
  </si>
  <si>
    <t>AMERICAN DRY GINS</t>
  </si>
  <si>
    <t>AMERICAN FLAVORED VODKA</t>
  </si>
  <si>
    <t>AMERICAN SCHNAPPS</t>
  </si>
  <si>
    <t>AMERICAN SLOE GINS</t>
  </si>
  <si>
    <t>AMERICAN VODKAS</t>
  </si>
  <si>
    <t>BLENDED WHISKIES</t>
  </si>
  <si>
    <t>BOTTLED IN BOND BOURBON</t>
  </si>
  <si>
    <t>CANADIAN WHISKIES</t>
  </si>
  <si>
    <t>COCKTAILS/RTD</t>
  </si>
  <si>
    <t>COFFEE LIQUEURS</t>
  </si>
  <si>
    <t>CORN WHISKIES</t>
  </si>
  <si>
    <t>CREAM LIQUEURS</t>
  </si>
  <si>
    <t>FLAVORED GIN</t>
  </si>
  <si>
    <t>FLAVORED RUM</t>
  </si>
  <si>
    <t>GOLD RUM</t>
  </si>
  <si>
    <t>IMPORTED BRANDIES</t>
  </si>
  <si>
    <t>IMPORTED CORDIALS &amp; LIQUEURS</t>
  </si>
  <si>
    <t>IMPORTED DISTILLED SPIRITS SPECIALTY</t>
  </si>
  <si>
    <t>IMPORTED DRY GINS</t>
  </si>
  <si>
    <t>IMPORTED FLAVORED VODKA</t>
  </si>
  <si>
    <t>IMPORTED SCHNAPPS</t>
  </si>
  <si>
    <t>IMPORTED VODKAS</t>
  </si>
  <si>
    <t>IRISH WHISKIES</t>
  </si>
  <si>
    <t>MEZCAL</t>
  </si>
  <si>
    <t>MIXTO TEQUILA</t>
  </si>
  <si>
    <t>NEUTRAL GRAIN SPIRITS</t>
  </si>
  <si>
    <t>NEUTRAL GRAIN SPIRITS FLAVORED</t>
  </si>
  <si>
    <t>SCOTCH WHISKIES</t>
  </si>
  <si>
    <t>SINGLE BARREL BOURBON WHISKIES</t>
  </si>
  <si>
    <t>SINGLE MALT SCOTCH</t>
  </si>
  <si>
    <t>SPECIAL ORDER ITEMS</t>
  </si>
  <si>
    <t>SPICED RUM</t>
  </si>
  <si>
    <t>STRAIGHT BOURBON WHISKIES</t>
  </si>
  <si>
    <t>STRAIGHT RYE WHISKIES</t>
  </si>
  <si>
    <t>TEMPORARY &amp; SPECIALTY PACKAGES</t>
  </si>
  <si>
    <t>TENNESSEE WHISKIES</t>
  </si>
  <si>
    <t>TRIPLE SEC</t>
  </si>
  <si>
    <t>WHISKEY LIQUEUR</t>
  </si>
  <si>
    <t>WHITE RUM</t>
  </si>
  <si>
    <t>100% AGAVE TEQUILA</t>
  </si>
  <si>
    <t>DISTILLED SPIRITS SPECIALTY</t>
  </si>
  <si>
    <t>IMPORTED GINS</t>
  </si>
  <si>
    <t>AMERICAN WHISKIES</t>
  </si>
  <si>
    <t>IMPORTED WHISKIES</t>
  </si>
  <si>
    <t>category</t>
  </si>
  <si>
    <t>Row Labels</t>
  </si>
  <si>
    <t>Grand Total</t>
  </si>
  <si>
    <t>Sum of sum_sale_dollars</t>
  </si>
  <si>
    <t>AMERICAN CORDIALS &amp; LIQUEURSS</t>
  </si>
  <si>
    <t>IMPORTED CORDIALS &amp; LIQUEURSS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</si>
  <si>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</si>
  <si>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</si>
  <si>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</si>
  <si>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</si>
  <si>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</si>
  <si>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</si>
  <si>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</si>
  <si>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</si>
  <si>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</si>
  <si>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</si>
  <si>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</si>
  <si>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</si>
  <si>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(All)</t>
  </si>
  <si>
    <t xml:space="preserve">Month </t>
  </si>
  <si>
    <t>Actual Sales</t>
  </si>
  <si>
    <t>2024-2025 Range</t>
  </si>
  <si>
    <t>ETS Forcast</t>
  </si>
  <si>
    <t>Lower</t>
  </si>
  <si>
    <t>Linear</t>
  </si>
  <si>
    <t>Acutal Sales</t>
  </si>
  <si>
    <t xml:space="preserve">ETS + </t>
  </si>
  <si>
    <t>Upper</t>
  </si>
  <si>
    <t xml:space="preserve">ETS Average </t>
  </si>
  <si>
    <t>Linear Avergae</t>
  </si>
  <si>
    <t>Navie Average</t>
  </si>
  <si>
    <t>Brandy</t>
  </si>
  <si>
    <t>Gin</t>
  </si>
  <si>
    <t>Liqueurs</t>
  </si>
  <si>
    <t>Other</t>
  </si>
  <si>
    <t>Rum</t>
  </si>
  <si>
    <t>Tequila/Mezcal</t>
  </si>
  <si>
    <t>Vodka</t>
  </si>
  <si>
    <t>Whiskey</t>
  </si>
  <si>
    <t>Dollar 2024</t>
  </si>
  <si>
    <t>Dollar 2025</t>
  </si>
  <si>
    <t>Bottles 2025</t>
  </si>
  <si>
    <t>TOTAL</t>
  </si>
  <si>
    <t>Category</t>
  </si>
  <si>
    <t>Price 2024</t>
  </si>
  <si>
    <t>Mix 2024</t>
  </si>
  <si>
    <t>Mix 2025</t>
  </si>
  <si>
    <t>Price 2025</t>
  </si>
  <si>
    <t>Bottles 2024</t>
  </si>
  <si>
    <t>Price Effect</t>
  </si>
  <si>
    <t>Volume Effect</t>
  </si>
  <si>
    <t>Mix Effect</t>
  </si>
  <si>
    <t>Total Effect</t>
  </si>
  <si>
    <t>Actual Change</t>
  </si>
  <si>
    <t>2024 Sales</t>
  </si>
  <si>
    <t>Price</t>
  </si>
  <si>
    <t>Volume</t>
  </si>
  <si>
    <t>Mix</t>
  </si>
  <si>
    <t>Month</t>
  </si>
  <si>
    <t xml:space="preserve">Plan </t>
  </si>
  <si>
    <t>Actual</t>
  </si>
  <si>
    <t>$ Variance</t>
  </si>
  <si>
    <t>% Variance</t>
  </si>
  <si>
    <t>Flag</t>
  </si>
  <si>
    <t>Total</t>
  </si>
  <si>
    <t>2025 Forecast accuracy</t>
  </si>
  <si>
    <t>2025 Bottles</t>
  </si>
  <si>
    <t>2025 Avg Price</t>
  </si>
  <si>
    <t>Volume Growth %</t>
  </si>
  <si>
    <t>Price Change %</t>
  </si>
  <si>
    <t>2026 Bottles</t>
  </si>
  <si>
    <t>2026 Avg Price</t>
  </si>
  <si>
    <t>2026 Revenue</t>
  </si>
  <si>
    <t>Change Vs 2025</t>
  </si>
  <si>
    <t>% Change</t>
  </si>
  <si>
    <t>$B$4</t>
  </si>
  <si>
    <t>$B$5</t>
  </si>
  <si>
    <t>$B$9</t>
  </si>
  <si>
    <t>$B$10</t>
  </si>
  <si>
    <t>Best</t>
  </si>
  <si>
    <t>Created by Andres Martinez on 10/17/2026</t>
  </si>
  <si>
    <t>Base</t>
  </si>
  <si>
    <t>Worst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</si>
  <si>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</si>
  <si>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</si>
  <si>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</si>
  <si>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</si>
  <si>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</si>
  <si>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</si>
  <si>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</si>
  <si>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Category Names</t>
  </si>
  <si>
    <t>Low (-5%)</t>
  </si>
  <si>
    <t>High (+5%)</t>
  </si>
  <si>
    <t>Seasonal Naive</t>
  </si>
  <si>
    <t>2025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</si>
</sst>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"/>
    <numFmt numFmtId="167" formatCode="0.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EAECF0"/>
      <name val="Var(--font-mono)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1" applyNumberFormat="0" applyAlignment="0" applyProtection="0"/>
  </cellStyleXfs>
  <cellXfs count="40">
    <xf numFmtId="0" fontId="0" fillId="0" borderId="0" xfId="0"/>
    <xf numFmtId="43" fontId="0" fillId="0" borderId="0" xfId="1" applyNumberFormat="1" applyFont="1"/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14" fontId="0" fillId="0" borderId="0" xfId="0" applyNumberFormat="1" applyAlignment="1">
      <alignment horizontal="left"/>
    </xf>
    <xf numFmtId="0" fontId="2" fillId="0" borderId="0" xfId="0" applyFont="1"/>
    <xf numFmtId="41" fontId="0" fillId="0" borderId="0" xfId="0" applyNumberFormat="1"/>
    <xf numFmtId="0" fontId="2" fillId="0" borderId="0" xfId="0" applyFont="1" applyAlignment="1">
      <alignment horizontal="center"/>
    </xf>
    <xf numFmtId="9" fontId="0" fillId="0" borderId="0" xfId="2" applyFont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44" fontId="0" fillId="0" borderId="0" xfId="0" applyNumberFormat="1"/>
    <xf numFmtId="0" fontId="2" fillId="0" borderId="0" xfId="0" applyFont="1" applyAlignment="1">
      <alignment horizontal="left"/>
    </xf>
    <xf numFmtId="43" fontId="2" fillId="0" borderId="0" xfId="0" applyNumberFormat="1" applyFont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41" fontId="0" fillId="0" borderId="0" xfId="1" applyNumberFormat="1" applyFont="1"/>
    <xf numFmtId="166" fontId="0" fillId="0" borderId="0" xfId="0" applyNumberFormat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164" fontId="0" fillId="0" borderId="3" xfId="0" applyNumberFormat="1" applyFill="1" applyBorder="1" applyAlignment="1"/>
    <xf numFmtId="0" fontId="5" fillId="4" borderId="4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0" fillId="0" borderId="5" xfId="0" applyFill="1" applyBorder="1" applyAlignment="1"/>
    <xf numFmtId="0" fontId="6" fillId="5" borderId="0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right"/>
    </xf>
    <xf numFmtId="0" fontId="8" fillId="4" borderId="4" xfId="0" applyFont="1" applyFill="1" applyBorder="1" applyAlignment="1">
      <alignment horizontal="right"/>
    </xf>
    <xf numFmtId="0" fontId="0" fillId="6" borderId="0" xfId="0" applyFill="1" applyBorder="1" applyAlignment="1"/>
    <xf numFmtId="0" fontId="9" fillId="0" borderId="0" xfId="0" applyFont="1" applyFill="1" applyBorder="1" applyAlignment="1">
      <alignment vertical="top" wrapText="1"/>
    </xf>
    <xf numFmtId="0" fontId="0" fillId="7" borderId="0" xfId="0" applyFill="1"/>
    <xf numFmtId="0" fontId="10" fillId="0" borderId="0" xfId="0" applyFont="1" applyAlignment="1">
      <alignment vertical="center"/>
    </xf>
    <xf numFmtId="0" fontId="3" fillId="2" borderId="1" xfId="3" applyAlignment="1">
      <alignment horizontal="center"/>
    </xf>
    <xf numFmtId="167" fontId="0" fillId="0" borderId="0" xfId="2" applyNumberFormat="1" applyFont="1"/>
  </cellXfs>
  <cellStyles count="4">
    <cellStyle name="Check Cell" xfId="3" builtinId="23"/>
    <cellStyle name="Currency" xfId="1" builtinId="4"/>
    <cellStyle name="Normal" xfId="0" builtinId="0"/>
    <cellStyle name="Percent" xfId="2" builtinId="5"/>
  </cellStyles>
  <dxfs count="9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19" formatCode="m/d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</a:rPr>
              <a:t>Every category fell in 2025</a:t>
            </a:r>
          </a:p>
        </c:rich>
      </c:tx>
      <c:layout>
        <c:manualLayout>
          <c:xMode val="edge"/>
          <c:yMode val="edge"/>
          <c:x val="0.39349519746862482"/>
          <c:y val="2.8987962711557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PVM!$B$1</c:f>
              <c:strCache>
                <c:ptCount val="1"/>
                <c:pt idx="0">
                  <c:v> Dollar 2024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PVM!$A$2:$A$10</c15:sqref>
                  </c15:fullRef>
                </c:ext>
              </c:extLst>
              <c:f>PVM!$A$2:$A$9</c:f>
              <c:strCache>
                <c:ptCount val="8"/>
                <c:pt idx="0">
                  <c:v>Brandy</c:v>
                </c:pt>
                <c:pt idx="1">
                  <c:v>Gin</c:v>
                </c:pt>
                <c:pt idx="2">
                  <c:v>Liqueurs</c:v>
                </c:pt>
                <c:pt idx="3">
                  <c:v>Other</c:v>
                </c:pt>
                <c:pt idx="4">
                  <c:v>Rum</c:v>
                </c:pt>
                <c:pt idx="5">
                  <c:v>Tequila/Mezcal</c:v>
                </c:pt>
                <c:pt idx="6">
                  <c:v>Vodka</c:v>
                </c:pt>
                <c:pt idx="7">
                  <c:v>Whiskey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PVM!$B$2:$B$10</c15:sqref>
                  </c15:fullRef>
                </c:ext>
              </c:extLst>
              <c:f>PVM!$B$2:$B$9</c:f>
              <c:numCache>
                <c:formatCode>_(* #,##0_);_(* \(#,##0\);_(* "-"??_);_(@_)</c:formatCode>
                <c:ptCount val="8"/>
                <c:pt idx="0">
                  <c:v>14162341.909999963</c:v>
                </c:pt>
                <c:pt idx="1">
                  <c:v>9677368.740000017</c:v>
                </c:pt>
                <c:pt idx="2">
                  <c:v>39965838.120000213</c:v>
                </c:pt>
                <c:pt idx="3">
                  <c:v>34959619.689999469</c:v>
                </c:pt>
                <c:pt idx="4">
                  <c:v>36797823.169998743</c:v>
                </c:pt>
                <c:pt idx="5">
                  <c:v>46241498.669999473</c:v>
                </c:pt>
                <c:pt idx="6">
                  <c:v>94552480.800001293</c:v>
                </c:pt>
                <c:pt idx="7">
                  <c:v>170878442.51999784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B-49BD-A4C1-8AE527F13535}"/>
            </c:ext>
          </c:extLst>
        </c:ser>
        <c:ser>
          <c:idx val="1"/>
          <c:order val="1"/>
          <c:tx>
            <c:strRef>
              <c:f>PVM!$C$1</c:f>
              <c:strCache>
                <c:ptCount val="1"/>
                <c:pt idx="0">
                  <c:v> Dollar 2025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PVM!$A$2:$A$10</c15:sqref>
                  </c15:fullRef>
                </c:ext>
              </c:extLst>
              <c:f>PVM!$A$2:$A$9</c:f>
              <c:strCache>
                <c:ptCount val="8"/>
                <c:pt idx="0">
                  <c:v>Brandy</c:v>
                </c:pt>
                <c:pt idx="1">
                  <c:v>Gin</c:v>
                </c:pt>
                <c:pt idx="2">
                  <c:v>Liqueurs</c:v>
                </c:pt>
                <c:pt idx="3">
                  <c:v>Other</c:v>
                </c:pt>
                <c:pt idx="4">
                  <c:v>Rum</c:v>
                </c:pt>
                <c:pt idx="5">
                  <c:v>Tequila/Mezcal</c:v>
                </c:pt>
                <c:pt idx="6">
                  <c:v>Vodka</c:v>
                </c:pt>
                <c:pt idx="7">
                  <c:v>Whiskey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PVM!$C$2:$C$10</c15:sqref>
                  </c15:fullRef>
                </c:ext>
              </c:extLst>
              <c:f>PVM!$C$2:$C$9</c:f>
              <c:numCache>
                <c:formatCode>_(* #,##0_);_(* \(#,##0\);_(* "-"??_);_(@_)</c:formatCode>
                <c:ptCount val="8"/>
                <c:pt idx="0">
                  <c:v>12151457.820000013</c:v>
                </c:pt>
                <c:pt idx="1">
                  <c:v>9096851.3200000115</c:v>
                </c:pt>
                <c:pt idx="2">
                  <c:v>39699621.809999779</c:v>
                </c:pt>
                <c:pt idx="3">
                  <c:v>31728181.699999787</c:v>
                </c:pt>
                <c:pt idx="4">
                  <c:v>33851775.039999068</c:v>
                </c:pt>
                <c:pt idx="5">
                  <c:v>44269302.769999363</c:v>
                </c:pt>
                <c:pt idx="6">
                  <c:v>91185254.210000992</c:v>
                </c:pt>
                <c:pt idx="7">
                  <c:v>162831841.33999792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B-49BD-A4C1-8AE527F13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8327279"/>
        <c:axId val="1888327695"/>
      </c:barChart>
      <c:catAx>
        <c:axId val="1888327279"/>
        <c:scaling>
          <c:orientation val="minMax"/>
        </c:scaling>
        <c:delete val="0"/>
        <c:axPos val="l"/>
        <c:numFmt formatCode="&quot;$&quot;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8327695"/>
        <c:crosses val="autoZero"/>
        <c:auto val="1"/>
        <c:lblAlgn val="ctr"/>
        <c:lblOffset val="100"/>
        <c:noMultiLvlLbl val="0"/>
      </c:catAx>
      <c:valAx>
        <c:axId val="1888327695"/>
        <c:scaling>
          <c:orientation val="minMax"/>
        </c:scaling>
        <c:delete val="0"/>
        <c:axPos val="t"/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8327279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242679301061672"/>
          <c:y val="0.1489655172413793"/>
          <c:w val="0.19429057984454298"/>
          <c:h val="7.2944157842338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9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 i="0" u="none" strike="noStrike" baseline="0"/>
              <a:t>Whiskey is the biggest lever: ±5% $8.1M</a:t>
            </a:r>
            <a:endParaRPr lang="en-US"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'Stacked Bar'!$B$1</c:f>
              <c:strCache>
                <c:ptCount val="1"/>
                <c:pt idx="0">
                  <c:v>Low (-5%)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'Stacked Bar'!$A$2:$A$9</c:f>
              <c:strCache>
                <c:ptCount val="8"/>
                <c:pt idx="0">
                  <c:v>Whiskey</c:v>
                </c:pt>
                <c:pt idx="1">
                  <c:v>Vodka</c:v>
                </c:pt>
                <c:pt idx="2">
                  <c:v>Tequila/Mezcal</c:v>
                </c:pt>
                <c:pt idx="3">
                  <c:v>Liqueurs</c:v>
                </c:pt>
                <c:pt idx="4">
                  <c:v>Rum</c:v>
                </c:pt>
                <c:pt idx="5">
                  <c:v>Other</c:v>
                </c:pt>
                <c:pt idx="6">
                  <c:v>Brandy</c:v>
                </c:pt>
                <c:pt idx="7">
                  <c:v>Gin</c:v>
                </c:pt>
              </c:strCache>
            </c:strRef>
          </c:cat>
          <c:val>
            <c:numRef>
              <c:f>'Stacked Bar'!$B$2:$B$9</c:f>
              <c:numCache>
                <c:formatCode>_(* #,##0_);_(* \(#,##0\);_(* "-"_);_(@_)</c:formatCode>
                <c:ptCount val="8"/>
                <c:pt idx="0">
                  <c:v>-8141592.0669998964</c:v>
                </c:pt>
                <c:pt idx="1">
                  <c:v>-4559262.7105000494</c:v>
                </c:pt>
                <c:pt idx="2">
                  <c:v>-2213465.1384999682</c:v>
                </c:pt>
                <c:pt idx="3">
                  <c:v>-1984981.090499989</c:v>
                </c:pt>
                <c:pt idx="4">
                  <c:v>-1692588.7519999535</c:v>
                </c:pt>
                <c:pt idx="5">
                  <c:v>-1586409.0849999895</c:v>
                </c:pt>
                <c:pt idx="6">
                  <c:v>-607572.89100000064</c:v>
                </c:pt>
                <c:pt idx="7">
                  <c:v>-454842.56600000057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5F-4454-B36A-7B1E94CBCCF7}"/>
            </c:ext>
          </c:extLst>
        </c:ser>
        <c:ser>
          <c:idx val="3"/>
          <c:order val="1"/>
          <c:tx>
            <c:strRef>
              <c:f>'Stacked Bar'!$C$1</c:f>
              <c:strCache>
                <c:ptCount val="1"/>
                <c:pt idx="0">
                  <c:v>High (+5%)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'Stacked Bar'!$A$2:$A$9</c:f>
              <c:strCache>
                <c:ptCount val="8"/>
                <c:pt idx="0">
                  <c:v>Whiskey</c:v>
                </c:pt>
                <c:pt idx="1">
                  <c:v>Vodka</c:v>
                </c:pt>
                <c:pt idx="2">
                  <c:v>Tequila/Mezcal</c:v>
                </c:pt>
                <c:pt idx="3">
                  <c:v>Liqueurs</c:v>
                </c:pt>
                <c:pt idx="4">
                  <c:v>Rum</c:v>
                </c:pt>
                <c:pt idx="5">
                  <c:v>Other</c:v>
                </c:pt>
                <c:pt idx="6">
                  <c:v>Brandy</c:v>
                </c:pt>
                <c:pt idx="7">
                  <c:v>Gin</c:v>
                </c:pt>
              </c:strCache>
            </c:strRef>
          </c:cat>
          <c:val>
            <c:numRef>
              <c:f>'Stacked Bar'!$C$2:$C$9</c:f>
              <c:numCache>
                <c:formatCode>_(* #,##0_);_(* \(#,##0\);_(* "-"_);_(@_)</c:formatCode>
                <c:ptCount val="8"/>
                <c:pt idx="0">
                  <c:v>8141592.0669998964</c:v>
                </c:pt>
                <c:pt idx="1">
                  <c:v>4559262.7105000494</c:v>
                </c:pt>
                <c:pt idx="2">
                  <c:v>2213465.1384999682</c:v>
                </c:pt>
                <c:pt idx="3">
                  <c:v>1984981.090499989</c:v>
                </c:pt>
                <c:pt idx="4">
                  <c:v>1692588.7519999535</c:v>
                </c:pt>
                <c:pt idx="5">
                  <c:v>1586409.0849999895</c:v>
                </c:pt>
                <c:pt idx="6">
                  <c:v>607572.89100000064</c:v>
                </c:pt>
                <c:pt idx="7">
                  <c:v>454842.56600000057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5F-4454-B36A-7B1E94CB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254191"/>
        <c:axId val="542257103"/>
        <c:extLst>
          <c:ext xmlns:c15="http://schemas.microsoft.com/office/drawing/2012/chart" uri="{02D57815-91ED-43cb-92C2-25804820EDAC}">
            <c15:filteredBar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'Stacked Bar'!$B$1</c15:sqref>
                        </c15:formulaRef>
                      </c:ext>
                    </c:extLst>
                    <c:strCache>
                      <c:ptCount val="1"/>
                      <c:pt idx="0">
                        <c:v>Low (-5%)</c:v>
                      </c:pt>
                    </c:strCache>
                  </c:strRef>
                </c:tx>
                <c:spPr>
                  <a:solidFill>
                    <a:srgbClr val="C0000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'Stacked Bar'!$A$2:$A$9</c15:sqref>
                        </c15:formulaRef>
                      </c:ext>
                    </c:extLst>
                    <c:strCache>
                      <c:ptCount val="8"/>
                      <c:pt idx="0">
                        <c:v>Whiskey</c:v>
                      </c:pt>
                      <c:pt idx="1">
                        <c:v>Vodka</c:v>
                      </c:pt>
                      <c:pt idx="2">
                        <c:v>Tequila/Mezcal</c:v>
                      </c:pt>
                      <c:pt idx="3">
                        <c:v>Liqueurs</c:v>
                      </c:pt>
                      <c:pt idx="4">
                        <c:v>Rum</c:v>
                      </c:pt>
                      <c:pt idx="5">
                        <c:v>Other</c:v>
                      </c:pt>
                      <c:pt idx="6">
                        <c:v>Brandy</c:v>
                      </c:pt>
                      <c:pt idx="7">
                        <c:v>Gin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'Stacked Bar'!$B$2:$B$9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8"/>
                      <c:pt idx="0">
                        <c:v>-8141592.0669998964</c:v>
                      </c:pt>
                      <c:pt idx="1">
                        <c:v>-4559262.7105000494</c:v>
                      </c:pt>
                      <c:pt idx="2">
                        <c:v>-2213465.1384999682</c:v>
                      </c:pt>
                      <c:pt idx="3">
                        <c:v>-1984981.090499989</c:v>
                      </c:pt>
                      <c:pt idx="4">
                        <c:v>-1692588.7519999535</c:v>
                      </c:pt>
                      <c:pt idx="5">
                        <c:v>-1586409.0849999895</c:v>
                      </c:pt>
                      <c:pt idx="6">
                        <c:v>-607572.89100000064</c:v>
                      </c:pt>
                      <c:pt idx="7">
                        <c:v>-454842.56600000057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065F-4454-B36A-7B1E94CBCCF7}"/>
                  </c:ext>
                </c:extLst>
              </c15:ser>
            </c15:filteredBarSeries>
            <c15:filteredBarSeries>
              <c15:ser>
                <c:idx val="1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'Stacked Bar'!$C$1</c15:sqref>
                        </c15:formulaRef>
                      </c:ext>
                    </c:extLst>
                    <c:strCache>
                      <c:ptCount val="1"/>
                      <c:pt idx="0">
                        <c:v>High (+5%)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'Stacked Bar'!$A$2:$A$9</c15:sqref>
                        </c15:formulaRef>
                      </c:ext>
                    </c:extLst>
                    <c:strCache>
                      <c:ptCount val="8"/>
                      <c:pt idx="0">
                        <c:v>Whiskey</c:v>
                      </c:pt>
                      <c:pt idx="1">
                        <c:v>Vodka</c:v>
                      </c:pt>
                      <c:pt idx="2">
                        <c:v>Tequila/Mezcal</c:v>
                      </c:pt>
                      <c:pt idx="3">
                        <c:v>Liqueurs</c:v>
                      </c:pt>
                      <c:pt idx="4">
                        <c:v>Rum</c:v>
                      </c:pt>
                      <c:pt idx="5">
                        <c:v>Other</c:v>
                      </c:pt>
                      <c:pt idx="6">
                        <c:v>Brandy</c:v>
                      </c:pt>
                      <c:pt idx="7">
                        <c:v>Gin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'Stacked Bar'!$C$2:$C$9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8"/>
                      <c:pt idx="0">
                        <c:v>8141592.0669998964</c:v>
                      </c:pt>
                      <c:pt idx="1">
                        <c:v>4559262.7105000494</c:v>
                      </c:pt>
                      <c:pt idx="2">
                        <c:v>2213465.1384999682</c:v>
                      </c:pt>
                      <c:pt idx="3">
                        <c:v>1984981.090499989</c:v>
                      </c:pt>
                      <c:pt idx="4">
                        <c:v>1692588.7519999535</c:v>
                      </c:pt>
                      <c:pt idx="5">
                        <c:v>1586409.0849999895</c:v>
                      </c:pt>
                      <c:pt idx="6">
                        <c:v>607572.89100000064</c:v>
                      </c:pt>
                      <c:pt idx="7">
                        <c:v>454842.56600000057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065F-4454-B36A-7B1E94CBCCF7}"/>
                  </c:ext>
                </c:extLst>
              </c15:ser>
            </c15:filteredBarSeries>
          </c:ext>
        </c:extLst>
      </c:barChart>
      <c:catAx>
        <c:axId val="5422541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42257103"/>
        <c:crosses val="autoZero"/>
        <c:auto val="1"/>
        <c:lblAlgn val="ctr"/>
        <c:lblOffset val="100"/>
        <c:noMultiLvlLbl val="0"/>
      </c:catAx>
      <c:valAx>
        <c:axId val="542257103"/>
        <c:scaling>
          <c:orientation val="minMax"/>
        </c:scaling>
        <c:delete val="0"/>
        <c:axPos val="t"/>
        <c:numFmt formatCode="&quot;$&quot;#,##0.0,,&quot;M&quot;;\-&quot;$&quot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42254191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 algn="ctr">
        <a:defRPr lang="en-US" sz="900" b="1" i="0" u="none" strike="noStrike" kern="1200" baseline="0">
          <a:solidFill>
            <a:schemeClr val="tx1">
              <a:lumMod val="65000"/>
              <a:lumOff val="35000"/>
            </a:schemeClr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2025 ran below plan in 10 of 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Sales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'!$E$2:$E$25</c:f>
              <c:numCache>
                <c:formatCode>m/d/yyyy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'Forecast '!$F$2:$F$25</c:f>
              <c:numCache>
                <c:formatCode>_(* #,##0_);_(* \(#,##0\);_(* "-"_);_(@_)</c:formatCode>
                <c:ptCount val="24"/>
                <c:pt idx="0">
                  <c:v>32972812.839999665</c:v>
                </c:pt>
                <c:pt idx="1">
                  <c:v>35101475.44999963</c:v>
                </c:pt>
                <c:pt idx="2">
                  <c:v>34164169.289999776</c:v>
                </c:pt>
                <c:pt idx="3">
                  <c:v>36385547.8699999</c:v>
                </c:pt>
                <c:pt idx="4">
                  <c:v>39359095.649999924</c:v>
                </c:pt>
                <c:pt idx="5">
                  <c:v>36769358.279999934</c:v>
                </c:pt>
                <c:pt idx="6">
                  <c:v>37563557.730000034</c:v>
                </c:pt>
                <c:pt idx="7">
                  <c:v>36529981.189999826</c:v>
                </c:pt>
                <c:pt idx="8">
                  <c:v>34410490.219999775</c:v>
                </c:pt>
                <c:pt idx="9">
                  <c:v>42691915.199999519</c:v>
                </c:pt>
                <c:pt idx="10">
                  <c:v>40090042.219999351</c:v>
                </c:pt>
                <c:pt idx="11">
                  <c:v>41196967.679999635</c:v>
                </c:pt>
                <c:pt idx="12">
                  <c:v>31111677.659999739</c:v>
                </c:pt>
                <c:pt idx="13">
                  <c:v>31308695.749999795</c:v>
                </c:pt>
                <c:pt idx="14">
                  <c:v>33518798.609999597</c:v>
                </c:pt>
                <c:pt idx="15">
                  <c:v>35499986.349999756</c:v>
                </c:pt>
                <c:pt idx="16">
                  <c:v>35589683.489999615</c:v>
                </c:pt>
                <c:pt idx="17">
                  <c:v>35946281.009999692</c:v>
                </c:pt>
                <c:pt idx="18">
                  <c:v>36094242.389999636</c:v>
                </c:pt>
                <c:pt idx="19">
                  <c:v>34213226.45999974</c:v>
                </c:pt>
                <c:pt idx="20">
                  <c:v>35151175.729999729</c:v>
                </c:pt>
                <c:pt idx="21">
                  <c:v>40038767.559999704</c:v>
                </c:pt>
                <c:pt idx="22">
                  <c:v>34684681</c:v>
                </c:pt>
                <c:pt idx="23">
                  <c:v>41657070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B-41B5-AE36-140C51E0218F}"/>
            </c:ext>
          </c:extLst>
        </c:ser>
        <c:ser>
          <c:idx val="1"/>
          <c:order val="1"/>
          <c:tx>
            <c:v>Upper</c:v>
          </c:tx>
          <c:spPr>
            <a:ln w="19050" cap="rnd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'Forecast '!$E$2:$E$25</c:f>
              <c:numCache>
                <c:formatCode>m/d/yyyy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'Forecast '!$I$2:$I$25</c:f>
              <c:numCache>
                <c:formatCode>_(* #,##0_);_(* \(#,##0\);_(* "-"_);_(@_)</c:formatCode>
                <c:ptCount val="24"/>
                <c:pt idx="0">
                  <c:v>33743191.956750117</c:v>
                </c:pt>
                <c:pt idx="1">
                  <c:v>34757396.435947903</c:v>
                </c:pt>
                <c:pt idx="2">
                  <c:v>37400102.318571046</c:v>
                </c:pt>
                <c:pt idx="3">
                  <c:v>38821030.05005867</c:v>
                </c:pt>
                <c:pt idx="4">
                  <c:v>41520729.647877097</c:v>
                </c:pt>
                <c:pt idx="5">
                  <c:v>44561129.831137203</c:v>
                </c:pt>
                <c:pt idx="6">
                  <c:v>40140485.868011244</c:v>
                </c:pt>
                <c:pt idx="7">
                  <c:v>44838317.111174017</c:v>
                </c:pt>
                <c:pt idx="8">
                  <c:v>41668023.432097137</c:v>
                </c:pt>
                <c:pt idx="9">
                  <c:v>45317063.020276345</c:v>
                </c:pt>
                <c:pt idx="10">
                  <c:v>44253003.982445538</c:v>
                </c:pt>
                <c:pt idx="11">
                  <c:v>48545508.601431802</c:v>
                </c:pt>
                <c:pt idx="12">
                  <c:v>35496337.488540754</c:v>
                </c:pt>
                <c:pt idx="13">
                  <c:v>36451570.582203187</c:v>
                </c:pt>
                <c:pt idx="14">
                  <c:v>39012361.963897765</c:v>
                </c:pt>
                <c:pt idx="15">
                  <c:v>39455085.385612831</c:v>
                </c:pt>
                <c:pt idx="16">
                  <c:v>42914084.699383684</c:v>
                </c:pt>
                <c:pt idx="17">
                  <c:v>44516668.921566948</c:v>
                </c:pt>
                <c:pt idx="18">
                  <c:v>40678415.387892917</c:v>
                </c:pt>
                <c:pt idx="19">
                  <c:v>44362980.90920715</c:v>
                </c:pt>
                <c:pt idx="20">
                  <c:v>41477877.652309433</c:v>
                </c:pt>
                <c:pt idx="21">
                  <c:v>45159114.334076606</c:v>
                </c:pt>
                <c:pt idx="22">
                  <c:v>43769414.553799875</c:v>
                </c:pt>
                <c:pt idx="23">
                  <c:v>47921560.714002371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9B-41B5-AE36-140C51E0218F}"/>
            </c:ext>
          </c:extLst>
        </c:ser>
        <c:ser>
          <c:idx val="2"/>
          <c:order val="2"/>
          <c:tx>
            <c:v>Lower</c:v>
          </c:tx>
          <c:spPr>
            <a:ln w="19050" cap="rnd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'Forecast '!$E$2:$E$25</c:f>
              <c:numCache>
                <c:formatCode>m/d/yyyy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'Forecast '!$J$2:$J$25</c:f>
              <c:numCache>
                <c:formatCode>_(* #,##0_);_(* \(#,##0\);_(* "-"_);_(@_)</c:formatCode>
                <c:ptCount val="24"/>
                <c:pt idx="0">
                  <c:v>25538161.892219443</c:v>
                </c:pt>
                <c:pt idx="1">
                  <c:v>26295850.030841075</c:v>
                </c:pt>
                <c:pt idx="2">
                  <c:v>28687639.139683452</c:v>
                </c:pt>
                <c:pt idx="3">
                  <c:v>29862771.612283148</c:v>
                </c:pt>
                <c:pt idx="4">
                  <c:v>32321379.616797417</c:v>
                </c:pt>
                <c:pt idx="5">
                  <c:v>35125024.195995294</c:v>
                </c:pt>
                <c:pt idx="6">
                  <c:v>30471635.131098051</c:v>
                </c:pt>
                <c:pt idx="7">
                  <c:v>34940442.052111492</c:v>
                </c:pt>
                <c:pt idx="8">
                  <c:v>31544585.649460781</c:v>
                </c:pt>
                <c:pt idx="9">
                  <c:v>34971291.189231776</c:v>
                </c:pt>
                <c:pt idx="10">
                  <c:v>33687916.569024548</c:v>
                </c:pt>
                <c:pt idx="11">
                  <c:v>37763933.623557717</c:v>
                </c:pt>
                <c:pt idx="12">
                  <c:v>27887145.4991703</c:v>
                </c:pt>
                <c:pt idx="13">
                  <c:v>28842344.351545826</c:v>
                </c:pt>
                <c:pt idx="14">
                  <c:v>31403074.860221907</c:v>
                </c:pt>
                <c:pt idx="15">
                  <c:v>31845703.168820456</c:v>
                </c:pt>
                <c:pt idx="16">
                  <c:v>35304565.521792077</c:v>
                </c:pt>
                <c:pt idx="17">
                  <c:v>36906963.329070732</c:v>
                </c:pt>
                <c:pt idx="18">
                  <c:v>33068466.321582224</c:v>
                </c:pt>
                <c:pt idx="19">
                  <c:v>36752723.707517833</c:v>
                </c:pt>
                <c:pt idx="20">
                  <c:v>33867240.053780824</c:v>
                </c:pt>
                <c:pt idx="21">
                  <c:v>37548016.480792381</c:v>
                </c:pt>
                <c:pt idx="22">
                  <c:v>36157768.995587043</c:v>
                </c:pt>
                <c:pt idx="23">
                  <c:v>40309272.413463384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9B-41B5-AE36-140C51E0218F}"/>
            </c:ext>
          </c:extLst>
        </c:ser>
        <c:ser>
          <c:idx val="3"/>
          <c:order val="3"/>
          <c:tx>
            <c:v>Seasonal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'Forecast '!$E$2:$E$25</c:f>
              <c:numCache>
                <c:formatCode>m/d/yyyy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'Forecast '!$L$2:$L$25</c:f>
              <c:numCache>
                <c:formatCode>_(* #,##0_);_(* \(#,##0\);_(* "-"_);_(@_)</c:formatCode>
                <c:ptCount val="24"/>
                <c:pt idx="0">
                  <c:v>32547784.889999595</c:v>
                </c:pt>
                <c:pt idx="1">
                  <c:v>32114831.479999702</c:v>
                </c:pt>
                <c:pt idx="2">
                  <c:v>36403505.899999313</c:v>
                </c:pt>
                <c:pt idx="3">
                  <c:v>32884344.369999547</c:v>
                </c:pt>
                <c:pt idx="4">
                  <c:v>39684933.969999507</c:v>
                </c:pt>
                <c:pt idx="5">
                  <c:v>41194749.129999429</c:v>
                </c:pt>
                <c:pt idx="6">
                  <c:v>35838999.869999573</c:v>
                </c:pt>
                <c:pt idx="7">
                  <c:v>39788043.979999289</c:v>
                </c:pt>
                <c:pt idx="8">
                  <c:v>35096963.959999636</c:v>
                </c:pt>
                <c:pt idx="9">
                  <c:v>40281758.899999708</c:v>
                </c:pt>
                <c:pt idx="10">
                  <c:v>39289673.489999481</c:v>
                </c:pt>
                <c:pt idx="11">
                  <c:v>40945072.579999782</c:v>
                </c:pt>
                <c:pt idx="12">
                  <c:v>32972812.839999665</c:v>
                </c:pt>
                <c:pt idx="13">
                  <c:v>35101475.44999963</c:v>
                </c:pt>
                <c:pt idx="14">
                  <c:v>34164169.289999776</c:v>
                </c:pt>
                <c:pt idx="15">
                  <c:v>36385547.8699999</c:v>
                </c:pt>
                <c:pt idx="16">
                  <c:v>39359095.649999924</c:v>
                </c:pt>
                <c:pt idx="17">
                  <c:v>36769358.279999934</c:v>
                </c:pt>
                <c:pt idx="18">
                  <c:v>37563557.730000034</c:v>
                </c:pt>
                <c:pt idx="19">
                  <c:v>36529981.189999826</c:v>
                </c:pt>
                <c:pt idx="20">
                  <c:v>34410490.219999775</c:v>
                </c:pt>
                <c:pt idx="21">
                  <c:v>42691915.199999519</c:v>
                </c:pt>
                <c:pt idx="22">
                  <c:v>40090042.219999351</c:v>
                </c:pt>
                <c:pt idx="23">
                  <c:v>41196967.679999635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9B-41B5-AE36-140C51E02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866911"/>
        <c:axId val="648861503"/>
      </c:lineChart>
      <c:dateAx>
        <c:axId val="648866911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8861503"/>
        <c:crosses val="autoZero"/>
        <c:auto val="0"/>
        <c:lblOffset val="100"/>
        <c:baseTimeUnit val="months"/>
      </c:dateAx>
      <c:valAx>
        <c:axId val="648861503"/>
        <c:scaling>
          <c:orientation val="minMax"/>
          <c:min val="20000000"/>
        </c:scaling>
        <c:delete val="0"/>
        <c:axPos val="l"/>
        <c:numFmt formatCode="&quot;$&quot;#,##0,,&quot;M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886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900" b="1" i="0" u="none" strike="noStrike" kern="1200" baseline="0">
          <a:solidFill>
            <a:schemeClr val="tx1">
              <a:lumMod val="65000"/>
              <a:lumOff val="35000"/>
            </a:schemeClr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2025 ran below plan in 10 of 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Sales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'!$E$2:$E$25</c:f>
              <c:numCache>
                <c:formatCode>m/d/yyyy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'Forecast '!$F$2:$F$25</c:f>
              <c:numCache>
                <c:formatCode>_(* #,##0_);_(* \(#,##0\);_(* "-"_);_(@_)</c:formatCode>
                <c:ptCount val="24"/>
                <c:pt idx="0">
                  <c:v>32972812.839999665</c:v>
                </c:pt>
                <c:pt idx="1">
                  <c:v>35101475.44999963</c:v>
                </c:pt>
                <c:pt idx="2">
                  <c:v>34164169.289999776</c:v>
                </c:pt>
                <c:pt idx="3">
                  <c:v>36385547.8699999</c:v>
                </c:pt>
                <c:pt idx="4">
                  <c:v>39359095.649999924</c:v>
                </c:pt>
                <c:pt idx="5">
                  <c:v>36769358.279999934</c:v>
                </c:pt>
                <c:pt idx="6">
                  <c:v>37563557.730000034</c:v>
                </c:pt>
                <c:pt idx="7">
                  <c:v>36529981.189999826</c:v>
                </c:pt>
                <c:pt idx="8">
                  <c:v>34410490.219999775</c:v>
                </c:pt>
                <c:pt idx="9">
                  <c:v>42691915.199999519</c:v>
                </c:pt>
                <c:pt idx="10">
                  <c:v>40090042.219999351</c:v>
                </c:pt>
                <c:pt idx="11">
                  <c:v>41196967.679999635</c:v>
                </c:pt>
                <c:pt idx="12">
                  <c:v>31111677.659999739</c:v>
                </c:pt>
                <c:pt idx="13">
                  <c:v>31308695.749999795</c:v>
                </c:pt>
                <c:pt idx="14">
                  <c:v>33518798.609999597</c:v>
                </c:pt>
                <c:pt idx="15">
                  <c:v>35499986.349999756</c:v>
                </c:pt>
                <c:pt idx="16">
                  <c:v>35589683.489999615</c:v>
                </c:pt>
                <c:pt idx="17">
                  <c:v>35946281.009999692</c:v>
                </c:pt>
                <c:pt idx="18">
                  <c:v>36094242.389999636</c:v>
                </c:pt>
                <c:pt idx="19">
                  <c:v>34213226.45999974</c:v>
                </c:pt>
                <c:pt idx="20">
                  <c:v>35151175.729999729</c:v>
                </c:pt>
                <c:pt idx="21">
                  <c:v>40038767.559999704</c:v>
                </c:pt>
                <c:pt idx="22">
                  <c:v>34684681</c:v>
                </c:pt>
                <c:pt idx="23">
                  <c:v>41657070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F3-4009-B138-D86326F16C6D}"/>
            </c:ext>
          </c:extLst>
        </c:ser>
        <c:ser>
          <c:idx val="1"/>
          <c:order val="1"/>
          <c:tx>
            <c:v>Upper</c:v>
          </c:tx>
          <c:spPr>
            <a:ln w="19050" cap="rnd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'Forecast '!$E$2:$E$25</c:f>
              <c:numCache>
                <c:formatCode>m/d/yyyy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'Forecast '!$I$2:$I$25</c:f>
              <c:numCache>
                <c:formatCode>_(* #,##0_);_(* \(#,##0\);_(* "-"_);_(@_)</c:formatCode>
                <c:ptCount val="24"/>
                <c:pt idx="0">
                  <c:v>33743191.956750117</c:v>
                </c:pt>
                <c:pt idx="1">
                  <c:v>34757396.435947903</c:v>
                </c:pt>
                <c:pt idx="2">
                  <c:v>37400102.318571046</c:v>
                </c:pt>
                <c:pt idx="3">
                  <c:v>38821030.05005867</c:v>
                </c:pt>
                <c:pt idx="4">
                  <c:v>41520729.647877097</c:v>
                </c:pt>
                <c:pt idx="5">
                  <c:v>44561129.831137203</c:v>
                </c:pt>
                <c:pt idx="6">
                  <c:v>40140485.868011244</c:v>
                </c:pt>
                <c:pt idx="7">
                  <c:v>44838317.111174017</c:v>
                </c:pt>
                <c:pt idx="8">
                  <c:v>41668023.432097137</c:v>
                </c:pt>
                <c:pt idx="9">
                  <c:v>45317063.020276345</c:v>
                </c:pt>
                <c:pt idx="10">
                  <c:v>44253003.982445538</c:v>
                </c:pt>
                <c:pt idx="11">
                  <c:v>48545508.601431802</c:v>
                </c:pt>
                <c:pt idx="12">
                  <c:v>35496337.488540754</c:v>
                </c:pt>
                <c:pt idx="13">
                  <c:v>36451570.582203187</c:v>
                </c:pt>
                <c:pt idx="14">
                  <c:v>39012361.963897765</c:v>
                </c:pt>
                <c:pt idx="15">
                  <c:v>39455085.385612831</c:v>
                </c:pt>
                <c:pt idx="16">
                  <c:v>42914084.699383684</c:v>
                </c:pt>
                <c:pt idx="17">
                  <c:v>44516668.921566948</c:v>
                </c:pt>
                <c:pt idx="18">
                  <c:v>40678415.387892917</c:v>
                </c:pt>
                <c:pt idx="19">
                  <c:v>44362980.90920715</c:v>
                </c:pt>
                <c:pt idx="20">
                  <c:v>41477877.652309433</c:v>
                </c:pt>
                <c:pt idx="21">
                  <c:v>45159114.334076606</c:v>
                </c:pt>
                <c:pt idx="22">
                  <c:v>43769414.553799875</c:v>
                </c:pt>
                <c:pt idx="23">
                  <c:v>47921560.714002371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F3-4009-B138-D86326F16C6D}"/>
            </c:ext>
          </c:extLst>
        </c:ser>
        <c:ser>
          <c:idx val="2"/>
          <c:order val="2"/>
          <c:tx>
            <c:v>Lower</c:v>
          </c:tx>
          <c:spPr>
            <a:ln w="19050" cap="rnd">
              <a:solidFill>
                <a:schemeClr val="bg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'Forecast '!$E$2:$E$25</c:f>
              <c:numCache>
                <c:formatCode>m/d/yyyy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'Forecast '!$J$2:$J$25</c:f>
              <c:numCache>
                <c:formatCode>_(* #,##0_);_(* \(#,##0\);_(* "-"_);_(@_)</c:formatCode>
                <c:ptCount val="24"/>
                <c:pt idx="0">
                  <c:v>25538161.892219443</c:v>
                </c:pt>
                <c:pt idx="1">
                  <c:v>26295850.030841075</c:v>
                </c:pt>
                <c:pt idx="2">
                  <c:v>28687639.139683452</c:v>
                </c:pt>
                <c:pt idx="3">
                  <c:v>29862771.612283148</c:v>
                </c:pt>
                <c:pt idx="4">
                  <c:v>32321379.616797417</c:v>
                </c:pt>
                <c:pt idx="5">
                  <c:v>35125024.195995294</c:v>
                </c:pt>
                <c:pt idx="6">
                  <c:v>30471635.131098051</c:v>
                </c:pt>
                <c:pt idx="7">
                  <c:v>34940442.052111492</c:v>
                </c:pt>
                <c:pt idx="8">
                  <c:v>31544585.649460781</c:v>
                </c:pt>
                <c:pt idx="9">
                  <c:v>34971291.189231776</c:v>
                </c:pt>
                <c:pt idx="10">
                  <c:v>33687916.569024548</c:v>
                </c:pt>
                <c:pt idx="11">
                  <c:v>37763933.623557717</c:v>
                </c:pt>
                <c:pt idx="12">
                  <c:v>27887145.4991703</c:v>
                </c:pt>
                <c:pt idx="13">
                  <c:v>28842344.351545826</c:v>
                </c:pt>
                <c:pt idx="14">
                  <c:v>31403074.860221907</c:v>
                </c:pt>
                <c:pt idx="15">
                  <c:v>31845703.168820456</c:v>
                </c:pt>
                <c:pt idx="16">
                  <c:v>35304565.521792077</c:v>
                </c:pt>
                <c:pt idx="17">
                  <c:v>36906963.329070732</c:v>
                </c:pt>
                <c:pt idx="18">
                  <c:v>33068466.321582224</c:v>
                </c:pt>
                <c:pt idx="19">
                  <c:v>36752723.707517833</c:v>
                </c:pt>
                <c:pt idx="20">
                  <c:v>33867240.053780824</c:v>
                </c:pt>
                <c:pt idx="21">
                  <c:v>37548016.480792381</c:v>
                </c:pt>
                <c:pt idx="22">
                  <c:v>36157768.995587043</c:v>
                </c:pt>
                <c:pt idx="23">
                  <c:v>40309272.413463384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F3-4009-B138-D86326F16C6D}"/>
            </c:ext>
          </c:extLst>
        </c:ser>
        <c:ser>
          <c:idx val="3"/>
          <c:order val="3"/>
          <c:tx>
            <c:v>Seasonal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'Forecast '!$E$2:$E$25</c:f>
              <c:numCache>
                <c:formatCode>m/d/yyyy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'Forecast '!$L$2:$L$25</c:f>
              <c:numCache>
                <c:formatCode>_(* #,##0_);_(* \(#,##0\);_(* "-"_);_(@_)</c:formatCode>
                <c:ptCount val="24"/>
                <c:pt idx="0">
                  <c:v>32547784.889999595</c:v>
                </c:pt>
                <c:pt idx="1">
                  <c:v>32114831.479999702</c:v>
                </c:pt>
                <c:pt idx="2">
                  <c:v>36403505.899999313</c:v>
                </c:pt>
                <c:pt idx="3">
                  <c:v>32884344.369999547</c:v>
                </c:pt>
                <c:pt idx="4">
                  <c:v>39684933.969999507</c:v>
                </c:pt>
                <c:pt idx="5">
                  <c:v>41194749.129999429</c:v>
                </c:pt>
                <c:pt idx="6">
                  <c:v>35838999.869999573</c:v>
                </c:pt>
                <c:pt idx="7">
                  <c:v>39788043.979999289</c:v>
                </c:pt>
                <c:pt idx="8">
                  <c:v>35096963.959999636</c:v>
                </c:pt>
                <c:pt idx="9">
                  <c:v>40281758.899999708</c:v>
                </c:pt>
                <c:pt idx="10">
                  <c:v>39289673.489999481</c:v>
                </c:pt>
                <c:pt idx="11">
                  <c:v>40945072.579999782</c:v>
                </c:pt>
                <c:pt idx="12">
                  <c:v>32972812.839999665</c:v>
                </c:pt>
                <c:pt idx="13">
                  <c:v>35101475.44999963</c:v>
                </c:pt>
                <c:pt idx="14">
                  <c:v>34164169.289999776</c:v>
                </c:pt>
                <c:pt idx="15">
                  <c:v>36385547.8699999</c:v>
                </c:pt>
                <c:pt idx="16">
                  <c:v>39359095.649999924</c:v>
                </c:pt>
                <c:pt idx="17">
                  <c:v>36769358.279999934</c:v>
                </c:pt>
                <c:pt idx="18">
                  <c:v>37563557.730000034</c:v>
                </c:pt>
                <c:pt idx="19">
                  <c:v>36529981.189999826</c:v>
                </c:pt>
                <c:pt idx="20">
                  <c:v>34410490.219999775</c:v>
                </c:pt>
                <c:pt idx="21">
                  <c:v>42691915.199999519</c:v>
                </c:pt>
                <c:pt idx="22">
                  <c:v>40090042.219999351</c:v>
                </c:pt>
                <c:pt idx="23">
                  <c:v>41196967.679999635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F3-4009-B138-D86326F16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866911"/>
        <c:axId val="648861503"/>
      </c:lineChart>
      <c:dateAx>
        <c:axId val="648866911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8861503"/>
        <c:crosses val="autoZero"/>
        <c:auto val="0"/>
        <c:lblOffset val="100"/>
        <c:baseTimeUnit val="months"/>
      </c:dateAx>
      <c:valAx>
        <c:axId val="648861503"/>
        <c:scaling>
          <c:orientation val="minMax"/>
          <c:min val="20000000"/>
        </c:scaling>
        <c:delete val="0"/>
        <c:axPos val="l"/>
        <c:numFmt formatCode="&quot;$&quot;#,##0,,&quot;M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886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900" b="1" i="0" u="none" strike="noStrike" kern="1200" baseline="0">
          <a:solidFill>
            <a:schemeClr val="tx1">
              <a:lumMod val="65000"/>
              <a:lumOff val="35000"/>
            </a:schemeClr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 i="0" u="none" strike="noStrike" baseline="0"/>
              <a:t>Whiskey is the biggest lever: ±5% = ±$8.1M</a:t>
            </a:r>
            <a:endParaRPr lang="en-US"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'Stacked Bar'!$B$1</c:f>
              <c:strCache>
                <c:ptCount val="1"/>
                <c:pt idx="0">
                  <c:v>Low (-5%)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'Stacked Bar'!$A$2:$A$9</c:f>
              <c:strCache>
                <c:ptCount val="8"/>
                <c:pt idx="0">
                  <c:v>Whiskey</c:v>
                </c:pt>
                <c:pt idx="1">
                  <c:v>Vodka</c:v>
                </c:pt>
                <c:pt idx="2">
                  <c:v>Tequila/Mezcal</c:v>
                </c:pt>
                <c:pt idx="3">
                  <c:v>Liqueurs</c:v>
                </c:pt>
                <c:pt idx="4">
                  <c:v>Rum</c:v>
                </c:pt>
                <c:pt idx="5">
                  <c:v>Other</c:v>
                </c:pt>
                <c:pt idx="6">
                  <c:v>Brandy</c:v>
                </c:pt>
                <c:pt idx="7">
                  <c:v>Gin</c:v>
                </c:pt>
              </c:strCache>
            </c:strRef>
          </c:cat>
          <c:val>
            <c:numRef>
              <c:f>'Stacked Bar'!$B$2:$B$9</c:f>
              <c:numCache>
                <c:formatCode>_(* #,##0_);_(* \(#,##0\);_(* "-"_);_(@_)</c:formatCode>
                <c:ptCount val="8"/>
                <c:pt idx="0">
                  <c:v>-8141592.0669998964</c:v>
                </c:pt>
                <c:pt idx="1">
                  <c:v>-4559262.7105000494</c:v>
                </c:pt>
                <c:pt idx="2">
                  <c:v>-2213465.1384999682</c:v>
                </c:pt>
                <c:pt idx="3">
                  <c:v>-1984981.090499989</c:v>
                </c:pt>
                <c:pt idx="4">
                  <c:v>-1692588.7519999535</c:v>
                </c:pt>
                <c:pt idx="5">
                  <c:v>-1586409.0849999895</c:v>
                </c:pt>
                <c:pt idx="6">
                  <c:v>-607572.89100000064</c:v>
                </c:pt>
                <c:pt idx="7">
                  <c:v>-454842.56600000057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4-4085-8B6D-F25462A7AA2E}"/>
            </c:ext>
          </c:extLst>
        </c:ser>
        <c:ser>
          <c:idx val="1"/>
          <c:order val="1"/>
          <c:tx>
            <c:strRef>
              <c:f>'Stacked Bar'!$C$1</c:f>
              <c:strCache>
                <c:ptCount val="1"/>
                <c:pt idx="0">
                  <c:v>High (+5%)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'Stacked Bar'!$A$2:$A$9</c:f>
              <c:strCache>
                <c:ptCount val="8"/>
                <c:pt idx="0">
                  <c:v>Whiskey</c:v>
                </c:pt>
                <c:pt idx="1">
                  <c:v>Vodka</c:v>
                </c:pt>
                <c:pt idx="2">
                  <c:v>Tequila/Mezcal</c:v>
                </c:pt>
                <c:pt idx="3">
                  <c:v>Liqueurs</c:v>
                </c:pt>
                <c:pt idx="4">
                  <c:v>Rum</c:v>
                </c:pt>
                <c:pt idx="5">
                  <c:v>Other</c:v>
                </c:pt>
                <c:pt idx="6">
                  <c:v>Brandy</c:v>
                </c:pt>
                <c:pt idx="7">
                  <c:v>Gin</c:v>
                </c:pt>
              </c:strCache>
            </c:strRef>
          </c:cat>
          <c:val>
            <c:numRef>
              <c:f>'Stacked Bar'!$C$2:$C$9</c:f>
              <c:numCache>
                <c:formatCode>_(* #,##0_);_(* \(#,##0\);_(* "-"_);_(@_)</c:formatCode>
                <c:ptCount val="8"/>
                <c:pt idx="0">
                  <c:v>8141592.0669998964</c:v>
                </c:pt>
                <c:pt idx="1">
                  <c:v>4559262.7105000494</c:v>
                </c:pt>
                <c:pt idx="2">
                  <c:v>2213465.1384999682</c:v>
                </c:pt>
                <c:pt idx="3">
                  <c:v>1984981.090499989</c:v>
                </c:pt>
                <c:pt idx="4">
                  <c:v>1692588.7519999535</c:v>
                </c:pt>
                <c:pt idx="5">
                  <c:v>1586409.0849999895</c:v>
                </c:pt>
                <c:pt idx="6">
                  <c:v>607572.89100000064</c:v>
                </c:pt>
                <c:pt idx="7">
                  <c:v>454842.56600000057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A4-4085-8B6D-F25462A7A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254191"/>
        <c:axId val="542257103"/>
      </c:barChart>
      <c:catAx>
        <c:axId val="5422541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42257103"/>
        <c:crosses val="autoZero"/>
        <c:auto val="1"/>
        <c:lblAlgn val="ctr"/>
        <c:lblOffset val="100"/>
        <c:noMultiLvlLbl val="0"/>
      </c:catAx>
      <c:valAx>
        <c:axId val="542257103"/>
        <c:scaling>
          <c:orientation val="minMax"/>
        </c:scaling>
        <c:delete val="0"/>
        <c:axPos val="t"/>
        <c:numFmt formatCode="&quot;$&quot;#,##0.0,,&quot;M&quot;;\-&quot;$&quot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4225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900" b="1" i="0" u="none" strike="noStrike" kern="1200" baseline="0">
          <a:solidFill>
            <a:schemeClr val="tx1">
              <a:lumMod val="65000"/>
              <a:lumOff val="35000"/>
            </a:schemeClr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</a:rPr>
              <a:t>Every category fell in 2025</a:t>
            </a:r>
          </a:p>
        </c:rich>
      </c:tx>
      <c:layout>
        <c:manualLayout>
          <c:xMode val="edge"/>
          <c:yMode val="edge"/>
          <c:x val="0.39349519746862482"/>
          <c:y val="2.8987962711557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PVM!$B$1</c:f>
              <c:strCache>
                <c:ptCount val="1"/>
                <c:pt idx="0">
                  <c:v> Dollar 2024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PVM!$A$2:$A$10</c15:sqref>
                  </c15:fullRef>
                </c:ext>
              </c:extLst>
              <c:f>PVM!$A$2:$A$9</c:f>
              <c:strCache>
                <c:ptCount val="8"/>
                <c:pt idx="0">
                  <c:v>Brandy</c:v>
                </c:pt>
                <c:pt idx="1">
                  <c:v>Gin</c:v>
                </c:pt>
                <c:pt idx="2">
                  <c:v>Liqueurs</c:v>
                </c:pt>
                <c:pt idx="3">
                  <c:v>Other</c:v>
                </c:pt>
                <c:pt idx="4">
                  <c:v>Rum</c:v>
                </c:pt>
                <c:pt idx="5">
                  <c:v>Tequila/Mezcal</c:v>
                </c:pt>
                <c:pt idx="6">
                  <c:v>Vodka</c:v>
                </c:pt>
                <c:pt idx="7">
                  <c:v>Whiskey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PVM!$B$2:$B$10</c15:sqref>
                  </c15:fullRef>
                </c:ext>
              </c:extLst>
              <c:f>PVM!$B$2:$B$9</c:f>
              <c:numCache>
                <c:formatCode>_(* #,##0_);_(* \(#,##0\);_(* "-"??_);_(@_)</c:formatCode>
                <c:ptCount val="8"/>
                <c:pt idx="0">
                  <c:v>14162341.909999963</c:v>
                </c:pt>
                <c:pt idx="1">
                  <c:v>9677368.740000017</c:v>
                </c:pt>
                <c:pt idx="2">
                  <c:v>39965838.120000213</c:v>
                </c:pt>
                <c:pt idx="3">
                  <c:v>34959619.689999469</c:v>
                </c:pt>
                <c:pt idx="4">
                  <c:v>36797823.169998743</c:v>
                </c:pt>
                <c:pt idx="5">
                  <c:v>46241498.669999473</c:v>
                </c:pt>
                <c:pt idx="6">
                  <c:v>94552480.800001293</c:v>
                </c:pt>
                <c:pt idx="7">
                  <c:v>170878442.51999784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3-4D9F-953D-538A6E710557}"/>
            </c:ext>
          </c:extLst>
        </c:ser>
        <c:ser>
          <c:idx val="1"/>
          <c:order val="1"/>
          <c:tx>
            <c:strRef>
              <c:f>PVM!$C$1</c:f>
              <c:strCache>
                <c:ptCount val="1"/>
                <c:pt idx="0">
                  <c:v> Dollar 2025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PVM!$A$2:$A$10</c15:sqref>
                  </c15:fullRef>
                </c:ext>
              </c:extLst>
              <c:f>PVM!$A$2:$A$9</c:f>
              <c:strCache>
                <c:ptCount val="8"/>
                <c:pt idx="0">
                  <c:v>Brandy</c:v>
                </c:pt>
                <c:pt idx="1">
                  <c:v>Gin</c:v>
                </c:pt>
                <c:pt idx="2">
                  <c:v>Liqueurs</c:v>
                </c:pt>
                <c:pt idx="3">
                  <c:v>Other</c:v>
                </c:pt>
                <c:pt idx="4">
                  <c:v>Rum</c:v>
                </c:pt>
                <c:pt idx="5">
                  <c:v>Tequila/Mezcal</c:v>
                </c:pt>
                <c:pt idx="6">
                  <c:v>Vodka</c:v>
                </c:pt>
                <c:pt idx="7">
                  <c:v>Whiskey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PVM!$C$2:$C$10</c15:sqref>
                  </c15:fullRef>
                </c:ext>
              </c:extLst>
              <c:f>PVM!$C$2:$C$9</c:f>
              <c:numCache>
                <c:formatCode>_(* #,##0_);_(* \(#,##0\);_(* "-"??_);_(@_)</c:formatCode>
                <c:ptCount val="8"/>
                <c:pt idx="0">
                  <c:v>12151457.820000013</c:v>
                </c:pt>
                <c:pt idx="1">
                  <c:v>9096851.3200000115</c:v>
                </c:pt>
                <c:pt idx="2">
                  <c:v>39699621.809999779</c:v>
                </c:pt>
                <c:pt idx="3">
                  <c:v>31728181.699999787</c:v>
                </c:pt>
                <c:pt idx="4">
                  <c:v>33851775.039999068</c:v>
                </c:pt>
                <c:pt idx="5">
                  <c:v>44269302.769999363</c:v>
                </c:pt>
                <c:pt idx="6">
                  <c:v>91185254.210000992</c:v>
                </c:pt>
                <c:pt idx="7">
                  <c:v>162831841.33999792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23-4D9F-953D-538A6E710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8327279"/>
        <c:axId val="1888327695"/>
      </c:barChart>
      <c:catAx>
        <c:axId val="1888327279"/>
        <c:scaling>
          <c:orientation val="minMax"/>
        </c:scaling>
        <c:delete val="0"/>
        <c:axPos val="l"/>
        <c:numFmt formatCode="&quot;$&quot;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8327695"/>
        <c:crosses val="autoZero"/>
        <c:auto val="1"/>
        <c:lblAlgn val="ctr"/>
        <c:lblOffset val="100"/>
        <c:noMultiLvlLbl val="0"/>
      </c:catAx>
      <c:valAx>
        <c:axId val="1888327695"/>
        <c:scaling>
          <c:orientation val="minMax"/>
        </c:scaling>
        <c:delete val="0"/>
        <c:axPos val="t"/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8327279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242679301061672"/>
          <c:y val="0.1489655172413793"/>
          <c:w val="0.19429057984454298"/>
          <c:h val="7.2944157842338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9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[Iowa_Liquor_Sales_Analysis.xlsx]Line Chart!PivotTable3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922500140943"/>
          <c:y val="0.24325427755739817"/>
          <c:w val="0.7654424044249839"/>
          <c:h val="0.65212107861949453"/>
        </c:manualLayout>
      </c:layout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Chart'!$B$4:$B$16</c:f>
              <c:numCache>
                <c:formatCode>_("$"* #,##0.00_);_("$"* \(#,##0.00\);_("$"* "-"??_);_(@_)</c:formatCode>
                <c:ptCount val="12"/>
                <c:pt idx="0">
                  <c:v>152895643.549999</c:v>
                </c:pt>
                <c:pt idx="1">
                  <c:v>157616909.55999917</c:v>
                </c:pt>
                <c:pt idx="2">
                  <c:v>170967177.20999873</c:v>
                </c:pt>
                <c:pt idx="3">
                  <c:v>174286562.00999838</c:v>
                </c:pt>
                <c:pt idx="4">
                  <c:v>184241435.38999814</c:v>
                </c:pt>
                <c:pt idx="5">
                  <c:v>191415470.07999811</c:v>
                </c:pt>
                <c:pt idx="6">
                  <c:v>178466160.7499983</c:v>
                </c:pt>
                <c:pt idx="7">
                  <c:v>188407118.60999694</c:v>
                </c:pt>
                <c:pt idx="8">
                  <c:v>177118384.53999832</c:v>
                </c:pt>
                <c:pt idx="9">
                  <c:v>200786836.5999977</c:v>
                </c:pt>
                <c:pt idx="10">
                  <c:v>189585813.24999738</c:v>
                </c:pt>
                <c:pt idx="11">
                  <c:v>209236389.48999885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A3-4CF3-B159-EE4E9B09F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1825247"/>
        <c:axId val="861826079"/>
      </c:lineChart>
      <c:catAx>
        <c:axId val="86182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826079"/>
        <c:crosses val="autoZero"/>
        <c:auto val="1"/>
        <c:lblAlgn val="ctr"/>
        <c:lblOffset val="100"/>
        <c:noMultiLvlLbl val="0"/>
      </c:catAx>
      <c:valAx>
        <c:axId val="86182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82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Fewer bottles sold drove most of 2025’s $22.4M decline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r>
            <a:rPr lang="en-US"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Fewer bottles sold drove most of 2025’s $22.4M decline</a:t>
          </a:r>
        </a:p>
      </cx:txPr>
    </cx:title>
    <cx:plotArea>
      <cx:plotAreaRegion>
        <cx:series layoutId="waterfall" uniqueId="{CB062638-999D-4E4D-B278-68C211539527}">
          <cx:spPr>
            <a:solidFill>
              <a:schemeClr val="accent1"/>
            </a:solidFill>
          </cx:spPr>
          <cx:dataPt idx="0">
            <cx:spPr>
              <a:solidFill>
                <a:sysClr val="window" lastClr="FFFFFF">
                  <a:lumMod val="75000"/>
                </a:sysClr>
              </a:solidFill>
            </cx:spPr>
          </cx:dataPt>
          <cx:dataPt idx="4">
            <cx:spPr>
              <a:solidFill>
                <a:sysClr val="window" lastClr="FFFFFF">
                  <a:lumMod val="75000"/>
                </a:sysClr>
              </a:solidFill>
            </cx:spPr>
          </cx:dataPt>
          <cx:dataLabels>
            <cx:numFmt formatCode="$#,##0.0,,&quot;M&quot;;-$#,##0.0,,&quot;M&quot;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0"/>
              <cx:idx val="4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cx:txPr>
      </cx:axis>
      <cx:axis id="1">
        <cx:valScaling min="400000000"/>
        <cx:tickLabels/>
        <cx:numFmt formatCode="$#,##0.0,,&quot;M&quot;" sourceLinked="0"/>
        <cx:txPr>
          <a:bodyPr vertOverflow="overflow" horzOverflow="overflow" wrap="square" lIns="0" tIns="0" rIns="0" bIns="0"/>
          <a:lstStyle/>
          <a:p>
            <a:pPr algn="ctr" rtl="0"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Fewer bottles sold drove most of 2025’s $22.4M decline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r>
            <a:rPr lang="en-US"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Fewer bottles sold drove most of 2025’s $22.4M decline</a:t>
          </a:r>
        </a:p>
      </cx:txPr>
    </cx:title>
    <cx:plotArea>
      <cx:plotAreaRegion>
        <cx:series layoutId="waterfall" uniqueId="{CB062638-999D-4E4D-B278-68C211539527}">
          <cx:spPr>
            <a:solidFill>
              <a:schemeClr val="accent1"/>
            </a:solidFill>
          </cx:spPr>
          <cx:dataPt idx="0">
            <cx:spPr>
              <a:solidFill>
                <a:sysClr val="window" lastClr="FFFFFF">
                  <a:lumMod val="75000"/>
                </a:sysClr>
              </a:solidFill>
            </cx:spPr>
          </cx:dataPt>
          <cx:dataPt idx="4">
            <cx:spPr>
              <a:solidFill>
                <a:sysClr val="window" lastClr="FFFFFF">
                  <a:lumMod val="75000"/>
                </a:sysClr>
              </a:solidFill>
            </cx:spPr>
          </cx:dataPt>
          <cx:dataLabels>
            <cx:numFmt formatCode="$#,##0.0,,&quot;M&quot;;-$#,##0.0,,&quot;M&quot;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lang="en-US"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0"/>
              <cx:idx val="4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cx:txPr>
      </cx:axis>
      <cx:axis id="1">
        <cx:valScaling min="400000000"/>
        <cx:tickLabels/>
        <cx:numFmt formatCode="$#,##0.0,,&quot;M&quot;" sourceLinked="0"/>
        <cx:txPr>
          <a:bodyPr vertOverflow="overflow" horzOverflow="overflow" wrap="square" lIns="0" tIns="0" rIns="0" bIns="0"/>
          <a:lstStyle/>
          <a:p>
            <a:pPr algn="ctr" rtl="0"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19050</xdr:rowOff>
    </xdr:from>
    <xdr:to>
      <xdr:col>15</xdr:col>
      <xdr:colOff>371475</xdr:colOff>
      <xdr:row>6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057E728-7750-41AE-84D2-BE106CF60630}"/>
            </a:ext>
          </a:extLst>
        </xdr:cNvPr>
        <xdr:cNvSpPr/>
      </xdr:nvSpPr>
      <xdr:spPr>
        <a:xfrm>
          <a:off x="57150" y="19050"/>
          <a:ext cx="9458325" cy="1276350"/>
        </a:xfrm>
        <a:prstGeom prst="roundRect">
          <a:avLst>
            <a:gd name="adj" fmla="val 34577"/>
          </a:avLst>
        </a:prstGeom>
        <a:solidFill>
          <a:schemeClr val="accent1"/>
        </a:solidFill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</a:t>
          </a:r>
        </a:p>
      </xdr:txBody>
    </xdr:sp>
    <xdr:clientData/>
  </xdr:twoCellAnchor>
  <xdr:oneCellAnchor>
    <xdr:from>
      <xdr:col>1</xdr:col>
      <xdr:colOff>504825</xdr:colOff>
      <xdr:row>1</xdr:row>
      <xdr:rowOff>57150</xdr:rowOff>
    </xdr:from>
    <xdr:ext cx="6867525" cy="7239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93B5C8-1AA1-4D3B-9FC2-00473AEDD9E7}"/>
            </a:ext>
          </a:extLst>
        </xdr:cNvPr>
        <xdr:cNvSpPr txBox="1"/>
      </xdr:nvSpPr>
      <xdr:spPr>
        <a:xfrm>
          <a:off x="1114425" y="247650"/>
          <a:ext cx="6867525" cy="723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8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Iowa Liquor Sales: 2025 Down 5.0% vs. 2024</a:t>
          </a:r>
        </a:p>
        <a:p>
          <a:pPr algn="ctr"/>
          <a:r>
            <a:rPr lang="en-US" sz="1050">
              <a:solidFill>
                <a:schemeClr val="bg1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Source: Iowa Alcoholic Beverages data, 2021–2025</a:t>
          </a:r>
        </a:p>
        <a:p>
          <a:endParaRPr lang="en-US" sz="28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66674</xdr:colOff>
      <xdr:row>0</xdr:row>
      <xdr:rowOff>28574</xdr:rowOff>
    </xdr:from>
    <xdr:to>
      <xdr:col>20</xdr:col>
      <xdr:colOff>200025</xdr:colOff>
      <xdr:row>6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5EA2B12-444C-45BE-A668-8AE82B5367B8}"/>
            </a:ext>
          </a:extLst>
        </xdr:cNvPr>
        <xdr:cNvSpPr/>
      </xdr:nvSpPr>
      <xdr:spPr>
        <a:xfrm>
          <a:off x="9820274" y="28574"/>
          <a:ext cx="2571751" cy="1228726"/>
        </a:xfrm>
        <a:prstGeom prst="roundRect">
          <a:avLst/>
        </a:prstGeom>
        <a:solidFill>
          <a:schemeClr val="accent1"/>
        </a:solidFill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2025 Sales 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2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$424.8M</a:t>
          </a:r>
        </a:p>
        <a:p>
          <a:pPr algn="ctr"/>
          <a:r>
            <a:rPr lang="en-US" sz="18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5% vs. 2024</a:t>
          </a:r>
          <a:endParaRPr lang="en-US" sz="28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485775</xdr:colOff>
      <xdr:row>4</xdr:row>
      <xdr:rowOff>9525</xdr:rowOff>
    </xdr:from>
    <xdr:to>
      <xdr:col>17</xdr:col>
      <xdr:colOff>123825</xdr:colOff>
      <xdr:row>5</xdr:row>
      <xdr:rowOff>114299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B5DFAFC6-2E41-4470-87B3-DAEACBFADAC1}"/>
            </a:ext>
          </a:extLst>
        </xdr:cNvPr>
        <xdr:cNvSpPr/>
      </xdr:nvSpPr>
      <xdr:spPr>
        <a:xfrm>
          <a:off x="10239375" y="771525"/>
          <a:ext cx="247650" cy="295274"/>
        </a:xfrm>
        <a:prstGeom prst="downArrow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466724</xdr:colOff>
      <xdr:row>0</xdr:row>
      <xdr:rowOff>19049</xdr:rowOff>
    </xdr:from>
    <xdr:to>
      <xdr:col>24</xdr:col>
      <xdr:colOff>600075</xdr:colOff>
      <xdr:row>6</xdr:row>
      <xdr:rowOff>123825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96F8759-5253-488C-82F5-8F32407639E8}"/>
            </a:ext>
          </a:extLst>
        </xdr:cNvPr>
        <xdr:cNvSpPr/>
      </xdr:nvSpPr>
      <xdr:spPr>
        <a:xfrm>
          <a:off x="12658724" y="19049"/>
          <a:ext cx="2571751" cy="1247776"/>
        </a:xfrm>
        <a:prstGeom prst="roundRect">
          <a:avLst/>
        </a:prstGeom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$ Change vs 2024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cs typeface="+mn-cs"/>
          </a:endParaRPr>
        </a:p>
        <a:p>
          <a:pPr algn="ctr"/>
          <a:r>
            <a:rPr lang="en-US" sz="2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-$22.4M</a:t>
          </a:r>
        </a:p>
        <a:p>
          <a:pPr algn="ctr"/>
          <a:r>
            <a:rPr lang="en-US" sz="18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Vs. 2024</a:t>
          </a:r>
        </a:p>
      </xdr:txBody>
    </xdr:sp>
    <xdr:clientData/>
  </xdr:twoCellAnchor>
  <xdr:twoCellAnchor>
    <xdr:from>
      <xdr:col>25</xdr:col>
      <xdr:colOff>295274</xdr:colOff>
      <xdr:row>0</xdr:row>
      <xdr:rowOff>38099</xdr:rowOff>
    </xdr:from>
    <xdr:to>
      <xdr:col>29</xdr:col>
      <xdr:colOff>428625</xdr:colOff>
      <xdr:row>6</xdr:row>
      <xdr:rowOff>133350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5865E59-DFB0-4DB4-9A9E-B71151134933}"/>
            </a:ext>
          </a:extLst>
        </xdr:cNvPr>
        <xdr:cNvSpPr/>
      </xdr:nvSpPr>
      <xdr:spPr>
        <a:xfrm>
          <a:off x="15535274" y="38099"/>
          <a:ext cx="2571751" cy="1238251"/>
        </a:xfrm>
        <a:prstGeom prst="roundRect">
          <a:avLst/>
        </a:prstGeom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Bottles</a:t>
          </a:r>
          <a:r>
            <a:rPr lang="en-US" sz="14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Sold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2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30.4M</a:t>
          </a:r>
          <a:endParaRPr lang="en-US" sz="1800" b="1" cap="none" spc="0" baseline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8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3%</a:t>
          </a:r>
          <a:endParaRPr lang="en-US" sz="28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30</xdr:col>
      <xdr:colOff>66060</xdr:colOff>
      <xdr:row>0</xdr:row>
      <xdr:rowOff>28574</xdr:rowOff>
    </xdr:from>
    <xdr:to>
      <xdr:col>34</xdr:col>
      <xdr:colOff>199411</xdr:colOff>
      <xdr:row>6</xdr:row>
      <xdr:rowOff>114300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988F0CF-4F12-48DB-A0BC-204262F0ED8D}"/>
            </a:ext>
          </a:extLst>
        </xdr:cNvPr>
        <xdr:cNvSpPr/>
      </xdr:nvSpPr>
      <xdr:spPr>
        <a:xfrm>
          <a:off x="18501544" y="28574"/>
          <a:ext cx="2591415" cy="1191855"/>
        </a:xfrm>
        <a:prstGeom prst="roundRect">
          <a:avLst/>
        </a:prstGeom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Avg</a:t>
          </a:r>
          <a:r>
            <a:rPr lang="en-US" sz="14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$ Per Bottle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2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$13.96</a:t>
          </a:r>
          <a:endParaRPr lang="en-US" sz="1800" b="1" cap="none" spc="0" baseline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8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2%</a:t>
          </a:r>
          <a:endParaRPr lang="en-US" sz="28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533399</xdr:colOff>
      <xdr:row>4</xdr:row>
      <xdr:rowOff>9524</xdr:rowOff>
    </xdr:from>
    <xdr:to>
      <xdr:col>27</xdr:col>
      <xdr:colOff>171449</xdr:colOff>
      <xdr:row>5</xdr:row>
      <xdr:rowOff>114298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34928AF1-C0F6-401D-A356-6191B39FFF22}"/>
            </a:ext>
          </a:extLst>
        </xdr:cNvPr>
        <xdr:cNvSpPr/>
      </xdr:nvSpPr>
      <xdr:spPr>
        <a:xfrm>
          <a:off x="16382999" y="771524"/>
          <a:ext cx="247650" cy="295274"/>
        </a:xfrm>
        <a:prstGeom prst="downArrow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406810</xdr:colOff>
      <xdr:row>0</xdr:row>
      <xdr:rowOff>38100</xdr:rowOff>
    </xdr:from>
    <xdr:to>
      <xdr:col>38</xdr:col>
      <xdr:colOff>545077</xdr:colOff>
      <xdr:row>6</xdr:row>
      <xdr:rowOff>104775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DB5E3881-8D3F-419F-A24A-C9C9F26F4512}"/>
            </a:ext>
          </a:extLst>
        </xdr:cNvPr>
        <xdr:cNvSpPr/>
      </xdr:nvSpPr>
      <xdr:spPr>
        <a:xfrm>
          <a:off x="21300358" y="38100"/>
          <a:ext cx="2596332" cy="1172804"/>
        </a:xfrm>
        <a:prstGeom prst="roundRect">
          <a:avLst/>
        </a:prstGeom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Forecast Accuracy (MAPE)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2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6%</a:t>
          </a:r>
          <a:endParaRPr lang="en-US" sz="1800" b="1" cap="none" spc="0" baseline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8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Seasonal Naive</a:t>
          </a:r>
          <a:endParaRPr lang="en-US" sz="28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31</xdr:col>
      <xdr:colOff>307872</xdr:colOff>
      <xdr:row>4</xdr:row>
      <xdr:rowOff>30726</xdr:rowOff>
    </xdr:from>
    <xdr:to>
      <xdr:col>31</xdr:col>
      <xdr:colOff>560438</xdr:colOff>
      <xdr:row>5</xdr:row>
      <xdr:rowOff>135500</xdr:rowOff>
    </xdr:to>
    <xdr:sp macro="" textlink="">
      <xdr:nvSpPr>
        <xdr:cNvPr id="14" name="Arrow: Down 13">
          <a:extLst>
            <a:ext uri="{FF2B5EF4-FFF2-40B4-BE49-F238E27FC236}">
              <a16:creationId xmlns:a16="http://schemas.microsoft.com/office/drawing/2014/main" id="{AC0B001F-E76F-442A-B21E-C08636A2CBB8}"/>
            </a:ext>
          </a:extLst>
        </xdr:cNvPr>
        <xdr:cNvSpPr/>
      </xdr:nvSpPr>
      <xdr:spPr>
        <a:xfrm>
          <a:off x="19357872" y="768145"/>
          <a:ext cx="252566" cy="289129"/>
        </a:xfrm>
        <a:prstGeom prst="downArrow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85726</xdr:colOff>
      <xdr:row>7</xdr:row>
      <xdr:rowOff>123825</xdr:rowOff>
    </xdr:from>
    <xdr:to>
      <xdr:col>18</xdr:col>
      <xdr:colOff>552450</xdr:colOff>
      <xdr:row>23</xdr:row>
      <xdr:rowOff>123825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2F31F51-896F-47CB-AAB6-B49A42BD2038}"/>
            </a:ext>
          </a:extLst>
        </xdr:cNvPr>
        <xdr:cNvSpPr/>
      </xdr:nvSpPr>
      <xdr:spPr>
        <a:xfrm>
          <a:off x="85726" y="1457325"/>
          <a:ext cx="11439524" cy="3048000"/>
        </a:xfrm>
        <a:prstGeom prst="rect">
          <a:avLst/>
        </a:prstGeom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571500</xdr:colOff>
      <xdr:row>7</xdr:row>
      <xdr:rowOff>123825</xdr:rowOff>
    </xdr:from>
    <xdr:to>
      <xdr:col>38</xdr:col>
      <xdr:colOff>504825</xdr:colOff>
      <xdr:row>23</xdr:row>
      <xdr:rowOff>123825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9DB8796A-6081-443B-BEA0-D6A71AF63398}"/>
            </a:ext>
          </a:extLst>
        </xdr:cNvPr>
        <xdr:cNvSpPr/>
      </xdr:nvSpPr>
      <xdr:spPr>
        <a:xfrm>
          <a:off x="12153900" y="1457325"/>
          <a:ext cx="11515725" cy="3048000"/>
        </a:xfrm>
        <a:prstGeom prst="rect">
          <a:avLst/>
        </a:prstGeom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95250</xdr:colOff>
      <xdr:row>8</xdr:row>
      <xdr:rowOff>38101</xdr:rowOff>
    </xdr:from>
    <xdr:to>
      <xdr:col>38</xdr:col>
      <xdr:colOff>304800</xdr:colOff>
      <xdr:row>22</xdr:row>
      <xdr:rowOff>133351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6538779-24A4-4EE8-BEB5-8998A56D7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24</xdr:row>
      <xdr:rowOff>95250</xdr:rowOff>
    </xdr:from>
    <xdr:to>
      <xdr:col>18</xdr:col>
      <xdr:colOff>533400</xdr:colOff>
      <xdr:row>40</xdr:row>
      <xdr:rowOff>95250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AB83938-132D-4D51-969D-C6DD10A6BBEA}"/>
            </a:ext>
          </a:extLst>
        </xdr:cNvPr>
        <xdr:cNvSpPr/>
      </xdr:nvSpPr>
      <xdr:spPr>
        <a:xfrm>
          <a:off x="95250" y="4667250"/>
          <a:ext cx="11410950" cy="3048000"/>
        </a:xfrm>
        <a:prstGeom prst="rect">
          <a:avLst/>
        </a:prstGeom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200025</xdr:colOff>
      <xdr:row>8</xdr:row>
      <xdr:rowOff>57150</xdr:rowOff>
    </xdr:from>
    <xdr:to>
      <xdr:col>18</xdr:col>
      <xdr:colOff>428625</xdr:colOff>
      <xdr:row>22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C2B6AE66-8B49-4092-8E80-4531D866C1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" y="1581150"/>
              <a:ext cx="11201400" cy="272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590550</xdr:colOff>
      <xdr:row>24</xdr:row>
      <xdr:rowOff>85724</xdr:rowOff>
    </xdr:from>
    <xdr:to>
      <xdr:col>38</xdr:col>
      <xdr:colOff>533399</xdr:colOff>
      <xdr:row>40</xdr:row>
      <xdr:rowOff>114299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D46739D-C9CE-4754-8635-DC04B59D4290}"/>
            </a:ext>
          </a:extLst>
        </xdr:cNvPr>
        <xdr:cNvSpPr/>
      </xdr:nvSpPr>
      <xdr:spPr>
        <a:xfrm>
          <a:off x="12172950" y="4657724"/>
          <a:ext cx="11525249" cy="3076575"/>
        </a:xfrm>
        <a:prstGeom prst="rect">
          <a:avLst/>
        </a:prstGeom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104775</xdr:colOff>
      <xdr:row>25</xdr:row>
      <xdr:rowOff>28575</xdr:rowOff>
    </xdr:from>
    <xdr:to>
      <xdr:col>38</xdr:col>
      <xdr:colOff>342900</xdr:colOff>
      <xdr:row>39</xdr:row>
      <xdr:rowOff>142875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A43F467-01F8-4DC5-B6B8-80BE82EB9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24</xdr:row>
      <xdr:rowOff>180974</xdr:rowOff>
    </xdr:from>
    <xdr:to>
      <xdr:col>18</xdr:col>
      <xdr:colOff>409575</xdr:colOff>
      <xdr:row>39</xdr:row>
      <xdr:rowOff>133349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22200CF-4230-4201-B315-F43113379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40</xdr:row>
      <xdr:rowOff>180974</xdr:rowOff>
    </xdr:from>
    <xdr:to>
      <xdr:col>38</xdr:col>
      <xdr:colOff>533400</xdr:colOff>
      <xdr:row>55</xdr:row>
      <xdr:rowOff>66675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B841E45D-36B4-46E8-9335-BBA980B658FD}"/>
            </a:ext>
          </a:extLst>
        </xdr:cNvPr>
        <xdr:cNvSpPr/>
      </xdr:nvSpPr>
      <xdr:spPr>
        <a:xfrm>
          <a:off x="66675" y="7555168"/>
          <a:ext cx="23818338" cy="2651023"/>
        </a:xfrm>
        <a:prstGeom prst="roundRect">
          <a:avLst/>
        </a:prstGeom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 i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Key Takesaways</a:t>
          </a:r>
        </a:p>
        <a:p>
          <a:pPr algn="ctr"/>
          <a:endParaRPr lang="en-US" sz="1800" b="0" i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en-US" sz="1800" b="0" i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1. 2025 sales fell $22.4M (−5%). About 60% of the drop came from fewer bottles sold and 39% from a lower average price.</a:t>
          </a:r>
        </a:p>
        <a:p>
          <a:pPr algn="ctr"/>
          <a:endParaRPr lang="en-US" sz="1800" b="0" i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800" b="0" i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2. Every category declined in 2025. Whiskey lost the most in dollars (−$8.05M), and Brandy fell the fastest (−14.2%). Every category declined in 2025. </a:t>
          </a:r>
        </a:p>
        <a:p>
          <a:pPr algn="ctr"/>
          <a:endParaRPr lang="en-US" sz="1800" b="0" i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800" b="0" i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3. The seasonal naive forecast was the most accurate method. The 2026 base case is about $403.8M total, and holding flat would need about 2.1% more volume. Seasonal navie forecast was the most accuirate method</a:t>
          </a:r>
          <a:r>
            <a:rPr lang="en-US" sz="1600" b="0" i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25</xdr:row>
      <xdr:rowOff>152400</xdr:rowOff>
    </xdr:from>
    <xdr:to>
      <xdr:col>23</xdr:col>
      <xdr:colOff>66675</xdr:colOff>
      <xdr:row>46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DED3D4-DA63-4287-B2FD-E3513ECAF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2</xdr:row>
      <xdr:rowOff>28574</xdr:rowOff>
    </xdr:from>
    <xdr:to>
      <xdr:col>20</xdr:col>
      <xdr:colOff>76200</xdr:colOff>
      <xdr:row>28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4F1039-85EB-455F-A2FC-37333D066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11</xdr:row>
      <xdr:rowOff>95249</xdr:rowOff>
    </xdr:from>
    <xdr:to>
      <xdr:col>9</xdr:col>
      <xdr:colOff>923925</xdr:colOff>
      <xdr:row>29</xdr:row>
      <xdr:rowOff>85724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98E3B09-E93A-4BE0-A755-046CE1EF8A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5075" y="2190749"/>
              <a:ext cx="7620000" cy="3419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171450</xdr:colOff>
      <xdr:row>11</xdr:row>
      <xdr:rowOff>104775</xdr:rowOff>
    </xdr:from>
    <xdr:to>
      <xdr:col>16</xdr:col>
      <xdr:colOff>352425</xdr:colOff>
      <xdr:row>28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399B56-0F24-4B41-82CC-A8450F1CD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0</xdr:row>
      <xdr:rowOff>0</xdr:rowOff>
    </xdr:from>
    <xdr:to>
      <xdr:col>15</xdr:col>
      <xdr:colOff>381000</xdr:colOff>
      <xdr:row>22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F184E3-8463-4DAE-AA8A-7E006C3F3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s Martinez" refreshedDate="46307.801001388892" createdVersion="7" refreshedVersion="7" minRefreshableVersion="3" recordCount="2670" xr:uid="{B63E1D6A-1CDF-4AB4-9772-54F453889CCE}">
  <cacheSource type="worksheet">
    <worksheetSource name="Monthly_Category"/>
  </cacheSource>
  <cacheFields count="10">
    <cacheField name="Year" numFmtId="0">
      <sharedItems containsSemiMixedTypes="0" containsString="0" containsNumber="1" containsInteger="1" minValue="2021" maxValue="2025" count="5">
        <n v="2021"/>
        <n v="2024"/>
        <n v="2022"/>
        <n v="2023"/>
        <n v="2025"/>
      </sharedItems>
    </cacheField>
    <cacheField name="Start of Month" numFmtId="14">
      <sharedItems containsSemiMixedTypes="0" containsNonDate="0" containsDate="1" containsString="0" minDate="2021-01-01T00:00:00" maxDate="2025-12-02T00:00:00" count="60">
        <d v="2021-07-01T00:00:00"/>
        <d v="2021-08-01T00:00:00"/>
        <d v="2021-09-01T00:00:00"/>
        <d v="2021-10-01T00:00:00"/>
        <d v="2021-11-01T00:00:00"/>
        <d v="2021-12-01T00:00:00"/>
        <d v="2021-01-01T00:00:00"/>
        <d v="2021-02-01T00:00:00"/>
        <d v="2021-03-01T00:00:00"/>
        <d v="2021-04-01T00:00:00"/>
        <d v="2021-05-01T00:00:00"/>
        <d v="2021-06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2-01-01T00:00:00"/>
        <d v="2022-02-01T00:00:00"/>
        <d v="2022-03-01T00:00:00"/>
        <d v="2022-07-01T00:00:00"/>
        <d v="2022-08-01T00:00:00"/>
        <d v="2022-04-01T00:00:00"/>
        <d v="2022-05-01T00:00:00"/>
        <d v="2022-06-01T00:00:00"/>
        <d v="2022-10-01T00:00:00"/>
        <d v="2022-11-01T00:00:00"/>
        <d v="2022-12-01T00:00:00"/>
        <d v="2022-09-01T00:00:00"/>
        <d v="2023-04-01T00:00:00"/>
        <d v="2023-05-01T00:00:00"/>
        <d v="2023-06-01T00:00:00"/>
        <d v="2023-07-01T00:00:00"/>
        <d v="2023-01-01T00:00:00"/>
        <d v="2023-02-01T00:00:00"/>
        <d v="2023-03-01T00:00:00"/>
        <d v="2023-10-01T00:00:00"/>
        <d v="2023-11-01T00:00:00"/>
        <d v="2023-12-01T00:00:00"/>
        <d v="2023-08-01T00:00:00"/>
        <d v="2023-09-01T00:00:00"/>
        <d v="2025-07-01T00:00:00"/>
        <d v="2025-08-01T00:00:00"/>
        <d v="2025-09-01T00:00:00"/>
        <d v="2025-10-01T00:00:00"/>
        <d v="2025-01-01T00:00:00"/>
        <d v="2025-02-01T00:00:00"/>
        <d v="2025-03-01T00:00:00"/>
        <d v="2025-04-01T00:00:00"/>
        <d v="2025-05-01T00:00:00"/>
        <d v="2025-06-01T00:00:00"/>
        <d v="2025-11-01T00:00:00"/>
        <d v="2025-12-01T00:00:00"/>
      </sharedItems>
      <fieldGroup par="9" base="1">
        <rangePr groupBy="months" startDate="2021-01-01T00:00:00" endDate="2025-12-02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  <cacheField name="category_name" numFmtId="0">
      <sharedItems/>
    </cacheField>
    <cacheField name="category" numFmtId="0">
      <sharedItems count="8">
        <s v="Rum"/>
        <s v="Brandy"/>
        <s v="Liqueurs"/>
        <s v="Other"/>
        <s v="Gin"/>
        <s v="Vodka"/>
        <s v="Whiskey"/>
        <s v="Tequila/Mezcal"/>
      </sharedItems>
    </cacheField>
    <cacheField name="sum_sale_bottles" numFmtId="0">
      <sharedItems containsSemiMixedTypes="0" containsString="0" containsNumber="1" containsInteger="1" minValue="2" maxValue="638019"/>
    </cacheField>
    <cacheField name="sum_sale_dollars" numFmtId="0">
      <sharedItems containsSemiMixedTypes="0" containsString="0" containsNumber="1" minValue="134.97999999999999" maxValue="7226201.0699996212"/>
    </cacheField>
    <cacheField name="sum_sale_liters" numFmtId="0">
      <sharedItems containsString="0" containsBlank="1" containsNumber="1" minValue="4.5" maxValue="576420.00999998231"/>
    </cacheField>
    <cacheField name="transactions" numFmtId="0">
      <sharedItems containsSemiMixedTypes="0" containsString="0" containsNumber="1" containsInteger="1" minValue="1" maxValue="39087"/>
    </cacheField>
    <cacheField name="Quarters" numFmtId="0" databaseField="0">
      <fieldGroup base="1">
        <rangePr groupBy="quarters" startDate="2021-01-01T00:00:00" endDate="2025-12-02T00:00:00"/>
        <groupItems count="6">
          <s v="&lt;1/1/2021"/>
          <s v="Qtr1"/>
          <s v="Qtr2"/>
          <s v="Qtr3"/>
          <s v="Qtr4"/>
          <s v="&gt;12/2/2025"/>
        </groupItems>
      </fieldGroup>
    </cacheField>
    <cacheField name="Years" numFmtId="0" databaseField="0">
      <fieldGroup base="1">
        <rangePr groupBy="years" startDate="2021-01-01T00:00:00" endDate="2025-12-02T00:00:00"/>
        <groupItems count="7">
          <s v="&lt;1/1/2021"/>
          <s v="2021"/>
          <s v="2022"/>
          <s v="2023"/>
          <s v="2024"/>
          <s v="2025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0">
  <r>
    <x v="0"/>
    <x v="0"/>
    <s v="AGED DARK RUM"/>
    <x v="0"/>
    <n v="5026"/>
    <n v="105773.77000000006"/>
    <n v="4061"/>
    <n v="800"/>
  </r>
  <r>
    <x v="0"/>
    <x v="0"/>
    <s v="AMERICAN BRANDIES"/>
    <x v="1"/>
    <n v="56089"/>
    <n v="377706.06000000023"/>
    <n v="30324.009999999649"/>
    <n v="5059"/>
  </r>
  <r>
    <x v="0"/>
    <x v="0"/>
    <s v="AMERICAN CORDIALS &amp; LIQUEURSS"/>
    <x v="2"/>
    <n v="40402"/>
    <n v="384991.3900000109"/>
    <n v="20433.929999999396"/>
    <n v="5462"/>
  </r>
  <r>
    <x v="0"/>
    <x v="0"/>
    <s v="AMERICAN DISTILLED SPIRITS SPECIALTY"/>
    <x v="3"/>
    <n v="6318"/>
    <n v="124077.31999999945"/>
    <n v="4754.2500000000018"/>
    <n v="872"/>
  </r>
  <r>
    <x v="0"/>
    <x v="0"/>
    <s v="AMERICAN DRY GINS"/>
    <x v="4"/>
    <n v="40517"/>
    <n v="347140.36000000383"/>
    <n v="32409.639999999723"/>
    <n v="3926"/>
  </r>
  <r>
    <x v="0"/>
    <x v="0"/>
    <s v="AMERICAN FLAVORED VODKA"/>
    <x v="5"/>
    <n v="89407"/>
    <n v="965550.13000004506"/>
    <n v="64752.060000000274"/>
    <n v="10790"/>
  </r>
  <r>
    <x v="0"/>
    <x v="0"/>
    <s v="AMERICAN SCHNAPPS"/>
    <x v="2"/>
    <n v="64267"/>
    <n v="531857.1199999915"/>
    <n v="41582.599999999875"/>
    <n v="6476"/>
  </r>
  <r>
    <x v="0"/>
    <x v="0"/>
    <s v="AMERICAN SLOE GINS"/>
    <x v="4"/>
    <n v="252"/>
    <n v="2048.7600000000011"/>
    <n v="252"/>
    <n v="73"/>
  </r>
  <r>
    <x v="0"/>
    <x v="0"/>
    <s v="AMERICAN VODKAS"/>
    <x v="5"/>
    <n v="526149"/>
    <n v="5204743.4399998086"/>
    <n v="485603.2799999814"/>
    <n v="32930"/>
  </r>
  <r>
    <x v="0"/>
    <x v="0"/>
    <s v="BLENDED WHISKIES"/>
    <x v="6"/>
    <n v="77666"/>
    <n v="952919.95999999775"/>
    <n v="66502.290000000401"/>
    <n v="8891"/>
  </r>
  <r>
    <x v="0"/>
    <x v="0"/>
    <s v="BOTTLED IN BOND BOURBON"/>
    <x v="6"/>
    <n v="1428"/>
    <n v="36977.23000000001"/>
    <n v="1071"/>
    <n v="241"/>
  </r>
  <r>
    <x v="0"/>
    <x v="0"/>
    <s v="CANADIAN WHISKIES"/>
    <x v="6"/>
    <n v="252179"/>
    <n v="3731650.2900001649"/>
    <n v="258720.89999999813"/>
    <n v="18754"/>
  </r>
  <r>
    <x v="0"/>
    <x v="0"/>
    <s v="COCKTAILS/RTD"/>
    <x v="3"/>
    <n v="75018"/>
    <n v="810491.08999999915"/>
    <n v="101511.62999999955"/>
    <n v="7700"/>
  </r>
  <r>
    <x v="0"/>
    <x v="0"/>
    <s v="COFFEE LIQUEURS"/>
    <x v="2"/>
    <n v="6978"/>
    <n v="131212.73000000088"/>
    <n v="5893.2800000000025"/>
    <n v="1000"/>
  </r>
  <r>
    <x v="0"/>
    <x v="0"/>
    <s v="CORN WHISKIES"/>
    <x v="6"/>
    <n v="898"/>
    <n v="29514.01"/>
    <n v="671.4"/>
    <n v="162"/>
  </r>
  <r>
    <x v="0"/>
    <x v="0"/>
    <s v="CREAM LIQUEURS"/>
    <x v="2"/>
    <n v="24859"/>
    <n v="492575.41999999841"/>
    <n v="20224.74999999992"/>
    <n v="3982"/>
  </r>
  <r>
    <x v="0"/>
    <x v="0"/>
    <s v="FLAVORED GIN"/>
    <x v="4"/>
    <n v="872"/>
    <n v="21856.74"/>
    <n v="616.9"/>
    <n v="117"/>
  </r>
  <r>
    <x v="0"/>
    <x v="0"/>
    <s v="FLAVORED RUM"/>
    <x v="0"/>
    <n v="67165"/>
    <n v="937846.73999999929"/>
    <n v="60190.690000000046"/>
    <n v="6052"/>
  </r>
  <r>
    <x v="0"/>
    <x v="0"/>
    <s v="GOLD RUM"/>
    <x v="0"/>
    <n v="7359"/>
    <n v="97478.60999999971"/>
    <n v="8181.2400000000034"/>
    <n v="1078"/>
  </r>
  <r>
    <x v="0"/>
    <x v="0"/>
    <s v="IMPORTED BRANDIES"/>
    <x v="1"/>
    <n v="46637"/>
    <n v="1138178.4699999823"/>
    <n v="24393.349999999893"/>
    <n v="3322"/>
  </r>
  <r>
    <x v="0"/>
    <x v="0"/>
    <s v="IMPORTED CORDIALS &amp; LIQUEURSS"/>
    <x v="2"/>
    <n v="46532"/>
    <n v="1011162.8000000017"/>
    <n v="31495.119999999777"/>
    <n v="5208"/>
  </r>
  <r>
    <x v="0"/>
    <x v="0"/>
    <s v="IMPORTED DISTILLED SPIRITS SPECIALTY"/>
    <x v="3"/>
    <n v="13293"/>
    <n v="121925.95999999995"/>
    <n v="12907.25"/>
    <n v="293"/>
  </r>
  <r>
    <x v="0"/>
    <x v="0"/>
    <s v="IMPORTED DRY GINS"/>
    <x v="4"/>
    <n v="24450"/>
    <n v="603463.78999999724"/>
    <n v="24123.879999999968"/>
    <n v="2745"/>
  </r>
  <r>
    <x v="0"/>
    <x v="0"/>
    <s v="IMPORTED FLAVORED VODKA"/>
    <x v="5"/>
    <n v="32701"/>
    <n v="550934.97000000079"/>
    <n v="25489.699999999946"/>
    <n v="4102"/>
  </r>
  <r>
    <x v="0"/>
    <x v="0"/>
    <s v="IMPORTED SCHNAPPS"/>
    <x v="2"/>
    <n v="32993"/>
    <n v="556534.12999999756"/>
    <n v="29206.819999999727"/>
    <n v="3349"/>
  </r>
  <r>
    <x v="0"/>
    <x v="0"/>
    <s v="IMPORTED VODKAS"/>
    <x v="5"/>
    <n v="73729"/>
    <n v="1400394.4499999378"/>
    <n v="78738.450000000608"/>
    <n v="6815"/>
  </r>
  <r>
    <x v="0"/>
    <x v="0"/>
    <s v="IRISH WHISKIES"/>
    <x v="6"/>
    <n v="29357"/>
    <n v="764503.76999999559"/>
    <n v="25404.799999999977"/>
    <n v="2420"/>
  </r>
  <r>
    <x v="0"/>
    <x v="0"/>
    <s v="MEZCAL"/>
    <x v="7"/>
    <n v="1152"/>
    <n v="34549.329999999958"/>
    <n v="870"/>
    <n v="159"/>
  </r>
  <r>
    <x v="0"/>
    <x v="0"/>
    <s v="MIXTO TEQUILA"/>
    <x v="7"/>
    <n v="73805"/>
    <n v="967514.82999998133"/>
    <n v="59763.230000000025"/>
    <n v="4766"/>
  </r>
  <r>
    <x v="0"/>
    <x v="0"/>
    <s v="NEUTRAL GRAIN SPIRITS"/>
    <x v="3"/>
    <n v="3263"/>
    <n v="44039.669999999991"/>
    <n v="2517.3499999999995"/>
    <n v="382"/>
  </r>
  <r>
    <x v="0"/>
    <x v="0"/>
    <s v="NEUTRAL GRAIN SPIRITS FLAVORED"/>
    <x v="3"/>
    <n v="8496"/>
    <n v="142037.40000000008"/>
    <n v="5123.200000000008"/>
    <n v="1647"/>
  </r>
  <r>
    <x v="0"/>
    <x v="0"/>
    <s v="SCOTCH WHISKIES"/>
    <x v="6"/>
    <n v="16417"/>
    <n v="399564.47999999957"/>
    <n v="18761.13"/>
    <n v="2649"/>
  </r>
  <r>
    <x v="0"/>
    <x v="0"/>
    <s v="SINGLE BARREL BOURBON WHISKIES"/>
    <x v="6"/>
    <n v="3149"/>
    <n v="117904.64000000001"/>
    <n v="2361.75"/>
    <n v="664"/>
  </r>
  <r>
    <x v="0"/>
    <x v="0"/>
    <s v="SINGLE MALT SCOTCH"/>
    <x v="6"/>
    <n v="6375"/>
    <n v="310828.1999999996"/>
    <n v="4928.8499999999995"/>
    <n v="1529"/>
  </r>
  <r>
    <x v="0"/>
    <x v="0"/>
    <s v="SPECIAL ORDER ITEMS"/>
    <x v="3"/>
    <n v="3650"/>
    <n v="83882.77"/>
    <n v="2779.9500000000007"/>
    <n v="484"/>
  </r>
  <r>
    <x v="0"/>
    <x v="0"/>
    <s v="SPICED RUM"/>
    <x v="0"/>
    <n v="135203"/>
    <n v="2253795.0700000054"/>
    <n v="143923.05000000086"/>
    <n v="9192"/>
  </r>
  <r>
    <x v="0"/>
    <x v="0"/>
    <s v="STRAIGHT BOURBON WHISKIES"/>
    <x v="6"/>
    <n v="122237"/>
    <n v="2458001.309999987"/>
    <n v="96846.340000001946"/>
    <n v="14892"/>
  </r>
  <r>
    <x v="0"/>
    <x v="0"/>
    <s v="STRAIGHT RYE WHISKIES"/>
    <x v="6"/>
    <n v="10434"/>
    <n v="326406.78000000404"/>
    <n v="7826.08"/>
    <n v="1757"/>
  </r>
  <r>
    <x v="0"/>
    <x v="0"/>
    <s v="TEMPORARY &amp; SPECIALTY PACKAGES"/>
    <x v="3"/>
    <n v="27841"/>
    <n v="776512.27000000386"/>
    <n v="29771.209999999945"/>
    <n v="2896"/>
  </r>
  <r>
    <x v="0"/>
    <x v="0"/>
    <s v="TENNESSEE WHISKIES"/>
    <x v="6"/>
    <n v="54200"/>
    <n v="1260808.6199999999"/>
    <n v="41148.449999999691"/>
    <n v="5489"/>
  </r>
  <r>
    <x v="0"/>
    <x v="0"/>
    <s v="TRIPLE SEC"/>
    <x v="3"/>
    <n v="19031"/>
    <n v="77136.819999999672"/>
    <n v="18665.5"/>
    <n v="839"/>
  </r>
  <r>
    <x v="0"/>
    <x v="0"/>
    <s v="WHISKEY LIQUEUR"/>
    <x v="6"/>
    <n v="312883"/>
    <n v="1962091.0299999749"/>
    <n v="88829.020000002754"/>
    <n v="11837"/>
  </r>
  <r>
    <x v="0"/>
    <x v="0"/>
    <s v="WHITE RUM"/>
    <x v="0"/>
    <n v="53322"/>
    <n v="627349.39000000351"/>
    <n v="56533.390000000014"/>
    <n v="4329"/>
  </r>
  <r>
    <x v="0"/>
    <x v="0"/>
    <s v="100% AGAVE TEQUILA"/>
    <x v="7"/>
    <n v="64497"/>
    <n v="1898645.499999973"/>
    <n v="50661.450000000063"/>
    <n v="6717"/>
  </r>
  <r>
    <x v="0"/>
    <x v="0"/>
    <s v="DISTILLED SPIRITS SPECIALTY"/>
    <x v="3"/>
    <n v="54"/>
    <n v="1890"/>
    <n v="40.5"/>
    <n v="15"/>
  </r>
  <r>
    <x v="0"/>
    <x v="1"/>
    <s v="AMERICAN DISTILLED SPIRITS SPECIALTY"/>
    <x v="3"/>
    <n v="5560"/>
    <n v="105674.6599999997"/>
    <n v="4142.7000000000007"/>
    <n v="867"/>
  </r>
  <r>
    <x v="0"/>
    <x v="1"/>
    <s v="FLAVORED RUM"/>
    <x v="0"/>
    <n v="58237"/>
    <n v="823129.12999999628"/>
    <n v="52765.929999999935"/>
    <n v="5681"/>
  </r>
  <r>
    <x v="0"/>
    <x v="1"/>
    <s v="TRIPLE SEC"/>
    <x v="3"/>
    <n v="19106"/>
    <n v="76239.559999999852"/>
    <n v="18825.5"/>
    <n v="866"/>
  </r>
  <r>
    <x v="0"/>
    <x v="1"/>
    <s v="WHITE RUM"/>
    <x v="0"/>
    <n v="58800"/>
    <n v="686084.21000001079"/>
    <n v="61427.360000000088"/>
    <n v="5037"/>
  </r>
  <r>
    <x v="0"/>
    <x v="1"/>
    <s v="AMERICAN CORDIALS &amp; LIQUEURSS"/>
    <x v="2"/>
    <n v="37803"/>
    <n v="340690.65000000485"/>
    <n v="18673.879999999474"/>
    <n v="5216"/>
  </r>
  <r>
    <x v="0"/>
    <x v="1"/>
    <s v="AMERICAN FLAVORED VODKA"/>
    <x v="5"/>
    <n v="87766"/>
    <n v="930777.86000004108"/>
    <n v="63065.170000000209"/>
    <n v="10376"/>
  </r>
  <r>
    <x v="0"/>
    <x v="1"/>
    <s v="AMERICAN SCHNAPPS"/>
    <x v="2"/>
    <n v="62498"/>
    <n v="518699.1399999907"/>
    <n v="41065.969999999841"/>
    <n v="6521"/>
  </r>
  <r>
    <x v="0"/>
    <x v="1"/>
    <s v="AMERICAN VODKAS"/>
    <x v="5"/>
    <n v="572027"/>
    <n v="6492248.959999511"/>
    <n v="576420.00999998231"/>
    <n v="33727"/>
  </r>
  <r>
    <x v="0"/>
    <x v="1"/>
    <s v="BLENDED WHISKIES"/>
    <x v="6"/>
    <n v="85907"/>
    <n v="1093941.4900000007"/>
    <n v="73787.830000000613"/>
    <n v="9175"/>
  </r>
  <r>
    <x v="0"/>
    <x v="1"/>
    <s v="BOTTLED IN BOND BOURBON"/>
    <x v="6"/>
    <n v="3812"/>
    <n v="106635.31000000001"/>
    <n v="3375"/>
    <n v="283"/>
  </r>
  <r>
    <x v="0"/>
    <x v="1"/>
    <s v="CANADIAN WHISKIES"/>
    <x v="6"/>
    <n v="239014"/>
    <n v="3558846.5900001307"/>
    <n v="214650.34999999832"/>
    <n v="20487"/>
  </r>
  <r>
    <x v="0"/>
    <x v="1"/>
    <s v="COCKTAILS/RTD"/>
    <x v="3"/>
    <n v="66123"/>
    <n v="730645.15999999759"/>
    <n v="90914.529999999679"/>
    <n v="7324"/>
  </r>
  <r>
    <x v="0"/>
    <x v="1"/>
    <s v="COFFEE LIQUEURS"/>
    <x v="2"/>
    <n v="7735"/>
    <n v="136598.61000000071"/>
    <n v="6519.2800000000052"/>
    <n v="1040"/>
  </r>
  <r>
    <x v="0"/>
    <x v="1"/>
    <s v="CREAM LIQUEURS"/>
    <x v="2"/>
    <n v="26693"/>
    <n v="516874.64999999804"/>
    <n v="22749.489999999831"/>
    <n v="3850"/>
  </r>
  <r>
    <x v="0"/>
    <x v="1"/>
    <s v="GOLD RUM"/>
    <x v="0"/>
    <n v="7427"/>
    <n v="97386.239999999816"/>
    <n v="8663.3300000000054"/>
    <n v="1047"/>
  </r>
  <r>
    <x v="0"/>
    <x v="1"/>
    <s v="IMPORTED CORDIALS &amp; LIQUEURSS"/>
    <x v="2"/>
    <n v="39172"/>
    <n v="855010.37000000174"/>
    <n v="28081.139999999887"/>
    <n v="4602"/>
  </r>
  <r>
    <x v="0"/>
    <x v="1"/>
    <s v="IMPORTED DRY GINS"/>
    <x v="4"/>
    <n v="21453"/>
    <n v="515556.4399999993"/>
    <n v="19784.260000000013"/>
    <n v="2593"/>
  </r>
  <r>
    <x v="0"/>
    <x v="1"/>
    <s v="IMPORTED SCHNAPPS"/>
    <x v="2"/>
    <n v="32958"/>
    <n v="548859.98999999685"/>
    <n v="29285.959999999766"/>
    <n v="3388"/>
  </r>
  <r>
    <x v="0"/>
    <x v="1"/>
    <s v="IMPORTED VODKAS"/>
    <x v="5"/>
    <n v="63912"/>
    <n v="1188792.2499999818"/>
    <n v="66929.730000000418"/>
    <n v="5967"/>
  </r>
  <r>
    <x v="0"/>
    <x v="1"/>
    <s v="MIXTO TEQUILA"/>
    <x v="7"/>
    <n v="76387"/>
    <n v="1066207.9699999799"/>
    <n v="63551.850000000057"/>
    <n v="5078"/>
  </r>
  <r>
    <x v="0"/>
    <x v="1"/>
    <s v="SCOTCH WHISKIES"/>
    <x v="6"/>
    <n v="15167"/>
    <n v="352375.86999999901"/>
    <n v="17572.84"/>
    <n v="2657"/>
  </r>
  <r>
    <x v="0"/>
    <x v="1"/>
    <s v="SPICED RUM"/>
    <x v="0"/>
    <n v="109525"/>
    <n v="1542004.1999999967"/>
    <n v="98203.360000000524"/>
    <n v="9157"/>
  </r>
  <r>
    <x v="0"/>
    <x v="1"/>
    <s v="STRAIGHT BOURBON WHISKIES"/>
    <x v="6"/>
    <n v="129959"/>
    <n v="2623588.9800000233"/>
    <n v="106361.88000000088"/>
    <n v="15463"/>
  </r>
  <r>
    <x v="0"/>
    <x v="1"/>
    <s v="TEMPORARY &amp; SPECIALTY PACKAGES"/>
    <x v="3"/>
    <n v="23064"/>
    <n v="564019.44999999448"/>
    <n v="18101.35999999999"/>
    <n v="3056"/>
  </r>
  <r>
    <x v="0"/>
    <x v="1"/>
    <s v="TENNESSEE WHISKIES"/>
    <x v="6"/>
    <n v="60156"/>
    <n v="1184621.5499999886"/>
    <n v="38050.00999999966"/>
    <n v="5263"/>
  </r>
  <r>
    <x v="0"/>
    <x v="1"/>
    <s v="WHISKEY LIQUEUR"/>
    <x v="6"/>
    <n v="333563"/>
    <n v="2079952.9499999769"/>
    <n v="98165.090000003853"/>
    <n v="12096"/>
  </r>
  <r>
    <x v="0"/>
    <x v="1"/>
    <s v="100% AGAVE TEQUILA"/>
    <x v="7"/>
    <n v="73763"/>
    <n v="2181665.8899999773"/>
    <n v="56478.070000000116"/>
    <n v="7979"/>
  </r>
  <r>
    <x v="0"/>
    <x v="1"/>
    <s v="AGED DARK RUM"/>
    <x v="0"/>
    <n v="3739"/>
    <n v="78246.020000000077"/>
    <n v="3148.75"/>
    <n v="670"/>
  </r>
  <r>
    <x v="0"/>
    <x v="1"/>
    <s v="AMERICAN BRANDIES"/>
    <x v="1"/>
    <n v="58911"/>
    <n v="386429.90000000078"/>
    <n v="30868.569999999698"/>
    <n v="5191"/>
  </r>
  <r>
    <x v="0"/>
    <x v="1"/>
    <s v="AMERICAN DRY GINS"/>
    <x v="4"/>
    <n v="38286"/>
    <n v="312470.92000000254"/>
    <n v="29957.46999999983"/>
    <n v="3523"/>
  </r>
  <r>
    <x v="0"/>
    <x v="1"/>
    <s v="IMPORTED BRANDIES"/>
    <x v="1"/>
    <n v="101325"/>
    <n v="2189292.4699998647"/>
    <n v="43875.660000001117"/>
    <n v="6606"/>
  </r>
  <r>
    <x v="0"/>
    <x v="1"/>
    <s v="IMPORTED FLAVORED VODKA"/>
    <x v="5"/>
    <n v="30590"/>
    <n v="502503.45000000187"/>
    <n v="22756.920000000002"/>
    <n v="3835"/>
  </r>
  <r>
    <x v="0"/>
    <x v="1"/>
    <s v="IRISH WHISKIES"/>
    <x v="6"/>
    <n v="27250"/>
    <n v="700921.16999999527"/>
    <n v="22782.899999999998"/>
    <n v="2467"/>
  </r>
  <r>
    <x v="0"/>
    <x v="1"/>
    <s v="NEUTRAL GRAIN SPIRITS"/>
    <x v="3"/>
    <n v="3327"/>
    <n v="45544.69999999999"/>
    <n v="2640.25"/>
    <n v="379"/>
  </r>
  <r>
    <x v="0"/>
    <x v="1"/>
    <s v="NEUTRAL GRAIN SPIRITS FLAVORED"/>
    <x v="3"/>
    <n v="7744"/>
    <n v="128774.55000000022"/>
    <n v="4550.1000000000067"/>
    <n v="1531"/>
  </r>
  <r>
    <x v="0"/>
    <x v="1"/>
    <s v="SINGLE BARREL BOURBON WHISKIES"/>
    <x v="6"/>
    <n v="2859"/>
    <n v="100607.10000000011"/>
    <n v="2144.25"/>
    <n v="398"/>
  </r>
  <r>
    <x v="0"/>
    <x v="1"/>
    <s v="SINGLE MALT SCOTCH"/>
    <x v="6"/>
    <n v="7120"/>
    <n v="331782.42999999964"/>
    <n v="5653.75"/>
    <n v="1646"/>
  </r>
  <r>
    <x v="0"/>
    <x v="1"/>
    <s v="SPECIAL ORDER ITEMS"/>
    <x v="3"/>
    <n v="4451"/>
    <n v="90922.099999999948"/>
    <n v="3623.67"/>
    <n v="526"/>
  </r>
  <r>
    <x v="0"/>
    <x v="1"/>
    <s v="AMERICAN SLOE GINS"/>
    <x v="4"/>
    <n v="332"/>
    <n v="2699.1600000000012"/>
    <n v="332"/>
    <n v="65"/>
  </r>
  <r>
    <x v="0"/>
    <x v="1"/>
    <s v="STRAIGHT RYE WHISKIES"/>
    <x v="6"/>
    <n v="13185"/>
    <n v="393051.11000000243"/>
    <n v="9819.2799999999988"/>
    <n v="1722"/>
  </r>
  <r>
    <x v="0"/>
    <x v="1"/>
    <s v="FLAVORED GIN"/>
    <x v="4"/>
    <n v="1545"/>
    <n v="28182.419999999991"/>
    <n v="1135.8499999999995"/>
    <n v="191"/>
  </r>
  <r>
    <x v="0"/>
    <x v="1"/>
    <s v="IMPORTED DISTILLED SPIRITS SPECIALTY"/>
    <x v="3"/>
    <n v="25735"/>
    <n v="202685.63999999969"/>
    <n v="25543.360000000001"/>
    <n v="256"/>
  </r>
  <r>
    <x v="0"/>
    <x v="1"/>
    <s v="CORN WHISKIES"/>
    <x v="6"/>
    <n v="1247"/>
    <n v="40264.860000000008"/>
    <n v="933.15"/>
    <n v="151"/>
  </r>
  <r>
    <x v="0"/>
    <x v="1"/>
    <s v="MEZCAL"/>
    <x v="7"/>
    <n v="1380"/>
    <n v="49452.609999999993"/>
    <n v="1035"/>
    <n v="293"/>
  </r>
  <r>
    <x v="0"/>
    <x v="1"/>
    <s v="DISTILLED SPIRITS SPECIALTY"/>
    <x v="3"/>
    <n v="24"/>
    <n v="840"/>
    <n v="18"/>
    <n v="11"/>
  </r>
  <r>
    <x v="0"/>
    <x v="2"/>
    <s v="AMERICAN FLAVORED VODKA"/>
    <x v="5"/>
    <n v="82273"/>
    <n v="880855.06000003591"/>
    <n v="59346.61000000019"/>
    <n v="9657"/>
  </r>
  <r>
    <x v="0"/>
    <x v="2"/>
    <s v="AMERICAN VODKAS"/>
    <x v="5"/>
    <n v="519128"/>
    <n v="5040888.1799997119"/>
    <n v="480073.55999997852"/>
    <n v="33123"/>
  </r>
  <r>
    <x v="0"/>
    <x v="2"/>
    <s v="CANADIAN WHISKIES"/>
    <x v="6"/>
    <n v="254529"/>
    <n v="3990895.2600001791"/>
    <n v="254213.33999999717"/>
    <n v="19488"/>
  </r>
  <r>
    <x v="0"/>
    <x v="2"/>
    <s v="FLAVORED RUM"/>
    <x v="0"/>
    <n v="50298"/>
    <n v="716094.24000000034"/>
    <n v="47034.369999999893"/>
    <n v="4965"/>
  </r>
  <r>
    <x v="0"/>
    <x v="2"/>
    <s v="IMPORTED CORDIALS &amp; LIQUEURSS"/>
    <x v="2"/>
    <n v="43602"/>
    <n v="928942.13000000024"/>
    <n v="30622.899999999849"/>
    <n v="4812"/>
  </r>
  <r>
    <x v="0"/>
    <x v="2"/>
    <s v="SCOTCH WHISKIES"/>
    <x v="6"/>
    <n v="19073"/>
    <n v="523714.53999999899"/>
    <n v="19960.14"/>
    <n v="2891"/>
  </r>
  <r>
    <x v="0"/>
    <x v="2"/>
    <s v="SPICED RUM"/>
    <x v="0"/>
    <n v="130859"/>
    <n v="2121668.3599999961"/>
    <n v="138341.48000000071"/>
    <n v="9498"/>
  </r>
  <r>
    <x v="0"/>
    <x v="2"/>
    <s v="STRAIGHT BOURBON WHISKIES"/>
    <x v="6"/>
    <n v="139911"/>
    <n v="2895192.8800000264"/>
    <n v="110774.93000000199"/>
    <n v="15297"/>
  </r>
  <r>
    <x v="0"/>
    <x v="2"/>
    <s v="TENNESSEE WHISKIES"/>
    <x v="6"/>
    <n v="58714"/>
    <n v="1393965.0300000154"/>
    <n v="46463.149999999827"/>
    <n v="5556"/>
  </r>
  <r>
    <x v="0"/>
    <x v="2"/>
    <s v="TEMPORARY &amp; SPECIALTY PACKAGES"/>
    <x v="3"/>
    <n v="52944"/>
    <n v="1364213.1099999938"/>
    <n v="36364.809999999277"/>
    <n v="7331"/>
  </r>
  <r>
    <x v="0"/>
    <x v="2"/>
    <s v="CORN WHISKIES"/>
    <x v="6"/>
    <n v="2428"/>
    <n v="88530.569999999963"/>
    <n v="1821"/>
    <n v="138"/>
  </r>
  <r>
    <x v="0"/>
    <x v="2"/>
    <s v="AMERICAN DRY GINS"/>
    <x v="4"/>
    <n v="37200"/>
    <n v="305724.85000000289"/>
    <n v="28308.699999999848"/>
    <n v="3615"/>
  </r>
  <r>
    <x v="0"/>
    <x v="2"/>
    <s v="AMERICAN SCHNAPPS"/>
    <x v="2"/>
    <n v="60509"/>
    <n v="503001.13999998925"/>
    <n v="40411.799999999908"/>
    <n v="6481"/>
  </r>
  <r>
    <x v="0"/>
    <x v="2"/>
    <s v="BLENDED WHISKIES"/>
    <x v="6"/>
    <n v="78621"/>
    <n v="959058.37000000058"/>
    <n v="67619.72000000035"/>
    <n v="8857"/>
  </r>
  <r>
    <x v="0"/>
    <x v="2"/>
    <s v="COCKTAILS/RTD"/>
    <x v="3"/>
    <n v="49900"/>
    <n v="541581.78999998036"/>
    <n v="63210.570000000014"/>
    <n v="6019"/>
  </r>
  <r>
    <x v="0"/>
    <x v="2"/>
    <s v="MIXTO TEQUILA"/>
    <x v="7"/>
    <n v="63525"/>
    <n v="915129.17999998643"/>
    <n v="56008.179999999993"/>
    <n v="4550"/>
  </r>
  <r>
    <x v="0"/>
    <x v="2"/>
    <s v="SINGLE MALT SCOTCH"/>
    <x v="6"/>
    <n v="7017"/>
    <n v="340514.4600000002"/>
    <n v="5403.8000000000011"/>
    <n v="1659"/>
  </r>
  <r>
    <x v="0"/>
    <x v="2"/>
    <s v="WHISKEY LIQUEUR"/>
    <x v="6"/>
    <n v="334003"/>
    <n v="2136168.0099999853"/>
    <n v="101039.98000000416"/>
    <n v="12075"/>
  </r>
  <r>
    <x v="0"/>
    <x v="2"/>
    <s v="100% AGAVE TEQUILA"/>
    <x v="7"/>
    <n v="64898"/>
    <n v="1906161.4899999853"/>
    <n v="49223.350000000013"/>
    <n v="6996"/>
  </r>
  <r>
    <x v="0"/>
    <x v="2"/>
    <s v="AMERICAN BRANDIES"/>
    <x v="1"/>
    <n v="66048"/>
    <n v="428762.66999999899"/>
    <n v="33838.999999999782"/>
    <n v="5363"/>
  </r>
  <r>
    <x v="0"/>
    <x v="2"/>
    <s v="AMERICAN CORDIALS &amp; LIQUEURSS"/>
    <x v="2"/>
    <n v="36747"/>
    <n v="347746.22000000509"/>
    <n v="18676.209999999497"/>
    <n v="5029"/>
  </r>
  <r>
    <x v="0"/>
    <x v="2"/>
    <s v="AMERICAN DISTILLED SPIRITS SPECIALTY"/>
    <x v="3"/>
    <n v="5589"/>
    <n v="108111.32999999951"/>
    <n v="4119.3500000000004"/>
    <n v="869"/>
  </r>
  <r>
    <x v="0"/>
    <x v="2"/>
    <s v="AMERICAN SLOE GINS"/>
    <x v="4"/>
    <n v="284"/>
    <n v="2308.920000000001"/>
    <n v="284"/>
    <n v="65"/>
  </r>
  <r>
    <x v="0"/>
    <x v="2"/>
    <s v="COFFEE LIQUEURS"/>
    <x v="2"/>
    <n v="8371"/>
    <n v="161193.450000001"/>
    <n v="7280.2000000000035"/>
    <n v="1040"/>
  </r>
  <r>
    <x v="0"/>
    <x v="2"/>
    <s v="CREAM LIQUEURS"/>
    <x v="2"/>
    <n v="35456"/>
    <n v="725895.31999999622"/>
    <n v="31302.259999999776"/>
    <n v="4373"/>
  </r>
  <r>
    <x v="0"/>
    <x v="2"/>
    <s v="FLAVORED GIN"/>
    <x v="4"/>
    <n v="1139"/>
    <n v="23874.660000000007"/>
    <n v="841.64999999999986"/>
    <n v="152"/>
  </r>
  <r>
    <x v="0"/>
    <x v="2"/>
    <s v="GOLD RUM"/>
    <x v="0"/>
    <n v="6956"/>
    <n v="86852.609999999666"/>
    <n v="7520.1200000000035"/>
    <n v="1095"/>
  </r>
  <r>
    <x v="0"/>
    <x v="2"/>
    <s v="IMPORTED BRANDIES"/>
    <x v="1"/>
    <n v="49674"/>
    <n v="1107390.0499999844"/>
    <n v="22118.429999999837"/>
    <n v="3890"/>
  </r>
  <r>
    <x v="0"/>
    <x v="2"/>
    <s v="IMPORTED DISTILLED SPIRITS SPECIALTY"/>
    <x v="3"/>
    <n v="33191"/>
    <n v="261624.47999999986"/>
    <n v="32867.24"/>
    <n v="373"/>
  </r>
  <r>
    <x v="0"/>
    <x v="2"/>
    <s v="IMPORTED DRY GINS"/>
    <x v="4"/>
    <n v="20712"/>
    <n v="505102.51000000024"/>
    <n v="19671.220000000012"/>
    <n v="2169"/>
  </r>
  <r>
    <x v="0"/>
    <x v="2"/>
    <s v="IMPORTED FLAVORED VODKA"/>
    <x v="5"/>
    <n v="29358"/>
    <n v="486830.83000000112"/>
    <n v="24077.359999999979"/>
    <n v="3528"/>
  </r>
  <r>
    <x v="0"/>
    <x v="2"/>
    <s v="IMPORTED SCHNAPPS"/>
    <x v="2"/>
    <n v="32558"/>
    <n v="546757.79999999842"/>
    <n v="28682.579999999754"/>
    <n v="3258"/>
  </r>
  <r>
    <x v="0"/>
    <x v="2"/>
    <s v="IMPORTED VODKAS"/>
    <x v="5"/>
    <n v="74874"/>
    <n v="1217616.7199999811"/>
    <n v="64701.400000000496"/>
    <n v="5382"/>
  </r>
  <r>
    <x v="0"/>
    <x v="2"/>
    <s v="IRISH WHISKIES"/>
    <x v="6"/>
    <n v="26820"/>
    <n v="712024.70999999647"/>
    <n v="23516.469999999998"/>
    <n v="2404"/>
  </r>
  <r>
    <x v="0"/>
    <x v="2"/>
    <s v="NEUTRAL GRAIN SPIRITS FLAVORED"/>
    <x v="3"/>
    <n v="8371"/>
    <n v="135550.08999999985"/>
    <n v="4746.6500000000096"/>
    <n v="1557"/>
  </r>
  <r>
    <x v="0"/>
    <x v="2"/>
    <s v="STRAIGHT RYE WHISKIES"/>
    <x v="6"/>
    <n v="12233"/>
    <n v="386647.43000000151"/>
    <n v="9168.41"/>
    <n v="1771"/>
  </r>
  <r>
    <x v="0"/>
    <x v="2"/>
    <s v="TRIPLE SEC"/>
    <x v="3"/>
    <n v="17339"/>
    <n v="69658.019999999888"/>
    <n v="17086.5"/>
    <n v="701"/>
  </r>
  <r>
    <x v="0"/>
    <x v="2"/>
    <s v="WHITE RUM"/>
    <x v="0"/>
    <n v="48397"/>
    <n v="523115.29999999417"/>
    <n v="47714.669999999969"/>
    <n v="4442"/>
  </r>
  <r>
    <x v="0"/>
    <x v="2"/>
    <s v="NEUTRAL GRAIN SPIRITS"/>
    <x v="3"/>
    <n v="4534"/>
    <n v="63499.279999999984"/>
    <n v="3597.5"/>
    <n v="461"/>
  </r>
  <r>
    <x v="0"/>
    <x v="2"/>
    <s v="AGED DARK RUM"/>
    <x v="0"/>
    <n v="3945"/>
    <n v="81092.600000000035"/>
    <n v="3178"/>
    <n v="636"/>
  </r>
  <r>
    <x v="0"/>
    <x v="2"/>
    <s v="BOTTLED IN BOND BOURBON"/>
    <x v="6"/>
    <n v="1964"/>
    <n v="48063.590000000004"/>
    <n v="1507"/>
    <n v="297"/>
  </r>
  <r>
    <x v="0"/>
    <x v="2"/>
    <s v="SINGLE BARREL BOURBON WHISKIES"/>
    <x v="6"/>
    <n v="1522"/>
    <n v="51986.219999999921"/>
    <n v="1147.5"/>
    <n v="196"/>
  </r>
  <r>
    <x v="0"/>
    <x v="2"/>
    <s v="MEZCAL"/>
    <x v="7"/>
    <n v="1173"/>
    <n v="40643.999999999993"/>
    <n v="879.75"/>
    <n v="208"/>
  </r>
  <r>
    <x v="0"/>
    <x v="2"/>
    <s v="SPECIAL ORDER ITEMS"/>
    <x v="3"/>
    <n v="12855"/>
    <n v="157619.88000000003"/>
    <n v="21425.57"/>
    <n v="115"/>
  </r>
  <r>
    <x v="0"/>
    <x v="2"/>
    <s v="DISTILLED SPIRITS SPECIALTY"/>
    <x v="3"/>
    <n v="47"/>
    <n v="1645"/>
    <n v="35.25"/>
    <n v="12"/>
  </r>
  <r>
    <x v="0"/>
    <x v="2"/>
    <s v="IMPORTED GINS"/>
    <x v="4"/>
    <n v="24"/>
    <n v="531.12"/>
    <n v="18"/>
    <n v="2"/>
  </r>
  <r>
    <x v="0"/>
    <x v="2"/>
    <s v="AMERICAN WHISKIES"/>
    <x v="6"/>
    <n v="66"/>
    <n v="1881"/>
    <n v="49.5"/>
    <n v="1"/>
  </r>
  <r>
    <x v="0"/>
    <x v="2"/>
    <s v="IMPORTED WHISKIES"/>
    <x v="6"/>
    <n v="6"/>
    <n v="736.56"/>
    <n v="4.5"/>
    <n v="1"/>
  </r>
  <r>
    <x v="0"/>
    <x v="3"/>
    <s v="100% AGAVE TEQUILA"/>
    <x v="7"/>
    <n v="71285"/>
    <n v="2094589.2999999765"/>
    <n v="50237.80000000009"/>
    <n v="7774"/>
  </r>
  <r>
    <x v="0"/>
    <x v="3"/>
    <s v="AMERICAN CORDIALS &amp; LIQUEURSS"/>
    <x v="2"/>
    <n v="38105"/>
    <n v="339221.55000000435"/>
    <n v="18964.099999999657"/>
    <n v="5150"/>
  </r>
  <r>
    <x v="0"/>
    <x v="3"/>
    <s v="AMERICAN FLAVORED VODKA"/>
    <x v="5"/>
    <n v="78260"/>
    <n v="827463.77000003308"/>
    <n v="54793.69000000017"/>
    <n v="9178"/>
  </r>
  <r>
    <x v="0"/>
    <x v="3"/>
    <s v="AMERICAN SLOE GINS"/>
    <x v="4"/>
    <n v="341"/>
    <n v="2772.3300000000008"/>
    <n v="341"/>
    <n v="61"/>
  </r>
  <r>
    <x v="0"/>
    <x v="3"/>
    <s v="AMERICAN VODKAS"/>
    <x v="5"/>
    <n v="508743"/>
    <n v="5091568.369999636"/>
    <n v="460189.26999998116"/>
    <n v="31830"/>
  </r>
  <r>
    <x v="0"/>
    <x v="3"/>
    <s v="CANADIAN WHISKIES"/>
    <x v="6"/>
    <n v="284016"/>
    <n v="4324345.0100001935"/>
    <n v="279930.09999999555"/>
    <n v="19803"/>
  </r>
  <r>
    <x v="0"/>
    <x v="3"/>
    <s v="FLAVORED RUM"/>
    <x v="0"/>
    <n v="58965"/>
    <n v="821907.29000000027"/>
    <n v="52787.000000000022"/>
    <n v="5229"/>
  </r>
  <r>
    <x v="0"/>
    <x v="3"/>
    <s v="IMPORTED BRANDIES"/>
    <x v="1"/>
    <n v="66011"/>
    <n v="1289980.8899999743"/>
    <n v="25828.839999999702"/>
    <n v="4307"/>
  </r>
  <r>
    <x v="0"/>
    <x v="3"/>
    <s v="SPICED RUM"/>
    <x v="0"/>
    <n v="123003"/>
    <n v="1704371.6599999932"/>
    <n v="105733.68000000094"/>
    <n v="8855"/>
  </r>
  <r>
    <x v="0"/>
    <x v="3"/>
    <s v="STRAIGHT BOURBON WHISKIES"/>
    <x v="6"/>
    <n v="194677"/>
    <n v="4262052.7999999318"/>
    <n v="154138.74000000153"/>
    <n v="15162"/>
  </r>
  <r>
    <x v="0"/>
    <x v="3"/>
    <s v="TEMPORARY &amp; SPECIALTY PACKAGES"/>
    <x v="3"/>
    <n v="72407"/>
    <n v="1737168.2399999469"/>
    <n v="46944.62999999959"/>
    <n v="8699"/>
  </r>
  <r>
    <x v="0"/>
    <x v="3"/>
    <s v="WHISKEY LIQUEUR"/>
    <x v="6"/>
    <n v="363599"/>
    <n v="2232609.7299999972"/>
    <n v="111374.99000000341"/>
    <n v="11195"/>
  </r>
  <r>
    <x v="0"/>
    <x v="3"/>
    <s v="AMERICAN DISTILLED SPIRITS SPECIALTY"/>
    <x v="3"/>
    <n v="6922"/>
    <n v="127008.58999999957"/>
    <n v="4201.1000000000004"/>
    <n v="860"/>
  </r>
  <r>
    <x v="0"/>
    <x v="3"/>
    <s v="BLENDED WHISKIES"/>
    <x v="6"/>
    <n v="77204"/>
    <n v="1004929.2099999984"/>
    <n v="65010.270000000492"/>
    <n v="8759"/>
  </r>
  <r>
    <x v="0"/>
    <x v="3"/>
    <s v="COCKTAILS/RTD"/>
    <x v="3"/>
    <n v="45696"/>
    <n v="522516.87999999058"/>
    <n v="63987.370000000061"/>
    <n v="5632"/>
  </r>
  <r>
    <x v="0"/>
    <x v="3"/>
    <s v="CREAM LIQUEURS"/>
    <x v="2"/>
    <n v="53771"/>
    <n v="1043486.1599999997"/>
    <n v="48682.380000000092"/>
    <n v="4582"/>
  </r>
  <r>
    <x v="0"/>
    <x v="3"/>
    <s v="GOLD RUM"/>
    <x v="0"/>
    <n v="7591"/>
    <n v="98340.049999999683"/>
    <n v="8353.9800000000068"/>
    <n v="1061"/>
  </r>
  <r>
    <x v="0"/>
    <x v="3"/>
    <s v="IMPORTED CORDIALS &amp; LIQUEURSS"/>
    <x v="2"/>
    <n v="45588"/>
    <n v="1000190.220000002"/>
    <n v="30013.219999999801"/>
    <n v="5133"/>
  </r>
  <r>
    <x v="0"/>
    <x v="3"/>
    <s v="IMPORTED VODKAS"/>
    <x v="5"/>
    <n v="68175"/>
    <n v="1216092.3099999574"/>
    <n v="70101.240000000354"/>
    <n v="5034"/>
  </r>
  <r>
    <x v="0"/>
    <x v="3"/>
    <s v="MIXTO TEQUILA"/>
    <x v="7"/>
    <n v="64826"/>
    <n v="920397.67999998445"/>
    <n v="53134.910000000062"/>
    <n v="4380"/>
  </r>
  <r>
    <x v="0"/>
    <x v="3"/>
    <s v="NEUTRAL GRAIN SPIRITS FLAVORED"/>
    <x v="3"/>
    <n v="9725"/>
    <n v="155382.22"/>
    <n v="5910.5499999999984"/>
    <n v="1386"/>
  </r>
  <r>
    <x v="0"/>
    <x v="3"/>
    <s v="SCOTCH WHISKIES"/>
    <x v="6"/>
    <n v="17491"/>
    <n v="474401.69999999832"/>
    <n v="18191.459999999995"/>
    <n v="2800"/>
  </r>
  <r>
    <x v="0"/>
    <x v="3"/>
    <s v="TENNESSEE WHISKIES"/>
    <x v="6"/>
    <n v="54982"/>
    <n v="1158525.7699999851"/>
    <n v="35811.029999999446"/>
    <n v="5515"/>
  </r>
  <r>
    <x v="0"/>
    <x v="3"/>
    <s v="WHITE RUM"/>
    <x v="0"/>
    <n v="48467"/>
    <n v="557476.22999999893"/>
    <n v="50257.690000000097"/>
    <n v="4082"/>
  </r>
  <r>
    <x v="0"/>
    <x v="3"/>
    <s v="AMERICAN DRY GINS"/>
    <x v="4"/>
    <n v="29880"/>
    <n v="292517.94000000216"/>
    <n v="26924.759999999875"/>
    <n v="3214"/>
  </r>
  <r>
    <x v="0"/>
    <x v="3"/>
    <s v="IMPORTED SCHNAPPS"/>
    <x v="2"/>
    <n v="30533"/>
    <n v="512712.48999999871"/>
    <n v="26998.389999999737"/>
    <n v="3350"/>
  </r>
  <r>
    <x v="0"/>
    <x v="3"/>
    <s v="AMERICAN BRANDIES"/>
    <x v="1"/>
    <n v="61422"/>
    <n v="411798.18999999878"/>
    <n v="32841.219999999616"/>
    <n v="5537"/>
  </r>
  <r>
    <x v="0"/>
    <x v="3"/>
    <s v="IMPORTED DRY GINS"/>
    <x v="4"/>
    <n v="18601"/>
    <n v="435740.27000000037"/>
    <n v="17036.660000000014"/>
    <n v="2137"/>
  </r>
  <r>
    <x v="0"/>
    <x v="3"/>
    <s v="IMPORTED FLAVORED VODKA"/>
    <x v="5"/>
    <n v="25365"/>
    <n v="414507.53000000265"/>
    <n v="19636.930000000011"/>
    <n v="2788"/>
  </r>
  <r>
    <x v="0"/>
    <x v="3"/>
    <s v="AMERICAN SCHNAPPS"/>
    <x v="2"/>
    <n v="68674"/>
    <n v="575952.44999998901"/>
    <n v="45227.2400000001"/>
    <n v="6889"/>
  </r>
  <r>
    <x v="0"/>
    <x v="3"/>
    <s v="STRAIGHT RYE WHISKIES"/>
    <x v="6"/>
    <n v="13751"/>
    <n v="446822.82000000292"/>
    <n v="10308.929999999998"/>
    <n v="1963"/>
  </r>
  <r>
    <x v="0"/>
    <x v="3"/>
    <s v="COFFEE LIQUEURS"/>
    <x v="2"/>
    <n v="9642"/>
    <n v="187355.27999999965"/>
    <n v="8220.950000000008"/>
    <n v="795"/>
  </r>
  <r>
    <x v="0"/>
    <x v="3"/>
    <s v="IRISH WHISKIES"/>
    <x v="6"/>
    <n v="29093"/>
    <n v="777008.61999998987"/>
    <n v="25686.199999999917"/>
    <n v="1841"/>
  </r>
  <r>
    <x v="0"/>
    <x v="3"/>
    <s v="NEUTRAL GRAIN SPIRITS"/>
    <x v="3"/>
    <n v="4974"/>
    <n v="68947.070000000007"/>
    <n v="3940.5"/>
    <n v="529"/>
  </r>
  <r>
    <x v="0"/>
    <x v="3"/>
    <s v="BOTTLED IN BOND BOURBON"/>
    <x v="6"/>
    <n v="1834"/>
    <n v="45690.679999999993"/>
    <n v="1499.5"/>
    <n v="376"/>
  </r>
  <r>
    <x v="0"/>
    <x v="3"/>
    <s v="CORN WHISKIES"/>
    <x v="6"/>
    <n v="771"/>
    <n v="19962.75"/>
    <n v="577.54999999999995"/>
    <n v="146"/>
  </r>
  <r>
    <x v="0"/>
    <x v="3"/>
    <s v="SINGLE MALT SCOTCH"/>
    <x v="6"/>
    <n v="7121"/>
    <n v="334504.1199999993"/>
    <n v="5303.85"/>
    <n v="1363"/>
  </r>
  <r>
    <x v="0"/>
    <x v="3"/>
    <s v="TRIPLE SEC"/>
    <x v="3"/>
    <n v="15662"/>
    <n v="63189.439999999908"/>
    <n v="15472.25"/>
    <n v="598"/>
  </r>
  <r>
    <x v="0"/>
    <x v="3"/>
    <s v="AGED DARK RUM"/>
    <x v="0"/>
    <n v="4040"/>
    <n v="82238.440000000061"/>
    <n v="3286.25"/>
    <n v="636"/>
  </r>
  <r>
    <x v="0"/>
    <x v="3"/>
    <s v="MEZCAL"/>
    <x v="7"/>
    <n v="1442"/>
    <n v="47308.389999999948"/>
    <n v="1081.5"/>
    <n v="204"/>
  </r>
  <r>
    <x v="0"/>
    <x v="3"/>
    <s v="IMPORTED DISTILLED SPIRITS SPECIALTY"/>
    <x v="3"/>
    <n v="16351"/>
    <n v="137657.49000000005"/>
    <n v="15964.100000000002"/>
    <n v="314"/>
  </r>
  <r>
    <x v="0"/>
    <x v="3"/>
    <s v="FLAVORED GIN"/>
    <x v="4"/>
    <n v="2016"/>
    <n v="41253.839999999982"/>
    <n v="1468.7999999999997"/>
    <n v="226"/>
  </r>
  <r>
    <x v="0"/>
    <x v="3"/>
    <s v="SINGLE BARREL BOURBON WHISKIES"/>
    <x v="6"/>
    <n v="3112"/>
    <n v="102948.94000000025"/>
    <n v="2334"/>
    <n v="396"/>
  </r>
  <r>
    <x v="0"/>
    <x v="3"/>
    <s v="DISTILLED SPIRITS SPECIALTY"/>
    <x v="3"/>
    <n v="50"/>
    <n v="1750"/>
    <n v="37.5"/>
    <n v="15"/>
  </r>
  <r>
    <x v="0"/>
    <x v="3"/>
    <s v="SPECIAL ORDER ITEMS"/>
    <x v="3"/>
    <n v="5321"/>
    <n v="78361.09"/>
    <n v="8369.85"/>
    <n v="85"/>
  </r>
  <r>
    <x v="0"/>
    <x v="3"/>
    <s v="IMPORTED WHISKIES"/>
    <x v="6"/>
    <n v="6"/>
    <n v="736.56"/>
    <n v="4.5"/>
    <n v="1"/>
  </r>
  <r>
    <x v="0"/>
    <x v="4"/>
    <s v="100% AGAVE TEQUILA"/>
    <x v="7"/>
    <n v="75418"/>
    <n v="2314629.6599999815"/>
    <n v="59792.030000000304"/>
    <n v="7787"/>
  </r>
  <r>
    <x v="0"/>
    <x v="4"/>
    <s v="AMERICAN SCHNAPPS"/>
    <x v="2"/>
    <n v="66738"/>
    <n v="528279.11999999126"/>
    <n v="42141.889999999992"/>
    <n v="7183"/>
  </r>
  <r>
    <x v="0"/>
    <x v="4"/>
    <s v="AMERICAN VODKAS"/>
    <x v="5"/>
    <n v="544179"/>
    <n v="5906357.6699994206"/>
    <n v="525360.71999997785"/>
    <n v="33096"/>
  </r>
  <r>
    <x v="0"/>
    <x v="4"/>
    <s v="COCKTAILS/RTD"/>
    <x v="3"/>
    <n v="41308"/>
    <n v="471699.08999998076"/>
    <n v="53045.280000000093"/>
    <n v="5572"/>
  </r>
  <r>
    <x v="0"/>
    <x v="4"/>
    <s v="IMPORTED CORDIALS &amp; LIQUEURSS"/>
    <x v="2"/>
    <n v="45383"/>
    <n v="974226.6300000014"/>
    <n v="31035.139999999778"/>
    <n v="5233"/>
  </r>
  <r>
    <x v="0"/>
    <x v="4"/>
    <s v="IMPORTED DISTILLED SPIRITS SPECIALTY"/>
    <x v="3"/>
    <n v="29903"/>
    <n v="239637.34000000014"/>
    <n v="29175.609999999997"/>
    <n v="351"/>
  </r>
  <r>
    <x v="0"/>
    <x v="4"/>
    <s v="IMPORTED DRY GINS"/>
    <x v="4"/>
    <n v="18070"/>
    <n v="451751.53000000009"/>
    <n v="17578.270000000008"/>
    <n v="2037"/>
  </r>
  <r>
    <x v="0"/>
    <x v="4"/>
    <s v="MEZCAL"/>
    <x v="7"/>
    <n v="1345"/>
    <n v="49635.129999999954"/>
    <n v="1008.75"/>
    <n v="192"/>
  </r>
  <r>
    <x v="0"/>
    <x v="4"/>
    <s v="SCOTCH WHISKIES"/>
    <x v="6"/>
    <n v="19968"/>
    <n v="552777.01"/>
    <n v="21514.399999999994"/>
    <n v="3018"/>
  </r>
  <r>
    <x v="0"/>
    <x v="4"/>
    <s v="SPICED RUM"/>
    <x v="0"/>
    <n v="155813"/>
    <n v="2752803.9400000293"/>
    <n v="177493.82000000036"/>
    <n v="9113"/>
  </r>
  <r>
    <x v="0"/>
    <x v="4"/>
    <s v="STRAIGHT BOURBON WHISKIES"/>
    <x v="6"/>
    <n v="136902"/>
    <n v="2885867.7299999837"/>
    <n v="106670.45000000231"/>
    <n v="15856"/>
  </r>
  <r>
    <x v="0"/>
    <x v="4"/>
    <s v="TEMPORARY &amp; SPECIALTY PACKAGES"/>
    <x v="3"/>
    <n v="69788"/>
    <n v="1494681.53999996"/>
    <n v="52130.380000000085"/>
    <n v="9610"/>
  </r>
  <r>
    <x v="0"/>
    <x v="4"/>
    <s v="AMERICAN BRANDIES"/>
    <x v="1"/>
    <n v="73585"/>
    <n v="491566.34999999846"/>
    <n v="39390.439999999981"/>
    <n v="6355"/>
  </r>
  <r>
    <x v="0"/>
    <x v="4"/>
    <s v="AMERICAN CORDIALS &amp; LIQUEURSS"/>
    <x v="2"/>
    <n v="42532"/>
    <n v="367178.27000000596"/>
    <n v="21319.759999999485"/>
    <n v="5706"/>
  </r>
  <r>
    <x v="0"/>
    <x v="4"/>
    <s v="AMERICAN FLAVORED VODKA"/>
    <x v="5"/>
    <n v="78251"/>
    <n v="818885.810000033"/>
    <n v="55260.000000000291"/>
    <n v="9391"/>
  </r>
  <r>
    <x v="0"/>
    <x v="4"/>
    <s v="BLENDED WHISKIES"/>
    <x v="6"/>
    <n v="84153"/>
    <n v="1090456.3900000046"/>
    <n v="71618.620000000563"/>
    <n v="9560"/>
  </r>
  <r>
    <x v="0"/>
    <x v="4"/>
    <s v="CANADIAN WHISKIES"/>
    <x v="6"/>
    <n v="236148"/>
    <n v="3570346.0600002334"/>
    <n v="214992.92999999828"/>
    <n v="20808"/>
  </r>
  <r>
    <x v="0"/>
    <x v="4"/>
    <s v="CREAM LIQUEURS"/>
    <x v="2"/>
    <n v="52697"/>
    <n v="1108627.0199999986"/>
    <n v="45518.86"/>
    <n v="5409"/>
  </r>
  <r>
    <x v="0"/>
    <x v="4"/>
    <s v="MIXTO TEQUILA"/>
    <x v="7"/>
    <n v="54137"/>
    <n v="738750.87999998662"/>
    <n v="44293.970000000118"/>
    <n v="4263"/>
  </r>
  <r>
    <x v="0"/>
    <x v="4"/>
    <s v="NEUTRAL GRAIN SPIRITS FLAVORED"/>
    <x v="3"/>
    <n v="8373"/>
    <n v="133986.06999999986"/>
    <n v="5072.9500000000062"/>
    <n v="1573"/>
  </r>
  <r>
    <x v="0"/>
    <x v="4"/>
    <s v="TENNESSEE WHISKIES"/>
    <x v="6"/>
    <n v="59445"/>
    <n v="1324447.1499999911"/>
    <n v="41940.869999999617"/>
    <n v="5805"/>
  </r>
  <r>
    <x v="0"/>
    <x v="4"/>
    <s v="WHISKEY LIQUEUR"/>
    <x v="6"/>
    <n v="304073"/>
    <n v="2162802.4599999851"/>
    <n v="96758.230000003299"/>
    <n v="12253"/>
  </r>
  <r>
    <x v="0"/>
    <x v="4"/>
    <s v="WHITE RUM"/>
    <x v="0"/>
    <n v="44498"/>
    <n v="546279.81999999855"/>
    <n v="50307.339999999982"/>
    <n v="4127"/>
  </r>
  <r>
    <x v="0"/>
    <x v="4"/>
    <s v="STRAIGHT RYE WHISKIES"/>
    <x v="6"/>
    <n v="13611"/>
    <n v="469944.6800000057"/>
    <n v="10234.960000000003"/>
    <n v="2277"/>
  </r>
  <r>
    <x v="0"/>
    <x v="4"/>
    <s v="SINGLE MALT SCOTCH"/>
    <x v="6"/>
    <n v="11089"/>
    <n v="501288.20000000088"/>
    <n v="8790.85"/>
    <n v="1971"/>
  </r>
  <r>
    <x v="0"/>
    <x v="4"/>
    <s v="AGED DARK RUM"/>
    <x v="0"/>
    <n v="4311"/>
    <n v="91537.890000000029"/>
    <n v="3492"/>
    <n v="746"/>
  </r>
  <r>
    <x v="0"/>
    <x v="4"/>
    <s v="AMERICAN DISTILLED SPIRITS SPECIALTY"/>
    <x v="3"/>
    <n v="9198"/>
    <n v="171759.24999999849"/>
    <n v="5392.6000000000022"/>
    <n v="959"/>
  </r>
  <r>
    <x v="0"/>
    <x v="4"/>
    <s v="AMERICAN DRY GINS"/>
    <x v="4"/>
    <n v="30346"/>
    <n v="284329.55000000127"/>
    <n v="25524.539999999874"/>
    <n v="3285"/>
  </r>
  <r>
    <x v="0"/>
    <x v="4"/>
    <s v="COFFEE LIQUEURS"/>
    <x v="2"/>
    <n v="13945"/>
    <n v="257182.98000000167"/>
    <n v="11488.400000000016"/>
    <n v="1416"/>
  </r>
  <r>
    <x v="0"/>
    <x v="4"/>
    <s v="FLAVORED GIN"/>
    <x v="4"/>
    <n v="1409"/>
    <n v="28279.700000000008"/>
    <n v="1013.55"/>
    <n v="211"/>
  </r>
  <r>
    <x v="0"/>
    <x v="4"/>
    <s v="FLAVORED RUM"/>
    <x v="0"/>
    <n v="43796"/>
    <n v="610364.80999999843"/>
    <n v="39107.889999999883"/>
    <n v="4960"/>
  </r>
  <r>
    <x v="0"/>
    <x v="4"/>
    <s v="GOLD RUM"/>
    <x v="0"/>
    <n v="7566"/>
    <n v="96907.999999999724"/>
    <n v="8470.7600000000093"/>
    <n v="1160"/>
  </r>
  <r>
    <x v="0"/>
    <x v="4"/>
    <s v="IMPORTED BRANDIES"/>
    <x v="1"/>
    <n v="40185"/>
    <n v="938380.29999999306"/>
    <n v="19203.959999999817"/>
    <n v="3424"/>
  </r>
  <r>
    <x v="0"/>
    <x v="4"/>
    <s v="IMPORTED FLAVORED VODKA"/>
    <x v="5"/>
    <n v="28084"/>
    <n v="473896.7100000006"/>
    <n v="21851.989999999976"/>
    <n v="3306"/>
  </r>
  <r>
    <x v="0"/>
    <x v="4"/>
    <s v="IMPORTED SCHNAPPS"/>
    <x v="2"/>
    <n v="36046"/>
    <n v="603687.22999999381"/>
    <n v="31836.869999999592"/>
    <n v="3549"/>
  </r>
  <r>
    <x v="0"/>
    <x v="4"/>
    <s v="IMPORTED VODKAS"/>
    <x v="5"/>
    <n v="70726"/>
    <n v="1275239.6099999547"/>
    <n v="71151.99000000018"/>
    <n v="5104"/>
  </r>
  <r>
    <x v="0"/>
    <x v="4"/>
    <s v="IRISH WHISKIES"/>
    <x v="6"/>
    <n v="29804"/>
    <n v="748805.08999998902"/>
    <n v="24340.739999999918"/>
    <n v="2741"/>
  </r>
  <r>
    <x v="0"/>
    <x v="4"/>
    <s v="NEUTRAL GRAIN SPIRITS"/>
    <x v="3"/>
    <n v="5627"/>
    <n v="77617.470000000016"/>
    <n v="4497.25"/>
    <n v="603"/>
  </r>
  <r>
    <x v="0"/>
    <x v="4"/>
    <s v="TRIPLE SEC"/>
    <x v="3"/>
    <n v="15419"/>
    <n v="62053.959999999963"/>
    <n v="15187"/>
    <n v="627"/>
  </r>
  <r>
    <x v="0"/>
    <x v="4"/>
    <s v="BOTTLED IN BOND BOURBON"/>
    <x v="6"/>
    <n v="2628"/>
    <n v="71638.84000000004"/>
    <n v="2251"/>
    <n v="398"/>
  </r>
  <r>
    <x v="0"/>
    <x v="4"/>
    <s v="SPECIAL ORDER ITEMS"/>
    <x v="3"/>
    <n v="8850"/>
    <n v="124884.04999999999"/>
    <n v="13599"/>
    <n v="102"/>
  </r>
  <r>
    <x v="0"/>
    <x v="4"/>
    <s v="CORN WHISKIES"/>
    <x v="6"/>
    <n v="955"/>
    <n v="24835.85"/>
    <n v="711.35"/>
    <n v="147"/>
  </r>
  <r>
    <x v="0"/>
    <x v="4"/>
    <s v="SINGLE BARREL BOURBON WHISKIES"/>
    <x v="6"/>
    <n v="2926"/>
    <n v="115013.55999999796"/>
    <n v="2194.5"/>
    <n v="829"/>
  </r>
  <r>
    <x v="0"/>
    <x v="4"/>
    <s v="AMERICAN SLOE GINS"/>
    <x v="4"/>
    <n v="327"/>
    <n v="2658.510000000002"/>
    <n v="327"/>
    <n v="65"/>
  </r>
  <r>
    <x v="0"/>
    <x v="4"/>
    <s v="DISTILLED SPIRITS SPECIALTY"/>
    <x v="3"/>
    <n v="44"/>
    <n v="1540"/>
    <n v="33"/>
    <n v="8"/>
  </r>
  <r>
    <x v="0"/>
    <x v="4"/>
    <s v="IMPORTED WHISKIES"/>
    <x v="6"/>
    <n v="6"/>
    <n v="459"/>
    <n v="4.5"/>
    <n v="1"/>
  </r>
  <r>
    <x v="0"/>
    <x v="5"/>
    <s v="SPICED RUM"/>
    <x v="0"/>
    <n v="161597"/>
    <n v="2611176.8000000189"/>
    <n v="165796.95000000045"/>
    <n v="11456"/>
  </r>
  <r>
    <x v="0"/>
    <x v="5"/>
    <s v="TEMPORARY &amp; SPECIALTY PACKAGES"/>
    <x v="3"/>
    <n v="45989"/>
    <n v="1049177.9799999883"/>
    <n v="35482.349999999773"/>
    <n v="6464"/>
  </r>
  <r>
    <x v="0"/>
    <x v="5"/>
    <s v="AMERICAN BRANDIES"/>
    <x v="1"/>
    <n v="74887"/>
    <n v="521855.99000000104"/>
    <n v="42052.870000000112"/>
    <n v="7138"/>
  </r>
  <r>
    <x v="0"/>
    <x v="5"/>
    <s v="AMERICAN FLAVORED VODKA"/>
    <x v="5"/>
    <n v="86135"/>
    <n v="900172.69000004802"/>
    <n v="59827.670000000486"/>
    <n v="10659"/>
  </r>
  <r>
    <x v="0"/>
    <x v="5"/>
    <s v="AMERICAN VODKAS"/>
    <x v="5"/>
    <n v="529237"/>
    <n v="5023405.7899997151"/>
    <n v="469122.64999997534"/>
    <n v="35854"/>
  </r>
  <r>
    <x v="0"/>
    <x v="5"/>
    <s v="BLENDED WHISKIES"/>
    <x v="6"/>
    <n v="99853"/>
    <n v="1396079.650000006"/>
    <n v="81695.480000001116"/>
    <n v="11067"/>
  </r>
  <r>
    <x v="0"/>
    <x v="5"/>
    <s v="CANADIAN WHISKIES"/>
    <x v="6"/>
    <n v="313442"/>
    <n v="4898185.46000027"/>
    <n v="321640.04999999382"/>
    <n v="23635"/>
  </r>
  <r>
    <x v="0"/>
    <x v="5"/>
    <s v="COFFEE LIQUEURS"/>
    <x v="2"/>
    <n v="17322"/>
    <n v="328135.10000000143"/>
    <n v="14466.839999999998"/>
    <n v="1629"/>
  </r>
  <r>
    <x v="0"/>
    <x v="5"/>
    <s v="CREAM LIQUEURS"/>
    <x v="2"/>
    <n v="64331"/>
    <n v="1424808.1699999725"/>
    <n v="57962.370000000054"/>
    <n v="7247"/>
  </r>
  <r>
    <x v="0"/>
    <x v="5"/>
    <s v="IMPORTED SCHNAPPS"/>
    <x v="2"/>
    <n v="34028"/>
    <n v="573696.22999999567"/>
    <n v="29650.759999999678"/>
    <n v="3746"/>
  </r>
  <r>
    <x v="0"/>
    <x v="5"/>
    <s v="IMPORTED VODKAS"/>
    <x v="5"/>
    <n v="72943"/>
    <n v="1282123.499999936"/>
    <n v="69839.420000000377"/>
    <n v="6525"/>
  </r>
  <r>
    <x v="0"/>
    <x v="5"/>
    <s v="NEUTRAL GRAIN SPIRITS"/>
    <x v="3"/>
    <n v="6702"/>
    <n v="93579.979999999952"/>
    <n v="5319.5"/>
    <n v="659"/>
  </r>
  <r>
    <x v="0"/>
    <x v="5"/>
    <s v="SCOTCH WHISKIES"/>
    <x v="6"/>
    <n v="24230"/>
    <n v="722231.38999999699"/>
    <n v="24936.609999999986"/>
    <n v="3533"/>
  </r>
  <r>
    <x v="0"/>
    <x v="5"/>
    <s v="STRAIGHT BOURBON WHISKIES"/>
    <x v="6"/>
    <n v="164061"/>
    <n v="3511270.499999979"/>
    <n v="130601.96000000254"/>
    <n v="19340"/>
  </r>
  <r>
    <x v="0"/>
    <x v="5"/>
    <s v="TENNESSEE WHISKIES"/>
    <x v="6"/>
    <n v="88674"/>
    <n v="1989019.4500000137"/>
    <n v="63466.59000000076"/>
    <n v="8545"/>
  </r>
  <r>
    <x v="0"/>
    <x v="5"/>
    <s v="WHITE RUM"/>
    <x v="0"/>
    <n v="51496"/>
    <n v="599084.26000000373"/>
    <n v="53179.62000000001"/>
    <n v="4807"/>
  </r>
  <r>
    <x v="0"/>
    <x v="5"/>
    <s v="100% AGAVE TEQUILA"/>
    <x v="7"/>
    <n v="85124"/>
    <n v="2436362.4099999648"/>
    <n v="66729.300000000178"/>
    <n v="9009"/>
  </r>
  <r>
    <x v="0"/>
    <x v="5"/>
    <s v="IMPORTED FLAVORED VODKA"/>
    <x v="5"/>
    <n v="32633"/>
    <n v="522421.06999999983"/>
    <n v="24815.679999999938"/>
    <n v="3751"/>
  </r>
  <r>
    <x v="0"/>
    <x v="5"/>
    <s v="WHISKEY LIQUEUR"/>
    <x v="6"/>
    <n v="367020"/>
    <n v="2260483.8799999659"/>
    <n v="105619.06000000463"/>
    <n v="13215"/>
  </r>
  <r>
    <x v="0"/>
    <x v="5"/>
    <s v="AMERICAN DISTILLED SPIRITS SPECIALTY"/>
    <x v="3"/>
    <n v="8624"/>
    <n v="163360.86999999869"/>
    <n v="6365.7000000000025"/>
    <n v="1231"/>
  </r>
  <r>
    <x v="0"/>
    <x v="5"/>
    <s v="AMERICAN SCHNAPPS"/>
    <x v="2"/>
    <n v="71411"/>
    <n v="559075.24999999022"/>
    <n v="44834.449999999924"/>
    <n v="8157"/>
  </r>
  <r>
    <x v="0"/>
    <x v="5"/>
    <s v="COCKTAILS/RTD"/>
    <x v="3"/>
    <n v="67180"/>
    <n v="782869.02000003634"/>
    <n v="91819.580000000045"/>
    <n v="7262"/>
  </r>
  <r>
    <x v="0"/>
    <x v="5"/>
    <s v="FLAVORED RUM"/>
    <x v="0"/>
    <n v="51212"/>
    <n v="704929.54999999783"/>
    <n v="45218.789999999957"/>
    <n v="5672"/>
  </r>
  <r>
    <x v="0"/>
    <x v="5"/>
    <s v="IMPORTED CORDIALS &amp; LIQUEURSS"/>
    <x v="2"/>
    <n v="52197"/>
    <n v="1100138.9199999983"/>
    <n v="36223.949999999895"/>
    <n v="6150"/>
  </r>
  <r>
    <x v="0"/>
    <x v="5"/>
    <s v="IMPORTED DRY GINS"/>
    <x v="4"/>
    <n v="19881"/>
    <n v="482893.70999999996"/>
    <n v="18488.160000000007"/>
    <n v="2650"/>
  </r>
  <r>
    <x v="0"/>
    <x v="5"/>
    <s v="AMERICAN CORDIALS &amp; LIQUEURSS"/>
    <x v="2"/>
    <n v="50657"/>
    <n v="448773.31000001018"/>
    <n v="28014.629999999193"/>
    <n v="6948"/>
  </r>
  <r>
    <x v="0"/>
    <x v="5"/>
    <s v="AMERICAN DRY GINS"/>
    <x v="4"/>
    <n v="35819"/>
    <n v="347724.05000000447"/>
    <n v="32515.839999999822"/>
    <n v="3403"/>
  </r>
  <r>
    <x v="0"/>
    <x v="5"/>
    <s v="BOTTLED IN BOND BOURBON"/>
    <x v="6"/>
    <n v="2877"/>
    <n v="77483.800000000032"/>
    <n v="2449.75"/>
    <n v="577"/>
  </r>
  <r>
    <x v="0"/>
    <x v="5"/>
    <s v="CORN WHISKIES"/>
    <x v="6"/>
    <n v="1847"/>
    <n v="57145.76999999999"/>
    <n v="1383.1499999999999"/>
    <n v="213"/>
  </r>
  <r>
    <x v="0"/>
    <x v="5"/>
    <s v="GOLD RUM"/>
    <x v="0"/>
    <n v="9079"/>
    <n v="120940.27999999952"/>
    <n v="10256.350000000006"/>
    <n v="1309"/>
  </r>
  <r>
    <x v="0"/>
    <x v="5"/>
    <s v="IMPORTED DISTILLED SPIRITS SPECIALTY"/>
    <x v="3"/>
    <n v="18916"/>
    <n v="157131.24000000011"/>
    <n v="18249.32"/>
    <n v="384"/>
  </r>
  <r>
    <x v="0"/>
    <x v="5"/>
    <s v="IRISH WHISKIES"/>
    <x v="6"/>
    <n v="36428"/>
    <n v="918712.82999998587"/>
    <n v="30365.629999999892"/>
    <n v="3247"/>
  </r>
  <r>
    <x v="0"/>
    <x v="5"/>
    <s v="MIXTO TEQUILA"/>
    <x v="7"/>
    <n v="76089"/>
    <n v="985238.68999996711"/>
    <n v="54940.330000000235"/>
    <n v="5265"/>
  </r>
  <r>
    <x v="0"/>
    <x v="5"/>
    <s v="NEUTRAL GRAIN SPIRITS FLAVORED"/>
    <x v="3"/>
    <n v="12332"/>
    <n v="199200.40000000017"/>
    <n v="7652.9999999999973"/>
    <n v="2108"/>
  </r>
  <r>
    <x v="0"/>
    <x v="5"/>
    <s v="SINGLE BARREL BOURBON WHISKIES"/>
    <x v="6"/>
    <n v="4594"/>
    <n v="144746.04000000012"/>
    <n v="3445.5"/>
    <n v="367"/>
  </r>
  <r>
    <x v="0"/>
    <x v="5"/>
    <s v="SINGLE MALT SCOTCH"/>
    <x v="6"/>
    <n v="9764"/>
    <n v="437011.76999999949"/>
    <n v="7382.6500000000024"/>
    <n v="2062"/>
  </r>
  <r>
    <x v="0"/>
    <x v="5"/>
    <s v="STRAIGHT RYE WHISKIES"/>
    <x v="6"/>
    <n v="18845"/>
    <n v="599486.58000000753"/>
    <n v="14085.96000000001"/>
    <n v="2820"/>
  </r>
  <r>
    <x v="0"/>
    <x v="5"/>
    <s v="TRIPLE SEC"/>
    <x v="3"/>
    <n v="15936"/>
    <n v="65159.889999999868"/>
    <n v="15575"/>
    <n v="685"/>
  </r>
  <r>
    <x v="0"/>
    <x v="5"/>
    <s v="IMPORTED BRANDIES"/>
    <x v="1"/>
    <n v="63559"/>
    <n v="1450158.9099999487"/>
    <n v="30350.049999999726"/>
    <n v="5014"/>
  </r>
  <r>
    <x v="0"/>
    <x v="5"/>
    <s v="AGED DARK RUM"/>
    <x v="0"/>
    <n v="5512"/>
    <n v="119661.3900000002"/>
    <n v="4461.25"/>
    <n v="955"/>
  </r>
  <r>
    <x v="0"/>
    <x v="5"/>
    <s v="MEZCAL"/>
    <x v="7"/>
    <n v="1108"/>
    <n v="35387.939999999973"/>
    <n v="831"/>
    <n v="225"/>
  </r>
  <r>
    <x v="0"/>
    <x v="5"/>
    <s v="FLAVORED GIN"/>
    <x v="4"/>
    <n v="2031"/>
    <n v="42505.68"/>
    <n v="1480.0499999999993"/>
    <n v="250"/>
  </r>
  <r>
    <x v="0"/>
    <x v="5"/>
    <s v="AMERICAN SLOE GINS"/>
    <x v="4"/>
    <n v="457"/>
    <n v="3715.4100000000012"/>
    <n v="457"/>
    <n v="104"/>
  </r>
  <r>
    <x v="0"/>
    <x v="5"/>
    <s v="DISTILLED SPIRITS SPECIALTY"/>
    <x v="3"/>
    <n v="84"/>
    <n v="2940"/>
    <n v="63"/>
    <n v="22"/>
  </r>
  <r>
    <x v="0"/>
    <x v="5"/>
    <s v="SPECIAL ORDER ITEMS"/>
    <x v="3"/>
    <n v="10666"/>
    <n v="139512.09999999992"/>
    <n v="17052.96"/>
    <n v="158"/>
  </r>
  <r>
    <x v="0"/>
    <x v="5"/>
    <s v="IMPORTED GINS"/>
    <x v="4"/>
    <n v="72"/>
    <n v="1593.3600000000001"/>
    <n v="54"/>
    <n v="2"/>
  </r>
  <r>
    <x v="0"/>
    <x v="6"/>
    <s v="100% AGAVE TEQUILA"/>
    <x v="7"/>
    <n v="46078"/>
    <n v="1365404.699999989"/>
    <n v="33273.859999999884"/>
    <n v="6168"/>
  </r>
  <r>
    <x v="0"/>
    <x v="6"/>
    <s v="AMERICAN BRANDIES"/>
    <x v="1"/>
    <n v="83123"/>
    <n v="530337.6199999986"/>
    <n v="41818.270000000011"/>
    <n v="6016"/>
  </r>
  <r>
    <x v="0"/>
    <x v="6"/>
    <s v="AMERICAN CORDIALS &amp; LIQUEURSS"/>
    <x v="2"/>
    <n v="37529"/>
    <n v="318766.44000000414"/>
    <n v="19821.359999999593"/>
    <n v="5118"/>
  </r>
  <r>
    <x v="0"/>
    <x v="6"/>
    <s v="AMERICAN FLAVORED VODKA"/>
    <x v="5"/>
    <n v="73388"/>
    <n v="784759.62000002526"/>
    <n v="54290.690000000039"/>
    <n v="8938"/>
  </r>
  <r>
    <x v="0"/>
    <x v="6"/>
    <s v="AMERICAN SCHNAPPS"/>
    <x v="2"/>
    <n v="59445"/>
    <n v="491419.13999999122"/>
    <n v="40576.209999999737"/>
    <n v="6845"/>
  </r>
  <r>
    <x v="0"/>
    <x v="6"/>
    <s v="AMERICAN VODKAS"/>
    <x v="5"/>
    <n v="421088"/>
    <n v="3920867.6099999854"/>
    <n v="388550.56999998755"/>
    <n v="28668"/>
  </r>
  <r>
    <x v="0"/>
    <x v="6"/>
    <s v="BLENDED WHISKIES"/>
    <x v="6"/>
    <n v="79000"/>
    <n v="969435.49999999464"/>
    <n v="68453.060000000318"/>
    <n v="9043"/>
  </r>
  <r>
    <x v="0"/>
    <x v="6"/>
    <s v="CANADIAN WHISKIES"/>
    <x v="6"/>
    <n v="227740"/>
    <n v="3217363.6600001408"/>
    <n v="215325.61999999775"/>
    <n v="19529"/>
  </r>
  <r>
    <x v="0"/>
    <x v="6"/>
    <s v="COCKTAILS/RTD"/>
    <x v="3"/>
    <n v="45037"/>
    <n v="469308.01999998704"/>
    <n v="63748.000000000058"/>
    <n v="5881"/>
  </r>
  <r>
    <x v="0"/>
    <x v="6"/>
    <s v="CREAM LIQUEURS"/>
    <x v="2"/>
    <n v="35351"/>
    <n v="707582.30999999563"/>
    <n v="31764.789999999728"/>
    <n v="4568"/>
  </r>
  <r>
    <x v="0"/>
    <x v="6"/>
    <s v="IMPORTED CORDIALS &amp; LIQUEURSS"/>
    <x v="2"/>
    <n v="35475"/>
    <n v="757389.39999999804"/>
    <n v="25626.559999999936"/>
    <n v="4520"/>
  </r>
  <r>
    <x v="0"/>
    <x v="6"/>
    <s v="IMPORTED DISTILLED SPIRITS SPECIALTY"/>
    <x v="3"/>
    <n v="18253"/>
    <n v="144700.10000000015"/>
    <n v="18054.22"/>
    <n v="285"/>
  </r>
  <r>
    <x v="0"/>
    <x v="6"/>
    <s v="IMPORTED VODKAS"/>
    <x v="5"/>
    <n v="55184"/>
    <n v="971283.83999999485"/>
    <n v="58511.580000000453"/>
    <n v="5825"/>
  </r>
  <r>
    <x v="0"/>
    <x v="6"/>
    <s v="MIXTO TEQUILA"/>
    <x v="7"/>
    <n v="50468"/>
    <n v="667200.8399999924"/>
    <n v="40002.169999999845"/>
    <n v="4098"/>
  </r>
  <r>
    <x v="0"/>
    <x v="6"/>
    <s v="NEUTRAL GRAIN SPIRITS FLAVORED"/>
    <x v="3"/>
    <n v="6913"/>
    <n v="109646.9399999998"/>
    <n v="4405.6500000000015"/>
    <n v="1107"/>
  </r>
  <r>
    <x v="0"/>
    <x v="6"/>
    <s v="SCOTCH WHISKIES"/>
    <x v="6"/>
    <n v="17219"/>
    <n v="452044.42000000004"/>
    <n v="19198.169999999984"/>
    <n v="2966"/>
  </r>
  <r>
    <x v="0"/>
    <x v="6"/>
    <s v="SPICED RUM"/>
    <x v="0"/>
    <n v="104168"/>
    <n v="1511027.6399999843"/>
    <n v="98166.500000000509"/>
    <n v="8768"/>
  </r>
  <r>
    <x v="0"/>
    <x v="6"/>
    <s v="STRAIGHT BOURBON WHISKIES"/>
    <x v="6"/>
    <n v="114039"/>
    <n v="2195457.1599999918"/>
    <n v="90607.090000001088"/>
    <n v="13699"/>
  </r>
  <r>
    <x v="0"/>
    <x v="6"/>
    <s v="TEMPORARY &amp; SPECIALTY PACKAGES"/>
    <x v="3"/>
    <n v="16611"/>
    <n v="421904.4000000002"/>
    <n v="14815.410000000003"/>
    <n v="2338"/>
  </r>
  <r>
    <x v="0"/>
    <x v="6"/>
    <s v="TENNESSEE WHISKIES"/>
    <x v="6"/>
    <n v="48297"/>
    <n v="1002819.9499999774"/>
    <n v="33585.359999999542"/>
    <n v="5634"/>
  </r>
  <r>
    <x v="0"/>
    <x v="6"/>
    <s v="WHISKEY LIQUEUR"/>
    <x v="6"/>
    <n v="285478"/>
    <n v="1711431.359999995"/>
    <n v="83223.600000002261"/>
    <n v="10695"/>
  </r>
  <r>
    <x v="0"/>
    <x v="6"/>
    <s v="WHITE RUM"/>
    <x v="0"/>
    <n v="39037"/>
    <n v="441554.46999999613"/>
    <n v="40967.009999999995"/>
    <n v="4094"/>
  </r>
  <r>
    <x v="0"/>
    <x v="6"/>
    <s v="AMERICAN DRY GINS"/>
    <x v="4"/>
    <n v="34967"/>
    <n v="299168.94000000134"/>
    <n v="29230.439999999871"/>
    <n v="3190"/>
  </r>
  <r>
    <x v="0"/>
    <x v="6"/>
    <s v="COFFEE LIQUEURS"/>
    <x v="2"/>
    <n v="11153"/>
    <n v="212397.40000000192"/>
    <n v="9301.1400000000067"/>
    <n v="1410"/>
  </r>
  <r>
    <x v="0"/>
    <x v="6"/>
    <s v="FLAVORED RUM"/>
    <x v="0"/>
    <n v="42577"/>
    <n v="595655.4000000041"/>
    <n v="38609.529999999962"/>
    <n v="4572"/>
  </r>
  <r>
    <x v="0"/>
    <x v="6"/>
    <s v="IMPORTED BRANDIES"/>
    <x v="1"/>
    <n v="56236"/>
    <n v="1140798.0499999812"/>
    <n v="23544.179999999938"/>
    <n v="2675"/>
  </r>
  <r>
    <x v="0"/>
    <x v="6"/>
    <s v="IMPORTED FLAVORED VODKA"/>
    <x v="5"/>
    <n v="21826"/>
    <n v="367519.22000000236"/>
    <n v="16790.470000000016"/>
    <n v="3235"/>
  </r>
  <r>
    <x v="0"/>
    <x v="6"/>
    <s v="IMPORTED SCHNAPPS"/>
    <x v="2"/>
    <n v="32912"/>
    <n v="560309.6199999972"/>
    <n v="29362.209999999723"/>
    <n v="3450"/>
  </r>
  <r>
    <x v="0"/>
    <x v="6"/>
    <s v="IRISH WHISKIES"/>
    <x v="6"/>
    <n v="26767"/>
    <n v="675307.22999999789"/>
    <n v="21660.339999999989"/>
    <n v="2781"/>
  </r>
  <r>
    <x v="0"/>
    <x v="6"/>
    <s v="NEUTRAL GRAIN SPIRITS"/>
    <x v="3"/>
    <n v="3607"/>
    <n v="44234.599999999984"/>
    <n v="2806.85"/>
    <n v="393"/>
  </r>
  <r>
    <x v="0"/>
    <x v="6"/>
    <s v="AGED DARK RUM"/>
    <x v="0"/>
    <n v="3981"/>
    <n v="80305.8400000002"/>
    <n v="3236.75"/>
    <n v="696"/>
  </r>
  <r>
    <x v="0"/>
    <x v="6"/>
    <s v="AMERICAN DISTILLED SPIRITS SPECIALTY"/>
    <x v="3"/>
    <n v="4944"/>
    <n v="98628.099999999933"/>
    <n v="3631.0000000000009"/>
    <n v="687"/>
  </r>
  <r>
    <x v="0"/>
    <x v="6"/>
    <s v="AMERICAN SLOE GINS"/>
    <x v="4"/>
    <n v="241"/>
    <n v="1959.3300000000013"/>
    <n v="241"/>
    <n v="80"/>
  </r>
  <r>
    <x v="0"/>
    <x v="6"/>
    <s v="BOTTLED IN BOND BOURBON"/>
    <x v="6"/>
    <n v="1421"/>
    <n v="30257.209999999981"/>
    <n v="1131.75"/>
    <n v="209"/>
  </r>
  <r>
    <x v="0"/>
    <x v="6"/>
    <s v="CORN WHISKIES"/>
    <x v="6"/>
    <n v="326"/>
    <n v="8927.89"/>
    <n v="244.5"/>
    <n v="65"/>
  </r>
  <r>
    <x v="0"/>
    <x v="6"/>
    <s v="GOLD RUM"/>
    <x v="0"/>
    <n v="6692"/>
    <n v="84707.269999999728"/>
    <n v="7677.1400000000049"/>
    <n v="1058"/>
  </r>
  <r>
    <x v="0"/>
    <x v="6"/>
    <s v="IMPORTED DRY GINS"/>
    <x v="4"/>
    <n v="12969"/>
    <n v="307539.77000000025"/>
    <n v="12004.560000000016"/>
    <n v="1915"/>
  </r>
  <r>
    <x v="0"/>
    <x v="6"/>
    <s v="SINGLE MALT SCOTCH"/>
    <x v="6"/>
    <n v="6298"/>
    <n v="328590.51999999984"/>
    <n v="4941.75"/>
    <n v="1709"/>
  </r>
  <r>
    <x v="0"/>
    <x v="6"/>
    <s v="SPECIAL ORDER ITEMS"/>
    <x v="3"/>
    <n v="8841"/>
    <n v="157793.21999999997"/>
    <n v="10242.950000000001"/>
    <n v="526"/>
  </r>
  <r>
    <x v="0"/>
    <x v="6"/>
    <s v="STRAIGHT RYE WHISKIES"/>
    <x v="6"/>
    <n v="9619"/>
    <n v="308632.82000000117"/>
    <n v="7316.15"/>
    <n v="1701"/>
  </r>
  <r>
    <x v="0"/>
    <x v="6"/>
    <s v="TRIPLE SEC"/>
    <x v="3"/>
    <n v="14208"/>
    <n v="56269.789999999957"/>
    <n v="13970"/>
    <n v="709"/>
  </r>
  <r>
    <x v="0"/>
    <x v="6"/>
    <s v="FLAVORED GIN"/>
    <x v="4"/>
    <n v="1229"/>
    <n v="19608.339999999975"/>
    <n v="900.75"/>
    <n v="157"/>
  </r>
  <r>
    <x v="0"/>
    <x v="6"/>
    <s v="SINGLE BARREL BOURBON WHISKIES"/>
    <x v="6"/>
    <n v="2949"/>
    <n v="104185.81999999993"/>
    <n v="2211.75"/>
    <n v="292"/>
  </r>
  <r>
    <x v="0"/>
    <x v="6"/>
    <s v="MEZCAL"/>
    <x v="7"/>
    <n v="633"/>
    <n v="18918.339999999997"/>
    <n v="475.75"/>
    <n v="137"/>
  </r>
  <r>
    <x v="0"/>
    <x v="6"/>
    <s v="DISTILLED SPIRITS SPECIALTY"/>
    <x v="3"/>
    <n v="64"/>
    <n v="2240"/>
    <n v="48"/>
    <n v="17"/>
  </r>
  <r>
    <x v="0"/>
    <x v="7"/>
    <s v="100% AGAVE TEQUILA"/>
    <x v="7"/>
    <n v="52093"/>
    <n v="1431381.3699999962"/>
    <n v="37114.07999999998"/>
    <n v="6103"/>
  </r>
  <r>
    <x v="0"/>
    <x v="7"/>
    <s v="AMERICAN BRANDIES"/>
    <x v="1"/>
    <n v="67009"/>
    <n v="423535.19999999966"/>
    <n v="33792.709999999715"/>
    <n v="5421"/>
  </r>
  <r>
    <x v="0"/>
    <x v="7"/>
    <s v="AMERICAN CORDIALS &amp; LIQUEURSS"/>
    <x v="2"/>
    <n v="33828"/>
    <n v="278838.02000000182"/>
    <n v="17915.319999999756"/>
    <n v="4360"/>
  </r>
  <r>
    <x v="0"/>
    <x v="7"/>
    <s v="AMERICAN FLAVORED VODKA"/>
    <x v="5"/>
    <n v="66146"/>
    <n v="705495.37000002246"/>
    <n v="48678.560000000121"/>
    <n v="8024"/>
  </r>
  <r>
    <x v="0"/>
    <x v="7"/>
    <s v="AMERICAN SCHNAPPS"/>
    <x v="2"/>
    <n v="57247"/>
    <n v="478959.41999998753"/>
    <n v="39513.669999999838"/>
    <n v="6437"/>
  </r>
  <r>
    <x v="0"/>
    <x v="7"/>
    <s v="AMERICAN VODKAS"/>
    <x v="5"/>
    <n v="421895"/>
    <n v="4157310.7000000044"/>
    <n v="406822.98999998713"/>
    <n v="27784"/>
  </r>
  <r>
    <x v="0"/>
    <x v="7"/>
    <s v="BLENDED WHISKIES"/>
    <x v="6"/>
    <n v="72719"/>
    <n v="925470.67000000144"/>
    <n v="63776.320000000371"/>
    <n v="8441"/>
  </r>
  <r>
    <x v="0"/>
    <x v="7"/>
    <s v="CANADIAN WHISKIES"/>
    <x v="6"/>
    <n v="280838"/>
    <n v="4369127.180000226"/>
    <n v="283516.05999999662"/>
    <n v="21514"/>
  </r>
  <r>
    <x v="0"/>
    <x v="7"/>
    <s v="COCKTAILS/RTD"/>
    <x v="3"/>
    <n v="49502"/>
    <n v="493549.50999997213"/>
    <n v="64389.779999999948"/>
    <n v="5637"/>
  </r>
  <r>
    <x v="0"/>
    <x v="7"/>
    <s v="CREAM LIQUEURS"/>
    <x v="2"/>
    <n v="31740"/>
    <n v="651353.44999999739"/>
    <n v="24873.969999999761"/>
    <n v="4328"/>
  </r>
  <r>
    <x v="0"/>
    <x v="7"/>
    <s v="IMPORTED CORDIALS &amp; LIQUEURSS"/>
    <x v="2"/>
    <n v="36716"/>
    <n v="782162.48999999883"/>
    <n v="24978.029999999864"/>
    <n v="4339"/>
  </r>
  <r>
    <x v="0"/>
    <x v="7"/>
    <s v="IMPORTED FLAVORED VODKA"/>
    <x v="5"/>
    <n v="22054"/>
    <n v="369152.83000000252"/>
    <n v="17023.920000000013"/>
    <n v="2908"/>
  </r>
  <r>
    <x v="0"/>
    <x v="7"/>
    <s v="IMPORTED SCHNAPPS"/>
    <x v="2"/>
    <n v="27410"/>
    <n v="462207.90999999898"/>
    <n v="24324.42999999984"/>
    <n v="2904"/>
  </r>
  <r>
    <x v="0"/>
    <x v="7"/>
    <s v="IMPORTED VODKAS"/>
    <x v="5"/>
    <n v="57486"/>
    <n v="986017.67999999435"/>
    <n v="60728.300000000541"/>
    <n v="5676"/>
  </r>
  <r>
    <x v="0"/>
    <x v="7"/>
    <s v="IRISH WHISKIES"/>
    <x v="6"/>
    <n v="34454"/>
    <n v="851916.73999999219"/>
    <n v="27562.199999999924"/>
    <n v="2616"/>
  </r>
  <r>
    <x v="0"/>
    <x v="7"/>
    <s v="SCOTCH WHISKIES"/>
    <x v="6"/>
    <n v="14292"/>
    <n v="358409.21000000089"/>
    <n v="15186.769999999997"/>
    <n v="2767"/>
  </r>
  <r>
    <x v="0"/>
    <x v="7"/>
    <s v="SPICED RUM"/>
    <x v="0"/>
    <n v="102298"/>
    <n v="1450313.1499999976"/>
    <n v="93760.720000000496"/>
    <n v="8714"/>
  </r>
  <r>
    <x v="0"/>
    <x v="7"/>
    <s v="STRAIGHT BOURBON WHISKIES"/>
    <x v="6"/>
    <n v="117733"/>
    <n v="2319961.0500000003"/>
    <n v="94938.63000000114"/>
    <n v="13973"/>
  </r>
  <r>
    <x v="0"/>
    <x v="7"/>
    <s v="TENNESSEE WHISKIES"/>
    <x v="6"/>
    <n v="53961"/>
    <n v="1206158.3999999969"/>
    <n v="39096.43999999974"/>
    <n v="5551"/>
  </r>
  <r>
    <x v="0"/>
    <x v="7"/>
    <s v="WHISKEY LIQUEUR"/>
    <x v="6"/>
    <n v="281666"/>
    <n v="1666448.689999996"/>
    <n v="80037.000000002052"/>
    <n v="10367"/>
  </r>
  <r>
    <x v="0"/>
    <x v="7"/>
    <s v="AMERICAN DRY GINS"/>
    <x v="4"/>
    <n v="32535"/>
    <n v="275149.78000000038"/>
    <n v="27526.409999999891"/>
    <n v="2896"/>
  </r>
  <r>
    <x v="0"/>
    <x v="7"/>
    <s v="COFFEE LIQUEURS"/>
    <x v="2"/>
    <n v="7955"/>
    <n v="148163.6400000008"/>
    <n v="6929.23"/>
    <n v="895"/>
  </r>
  <r>
    <x v="0"/>
    <x v="7"/>
    <s v="IMPORTED DRY GINS"/>
    <x v="4"/>
    <n v="12993"/>
    <n v="321141.62000000058"/>
    <n v="12691.410000000005"/>
    <n v="1852"/>
  </r>
  <r>
    <x v="0"/>
    <x v="7"/>
    <s v="SINGLE BARREL BOURBON WHISKIES"/>
    <x v="6"/>
    <n v="1689"/>
    <n v="52066.900000000242"/>
    <n v="1266.75"/>
    <n v="459"/>
  </r>
  <r>
    <x v="0"/>
    <x v="7"/>
    <s v="STRAIGHT RYE WHISKIES"/>
    <x v="6"/>
    <n v="9976"/>
    <n v="319830.93000000104"/>
    <n v="7541.7699999999995"/>
    <n v="1822"/>
  </r>
  <r>
    <x v="0"/>
    <x v="7"/>
    <s v="TEMPORARY &amp; SPECIALTY PACKAGES"/>
    <x v="3"/>
    <n v="7804"/>
    <n v="145181.81999999972"/>
    <n v="3601.07"/>
    <n v="844"/>
  </r>
  <r>
    <x v="0"/>
    <x v="7"/>
    <s v="WHITE RUM"/>
    <x v="0"/>
    <n v="40204"/>
    <n v="461342.40999999683"/>
    <n v="42796.189999999995"/>
    <n v="3913"/>
  </r>
  <r>
    <x v="0"/>
    <x v="7"/>
    <s v="AMERICAN DISTILLED SPIRITS SPECIALTY"/>
    <x v="3"/>
    <n v="4419"/>
    <n v="86629.400000000169"/>
    <n v="3326.0500000000006"/>
    <n v="630"/>
  </r>
  <r>
    <x v="0"/>
    <x v="7"/>
    <s v="FLAVORED RUM"/>
    <x v="0"/>
    <n v="40872"/>
    <n v="573521.59000000299"/>
    <n v="37291.029999999977"/>
    <n v="4268"/>
  </r>
  <r>
    <x v="0"/>
    <x v="7"/>
    <s v="AGED DARK RUM"/>
    <x v="0"/>
    <n v="3780"/>
    <n v="79576.640000000174"/>
    <n v="3080.95"/>
    <n v="668"/>
  </r>
  <r>
    <x v="0"/>
    <x v="7"/>
    <s v="AMERICAN SLOE GINS"/>
    <x v="4"/>
    <n v="234"/>
    <n v="1902.4200000000012"/>
    <n v="234"/>
    <n v="62"/>
  </r>
  <r>
    <x v="0"/>
    <x v="7"/>
    <s v="IMPORTED BRANDIES"/>
    <x v="1"/>
    <n v="60224"/>
    <n v="1041950.8200000096"/>
    <n v="21603.239999999823"/>
    <n v="3580"/>
  </r>
  <r>
    <x v="0"/>
    <x v="7"/>
    <s v="MIXTO TEQUILA"/>
    <x v="7"/>
    <n v="55491"/>
    <n v="733318.50999998953"/>
    <n v="44377.209999999963"/>
    <n v="4009"/>
  </r>
  <r>
    <x v="0"/>
    <x v="7"/>
    <s v="NEUTRAL GRAIN SPIRITS FLAVORED"/>
    <x v="3"/>
    <n v="4852"/>
    <n v="77597.17"/>
    <n v="3072.7000000000003"/>
    <n v="890"/>
  </r>
  <r>
    <x v="0"/>
    <x v="7"/>
    <s v="SINGLE MALT SCOTCH"/>
    <x v="6"/>
    <n v="6199"/>
    <n v="302092.9500000003"/>
    <n v="4748.25"/>
    <n v="1608"/>
  </r>
  <r>
    <x v="0"/>
    <x v="7"/>
    <s v="SPECIAL ORDER ITEMS"/>
    <x v="3"/>
    <n v="8326"/>
    <n v="136310.98000000004"/>
    <n v="10754.329999999996"/>
    <n v="497"/>
  </r>
  <r>
    <x v="0"/>
    <x v="7"/>
    <s v="TRIPLE SEC"/>
    <x v="3"/>
    <n v="13116"/>
    <n v="52299.099999999977"/>
    <n v="12924"/>
    <n v="604"/>
  </r>
  <r>
    <x v="0"/>
    <x v="7"/>
    <s v="GOLD RUM"/>
    <x v="0"/>
    <n v="7634"/>
    <n v="98033.399999999689"/>
    <n v="8317.9300000000057"/>
    <n v="1016"/>
  </r>
  <r>
    <x v="0"/>
    <x v="7"/>
    <s v="IMPORTED DISTILLED SPIRITS SPECIALTY"/>
    <x v="3"/>
    <n v="15645"/>
    <n v="127121.71000000005"/>
    <n v="15363.49"/>
    <n v="282"/>
  </r>
  <r>
    <x v="0"/>
    <x v="7"/>
    <s v="NEUTRAL GRAIN SPIRITS"/>
    <x v="3"/>
    <n v="2869"/>
    <n v="36534.639999999985"/>
    <n v="2257.4899999999998"/>
    <n v="337"/>
  </r>
  <r>
    <x v="0"/>
    <x v="7"/>
    <s v="BOTTLED IN BOND BOURBON"/>
    <x v="6"/>
    <n v="2253"/>
    <n v="54114.390000000007"/>
    <n v="1788.75"/>
    <n v="300"/>
  </r>
  <r>
    <x v="0"/>
    <x v="7"/>
    <s v="MEZCAL"/>
    <x v="7"/>
    <n v="782"/>
    <n v="25385.489999999983"/>
    <n v="597.25"/>
    <n v="160"/>
  </r>
  <r>
    <x v="0"/>
    <x v="7"/>
    <s v="FLAVORED GIN"/>
    <x v="4"/>
    <n v="3465"/>
    <n v="71417.939999999886"/>
    <n v="2287.9499999999989"/>
    <n v="401"/>
  </r>
  <r>
    <x v="0"/>
    <x v="7"/>
    <s v="CORN WHISKIES"/>
    <x v="6"/>
    <n v="718"/>
    <n v="22914.420000000002"/>
    <n v="538.5"/>
    <n v="123"/>
  </r>
  <r>
    <x v="0"/>
    <x v="7"/>
    <s v="IMPORTED GINS"/>
    <x v="4"/>
    <n v="12"/>
    <n v="265.56"/>
    <n v="9"/>
    <n v="1"/>
  </r>
  <r>
    <x v="0"/>
    <x v="7"/>
    <s v="DISTILLED SPIRITS SPECIALTY"/>
    <x v="3"/>
    <n v="87"/>
    <n v="3045"/>
    <n v="65.25"/>
    <n v="19"/>
  </r>
  <r>
    <x v="0"/>
    <x v="7"/>
    <s v="IMPORTED WHISKIES"/>
    <x v="6"/>
    <n v="36"/>
    <n v="3127.68"/>
    <n v="27"/>
    <n v="6"/>
  </r>
  <r>
    <x v="0"/>
    <x v="8"/>
    <s v="AMERICAN BRANDIES"/>
    <x v="1"/>
    <n v="61001"/>
    <n v="416871.13000000047"/>
    <n v="33535.709999999672"/>
    <n v="5765"/>
  </r>
  <r>
    <x v="0"/>
    <x v="8"/>
    <s v="AMERICAN CORDIALS &amp; LIQUEURSS"/>
    <x v="2"/>
    <n v="43829"/>
    <n v="367350.52000000532"/>
    <n v="23286.39999999939"/>
    <n v="5888"/>
  </r>
  <r>
    <x v="0"/>
    <x v="8"/>
    <s v="AMERICAN FLAVORED VODKA"/>
    <x v="5"/>
    <n v="86618"/>
    <n v="917113.57000003639"/>
    <n v="63065.070000000349"/>
    <n v="10147"/>
  </r>
  <r>
    <x v="0"/>
    <x v="8"/>
    <s v="AMERICAN SCHNAPPS"/>
    <x v="2"/>
    <n v="70475"/>
    <n v="587768.81999998714"/>
    <n v="47596.500000000167"/>
    <n v="7372"/>
  </r>
  <r>
    <x v="0"/>
    <x v="8"/>
    <s v="AMERICAN VODKAS"/>
    <x v="5"/>
    <n v="512004"/>
    <n v="4858631.9999998147"/>
    <n v="468358.35999997961"/>
    <n v="33214"/>
  </r>
  <r>
    <x v="0"/>
    <x v="8"/>
    <s v="BLENDED WHISKIES"/>
    <x v="6"/>
    <n v="86277"/>
    <n v="1055597.2899999968"/>
    <n v="73879.700000000608"/>
    <n v="9786"/>
  </r>
  <r>
    <x v="0"/>
    <x v="8"/>
    <s v="BOTTLED IN BOND BOURBON"/>
    <x v="6"/>
    <n v="3252"/>
    <n v="75613.440000000031"/>
    <n v="2712"/>
    <n v="329"/>
  </r>
  <r>
    <x v="0"/>
    <x v="8"/>
    <s v="CANADIAN WHISKIES"/>
    <x v="6"/>
    <n v="269637"/>
    <n v="4241741.7700002836"/>
    <n v="241702.81999999625"/>
    <n v="23462"/>
  </r>
  <r>
    <x v="0"/>
    <x v="8"/>
    <s v="COCKTAILS/RTD"/>
    <x v="3"/>
    <n v="86098"/>
    <n v="856466.89999999339"/>
    <n v="117905.68999999968"/>
    <n v="7785"/>
  </r>
  <r>
    <x v="0"/>
    <x v="8"/>
    <s v="COFFEE LIQUEURS"/>
    <x v="2"/>
    <n v="8227"/>
    <n v="151893.47000000117"/>
    <n v="7033.9099999999953"/>
    <n v="1026"/>
  </r>
  <r>
    <x v="0"/>
    <x v="8"/>
    <s v="CORN WHISKIES"/>
    <x v="6"/>
    <n v="868"/>
    <n v="26716.429999999993"/>
    <n v="651"/>
    <n v="123"/>
  </r>
  <r>
    <x v="0"/>
    <x v="8"/>
    <s v="CREAM LIQUEURS"/>
    <x v="2"/>
    <n v="36051"/>
    <n v="712736.77999999747"/>
    <n v="29238.339999999625"/>
    <n v="4940"/>
  </r>
  <r>
    <x v="0"/>
    <x v="8"/>
    <s v="FLAVORED RUM"/>
    <x v="0"/>
    <n v="54112"/>
    <n v="749898.99000000383"/>
    <n v="48939.060000000005"/>
    <n v="5687"/>
  </r>
  <r>
    <x v="0"/>
    <x v="8"/>
    <s v="IMPORTED CORDIALS &amp; LIQUEURSS"/>
    <x v="2"/>
    <n v="47501"/>
    <n v="1010919.7799999948"/>
    <n v="33098.619999999792"/>
    <n v="5535"/>
  </r>
  <r>
    <x v="0"/>
    <x v="8"/>
    <s v="IMPORTED DRY GINS"/>
    <x v="4"/>
    <n v="18092"/>
    <n v="464124.89999999932"/>
    <n v="18445.91"/>
    <n v="2321"/>
  </r>
  <r>
    <x v="0"/>
    <x v="8"/>
    <s v="IMPORTED SCHNAPPS"/>
    <x v="2"/>
    <n v="31932"/>
    <n v="547988.16999999678"/>
    <n v="28681.579999999689"/>
    <n v="3455"/>
  </r>
  <r>
    <x v="0"/>
    <x v="8"/>
    <s v="IRISH WHISKIES"/>
    <x v="6"/>
    <n v="38343"/>
    <n v="972448.67999997584"/>
    <n v="31723.799999999785"/>
    <n v="3571"/>
  </r>
  <r>
    <x v="0"/>
    <x v="8"/>
    <s v="NEUTRAL GRAIN SPIRITS FLAVORED"/>
    <x v="3"/>
    <n v="6787"/>
    <n v="107438.64999999988"/>
    <n v="4194.2500000000091"/>
    <n v="1212"/>
  </r>
  <r>
    <x v="0"/>
    <x v="8"/>
    <s v="SPICED RUM"/>
    <x v="0"/>
    <n v="133537"/>
    <n v="2168623.77999999"/>
    <n v="141331.55000000098"/>
    <n v="9805"/>
  </r>
  <r>
    <x v="0"/>
    <x v="8"/>
    <s v="STRAIGHT BOURBON WHISKIES"/>
    <x v="6"/>
    <n v="152976"/>
    <n v="3080234.3700000439"/>
    <n v="124748.98000000227"/>
    <n v="16873"/>
  </r>
  <r>
    <x v="0"/>
    <x v="8"/>
    <s v="STRAIGHT RYE WHISKIES"/>
    <x v="6"/>
    <n v="15473"/>
    <n v="455481.16000000428"/>
    <n v="11743.87"/>
    <n v="1935"/>
  </r>
  <r>
    <x v="0"/>
    <x v="8"/>
    <s v="TEMPORARY &amp; SPECIALTY PACKAGES"/>
    <x v="3"/>
    <n v="22959"/>
    <n v="630847.16000000353"/>
    <n v="27154.499999999858"/>
    <n v="2753"/>
  </r>
  <r>
    <x v="0"/>
    <x v="8"/>
    <s v="TENNESSEE WHISKIES"/>
    <x v="6"/>
    <n v="67772"/>
    <n v="1506987.8400000355"/>
    <n v="49015.11000000011"/>
    <n v="6776"/>
  </r>
  <r>
    <x v="0"/>
    <x v="8"/>
    <s v="WHISKEY LIQUEUR"/>
    <x v="6"/>
    <n v="343229"/>
    <n v="2113961.7799999751"/>
    <n v="100170.68000000343"/>
    <n v="12489"/>
  </r>
  <r>
    <x v="0"/>
    <x v="8"/>
    <s v="IMPORTED DISTILLED SPIRITS SPECIALTY"/>
    <x v="3"/>
    <n v="21789"/>
    <n v="172867.42000000013"/>
    <n v="20931.349999999995"/>
    <n v="384"/>
  </r>
  <r>
    <x v="0"/>
    <x v="8"/>
    <s v="WHITE RUM"/>
    <x v="0"/>
    <n v="48229"/>
    <n v="533505.58999999717"/>
    <n v="50158.350000000079"/>
    <n v="4710"/>
  </r>
  <r>
    <x v="0"/>
    <x v="8"/>
    <s v="AMERICAN DISTILLED SPIRITS SPECIALTY"/>
    <x v="3"/>
    <n v="5760"/>
    <n v="106993.15"/>
    <n v="4231.1000000000004"/>
    <n v="816"/>
  </r>
  <r>
    <x v="0"/>
    <x v="8"/>
    <s v="AMERICAN DRY GINS"/>
    <x v="4"/>
    <n v="37047"/>
    <n v="291147.40000000212"/>
    <n v="28000.529999999933"/>
    <n v="3473"/>
  </r>
  <r>
    <x v="0"/>
    <x v="8"/>
    <s v="100% AGAVE TEQUILA"/>
    <x v="7"/>
    <n v="69238"/>
    <n v="1934969.47"/>
    <n v="48776.150000000074"/>
    <n v="7801"/>
  </r>
  <r>
    <x v="0"/>
    <x v="8"/>
    <s v="AGED DARK RUM"/>
    <x v="0"/>
    <n v="4380"/>
    <n v="86877.490000000107"/>
    <n v="3547.05"/>
    <n v="677"/>
  </r>
  <r>
    <x v="0"/>
    <x v="8"/>
    <s v="AMERICAN SLOE GINS"/>
    <x v="4"/>
    <n v="400"/>
    <n v="3252.0000000000014"/>
    <n v="400"/>
    <n v="92"/>
  </r>
  <r>
    <x v="0"/>
    <x v="8"/>
    <s v="GOLD RUM"/>
    <x v="0"/>
    <n v="7071"/>
    <n v="88594.979999999749"/>
    <n v="7887.2900000000054"/>
    <n v="1147"/>
  </r>
  <r>
    <x v="0"/>
    <x v="8"/>
    <s v="IMPORTED BRANDIES"/>
    <x v="1"/>
    <n v="72963"/>
    <n v="1601987.8599999147"/>
    <n v="33430.709999999694"/>
    <n v="5393"/>
  </r>
  <r>
    <x v="0"/>
    <x v="8"/>
    <s v="IMPORTED FLAVORED VODKA"/>
    <x v="5"/>
    <n v="30241"/>
    <n v="514171.20000000129"/>
    <n v="23542.72999999996"/>
    <n v="4083"/>
  </r>
  <r>
    <x v="0"/>
    <x v="8"/>
    <s v="IMPORTED VODKAS"/>
    <x v="5"/>
    <n v="63072"/>
    <n v="1187133.6999999722"/>
    <n v="62048.410000000637"/>
    <n v="6755"/>
  </r>
  <r>
    <x v="0"/>
    <x v="8"/>
    <s v="MIXTO TEQUILA"/>
    <x v="7"/>
    <n v="59782"/>
    <n v="788395.55999998411"/>
    <n v="49768.669999999875"/>
    <n v="4627"/>
  </r>
  <r>
    <x v="0"/>
    <x v="8"/>
    <s v="NEUTRAL GRAIN SPIRITS"/>
    <x v="3"/>
    <n v="3521"/>
    <n v="45170.83"/>
    <n v="2719.4699999999993"/>
    <n v="429"/>
  </r>
  <r>
    <x v="0"/>
    <x v="8"/>
    <s v="SCOTCH WHISKIES"/>
    <x v="6"/>
    <n v="16903"/>
    <n v="439232.23999999993"/>
    <n v="18250.650000000001"/>
    <n v="3085"/>
  </r>
  <r>
    <x v="0"/>
    <x v="8"/>
    <s v="SINGLE MALT SCOTCH"/>
    <x v="6"/>
    <n v="8535"/>
    <n v="406558.61999999877"/>
    <n v="6669.7000000000025"/>
    <n v="2081"/>
  </r>
  <r>
    <x v="0"/>
    <x v="8"/>
    <s v="SPECIAL ORDER ITEMS"/>
    <x v="3"/>
    <n v="11513"/>
    <n v="181123.48000000027"/>
    <n v="14540.529999999993"/>
    <n v="624"/>
  </r>
  <r>
    <x v="0"/>
    <x v="8"/>
    <s v="TRIPLE SEC"/>
    <x v="3"/>
    <n v="18831"/>
    <n v="74468.409999999814"/>
    <n v="18581.75"/>
    <n v="821"/>
  </r>
  <r>
    <x v="0"/>
    <x v="8"/>
    <s v="MEZCAL"/>
    <x v="7"/>
    <n v="1008"/>
    <n v="29924.199999999972"/>
    <n v="764"/>
    <n v="177"/>
  </r>
  <r>
    <x v="0"/>
    <x v="8"/>
    <s v="SINGLE BARREL BOURBON WHISKIES"/>
    <x v="6"/>
    <n v="1884"/>
    <n v="57221.360000000182"/>
    <n v="1413"/>
    <n v="288"/>
  </r>
  <r>
    <x v="0"/>
    <x v="8"/>
    <s v="FLAVORED GIN"/>
    <x v="4"/>
    <n v="1607"/>
    <n v="31235.960000000006"/>
    <n v="1111.4499999999996"/>
    <n v="258"/>
  </r>
  <r>
    <x v="0"/>
    <x v="8"/>
    <s v="DISTILLED SPIRITS SPECIALTY"/>
    <x v="3"/>
    <n v="65"/>
    <n v="2275"/>
    <n v="48.75"/>
    <n v="15"/>
  </r>
  <r>
    <x v="0"/>
    <x v="8"/>
    <s v="IMPORTED GINS"/>
    <x v="4"/>
    <n v="12"/>
    <n v="265.56"/>
    <n v="9"/>
    <n v="1"/>
  </r>
  <r>
    <x v="0"/>
    <x v="9"/>
    <s v="100% AGAVE TEQUILA"/>
    <x v="7"/>
    <n v="71428"/>
    <n v="1890620.4799999904"/>
    <n v="50691.290000000125"/>
    <n v="7161"/>
  </r>
  <r>
    <x v="0"/>
    <x v="9"/>
    <s v="AGED DARK RUM"/>
    <x v="0"/>
    <n v="4292"/>
    <n v="84947.080000000147"/>
    <n v="3490.2"/>
    <n v="717"/>
  </r>
  <r>
    <x v="0"/>
    <x v="9"/>
    <s v="AMERICAN BRANDIES"/>
    <x v="1"/>
    <n v="58892"/>
    <n v="399101.83000000025"/>
    <n v="31935.229999999639"/>
    <n v="5584"/>
  </r>
  <r>
    <x v="0"/>
    <x v="9"/>
    <s v="AMERICAN CORDIALS &amp; LIQUEURSS"/>
    <x v="2"/>
    <n v="42553"/>
    <n v="368532.74000000634"/>
    <n v="21426.739999999427"/>
    <n v="5728"/>
  </r>
  <r>
    <x v="0"/>
    <x v="9"/>
    <s v="AMERICAN DISTILLED SPIRITS SPECIALTY"/>
    <x v="3"/>
    <n v="6184"/>
    <n v="110197.9299999998"/>
    <n v="4604.350000000004"/>
    <n v="890"/>
  </r>
  <r>
    <x v="0"/>
    <x v="9"/>
    <s v="AMERICAN DRY GINS"/>
    <x v="4"/>
    <n v="43091"/>
    <n v="311998.23000000295"/>
    <n v="28115.399999999845"/>
    <n v="3871"/>
  </r>
  <r>
    <x v="0"/>
    <x v="9"/>
    <s v="AMERICAN FLAVORED VODKA"/>
    <x v="5"/>
    <n v="84408"/>
    <n v="915657.72000004328"/>
    <n v="61639.14000000037"/>
    <n v="10107"/>
  </r>
  <r>
    <x v="0"/>
    <x v="9"/>
    <s v="AMERICAN SCHNAPPS"/>
    <x v="2"/>
    <n v="72379"/>
    <n v="621752.82999998482"/>
    <n v="49968.730000000091"/>
    <n v="7106"/>
  </r>
  <r>
    <x v="0"/>
    <x v="9"/>
    <s v="AMERICAN SLOE GINS"/>
    <x v="4"/>
    <n v="257"/>
    <n v="2089.4100000000008"/>
    <n v="257"/>
    <n v="69"/>
  </r>
  <r>
    <x v="0"/>
    <x v="9"/>
    <s v="AMERICAN VODKAS"/>
    <x v="5"/>
    <n v="497228"/>
    <n v="4788326.5499997931"/>
    <n v="442450.00999998045"/>
    <n v="33252"/>
  </r>
  <r>
    <x v="0"/>
    <x v="9"/>
    <s v="BLENDED WHISKIES"/>
    <x v="6"/>
    <n v="85384"/>
    <n v="1076494.5799999973"/>
    <n v="72597.020000000426"/>
    <n v="9683"/>
  </r>
  <r>
    <x v="0"/>
    <x v="9"/>
    <s v="BOTTLED IN BOND BOURBON"/>
    <x v="6"/>
    <n v="1851"/>
    <n v="44665.99"/>
    <n v="1388.25"/>
    <n v="293"/>
  </r>
  <r>
    <x v="0"/>
    <x v="9"/>
    <s v="CANADIAN WHISKIES"/>
    <x v="6"/>
    <n v="250400"/>
    <n v="3702530.9900001292"/>
    <n v="224805.01999999653"/>
    <n v="21659"/>
  </r>
  <r>
    <x v="0"/>
    <x v="9"/>
    <s v="COCKTAILS/RTD"/>
    <x v="3"/>
    <n v="101079"/>
    <n v="1184475.7500000088"/>
    <n v="150566.59999999974"/>
    <n v="8014"/>
  </r>
  <r>
    <x v="0"/>
    <x v="9"/>
    <s v="COFFEE LIQUEURS"/>
    <x v="2"/>
    <n v="8135"/>
    <n v="146372.28000000081"/>
    <n v="6589.0100000000066"/>
    <n v="1102"/>
  </r>
  <r>
    <x v="0"/>
    <x v="9"/>
    <s v="CORN WHISKIES"/>
    <x v="6"/>
    <n v="1182"/>
    <n v="47316.26"/>
    <n v="886.5"/>
    <n v="100"/>
  </r>
  <r>
    <x v="0"/>
    <x v="9"/>
    <s v="CREAM LIQUEURS"/>
    <x v="2"/>
    <n v="23717"/>
    <n v="468071.41999999806"/>
    <n v="19709.939999999868"/>
    <n v="3871"/>
  </r>
  <r>
    <x v="0"/>
    <x v="9"/>
    <s v="FLAVORED GIN"/>
    <x v="4"/>
    <n v="912"/>
    <n v="22220.259999999995"/>
    <n v="611.89999999999964"/>
    <n v="162"/>
  </r>
  <r>
    <x v="0"/>
    <x v="9"/>
    <s v="FLAVORED RUM"/>
    <x v="0"/>
    <n v="58392"/>
    <n v="799763.16999999853"/>
    <n v="51717.710000000028"/>
    <n v="5915"/>
  </r>
  <r>
    <x v="0"/>
    <x v="9"/>
    <s v="GOLD RUM"/>
    <x v="0"/>
    <n v="7878"/>
    <n v="103052.4599999996"/>
    <n v="8985.9700000000066"/>
    <n v="1146"/>
  </r>
  <r>
    <x v="0"/>
    <x v="9"/>
    <s v="IMPORTED BRANDIES"/>
    <x v="1"/>
    <n v="97555"/>
    <n v="1714161.9799999183"/>
    <n v="36215.140000000116"/>
    <n v="4795"/>
  </r>
  <r>
    <x v="0"/>
    <x v="9"/>
    <s v="IMPORTED CORDIALS &amp; LIQUEURSS"/>
    <x v="2"/>
    <n v="43803"/>
    <n v="930814.60000000091"/>
    <n v="30464.699999999808"/>
    <n v="5426"/>
  </r>
  <r>
    <x v="0"/>
    <x v="9"/>
    <s v="IMPORTED DRY GINS"/>
    <x v="4"/>
    <n v="18654"/>
    <n v="449216.29999999929"/>
    <n v="17263.299999999981"/>
    <n v="2667"/>
  </r>
  <r>
    <x v="0"/>
    <x v="9"/>
    <s v="IMPORTED FLAVORED VODKA"/>
    <x v="5"/>
    <n v="30368"/>
    <n v="519994.1999999999"/>
    <n v="23217.179999999989"/>
    <n v="4251"/>
  </r>
  <r>
    <x v="0"/>
    <x v="9"/>
    <s v="IMPORTED SCHNAPPS"/>
    <x v="2"/>
    <n v="33544"/>
    <n v="570061.7599999971"/>
    <n v="30254.789999999732"/>
    <n v="3394"/>
  </r>
  <r>
    <x v="0"/>
    <x v="9"/>
    <s v="IMPORTED VODKAS"/>
    <x v="5"/>
    <n v="68253"/>
    <n v="1224106.2199999639"/>
    <n v="68087.660000000717"/>
    <n v="7210"/>
  </r>
  <r>
    <x v="0"/>
    <x v="9"/>
    <s v="IRISH WHISKIES"/>
    <x v="6"/>
    <n v="27473"/>
    <n v="703560.60999999277"/>
    <n v="23321.259999999955"/>
    <n v="2797"/>
  </r>
  <r>
    <x v="0"/>
    <x v="9"/>
    <s v="MEZCAL"/>
    <x v="7"/>
    <n v="1126"/>
    <n v="34517.229999999967"/>
    <n v="862.5"/>
    <n v="212"/>
  </r>
  <r>
    <x v="0"/>
    <x v="9"/>
    <s v="MIXTO TEQUILA"/>
    <x v="7"/>
    <n v="74567"/>
    <n v="1030458.9699999803"/>
    <n v="62186.569999999891"/>
    <n v="4657"/>
  </r>
  <r>
    <x v="0"/>
    <x v="9"/>
    <s v="NEUTRAL GRAIN SPIRITS"/>
    <x v="3"/>
    <n v="3070"/>
    <n v="38422.720000000001"/>
    <n v="2402.7199999999993"/>
    <n v="360"/>
  </r>
  <r>
    <x v="0"/>
    <x v="9"/>
    <s v="NEUTRAL GRAIN SPIRITS FLAVORED"/>
    <x v="3"/>
    <n v="7742"/>
    <n v="123093.63999999968"/>
    <n v="4719.4000000000024"/>
    <n v="1338"/>
  </r>
  <r>
    <x v="0"/>
    <x v="9"/>
    <s v="SCOTCH WHISKIES"/>
    <x v="6"/>
    <n v="18845"/>
    <n v="490999.94999999867"/>
    <n v="21164.669999999991"/>
    <n v="3207"/>
  </r>
  <r>
    <x v="0"/>
    <x v="9"/>
    <s v="SINGLE BARREL BOURBON WHISKIES"/>
    <x v="6"/>
    <n v="1612"/>
    <n v="56676.960000000036"/>
    <n v="1209"/>
    <n v="143"/>
  </r>
  <r>
    <x v="0"/>
    <x v="9"/>
    <s v="SINGLE MALT SCOTCH"/>
    <x v="6"/>
    <n v="7557"/>
    <n v="354884.25"/>
    <n v="5890.1500000000005"/>
    <n v="1887"/>
  </r>
  <r>
    <x v="0"/>
    <x v="9"/>
    <s v="SPECIAL ORDER ITEMS"/>
    <x v="3"/>
    <n v="4584"/>
    <n v="87265.399999999951"/>
    <n v="3552.1999999999994"/>
    <n v="541"/>
  </r>
  <r>
    <x v="0"/>
    <x v="9"/>
    <s v="SPICED RUM"/>
    <x v="0"/>
    <n v="113108"/>
    <n v="1568751.8399999891"/>
    <n v="97981.940000000919"/>
    <n v="9508"/>
  </r>
  <r>
    <x v="0"/>
    <x v="9"/>
    <s v="STRAIGHT BOURBON WHISKIES"/>
    <x v="6"/>
    <n v="120566"/>
    <n v="2361239.3699999992"/>
    <n v="92380.280000001687"/>
    <n v="15325"/>
  </r>
  <r>
    <x v="0"/>
    <x v="9"/>
    <s v="STRAIGHT RYE WHISKIES"/>
    <x v="6"/>
    <n v="9731"/>
    <n v="308496.30000000179"/>
    <n v="7404.4599999999991"/>
    <n v="1703"/>
  </r>
  <r>
    <x v="0"/>
    <x v="9"/>
    <s v="TEMPORARY &amp; SPECIALTY PACKAGES"/>
    <x v="3"/>
    <n v="33186"/>
    <n v="616771.36000000814"/>
    <n v="25086.739999999856"/>
    <n v="3293"/>
  </r>
  <r>
    <x v="0"/>
    <x v="9"/>
    <s v="TENNESSEE WHISKIES"/>
    <x v="6"/>
    <n v="67509"/>
    <n v="1501057.6400000304"/>
    <n v="47847.549999999923"/>
    <n v="7143"/>
  </r>
  <r>
    <x v="0"/>
    <x v="9"/>
    <s v="TRIPLE SEC"/>
    <x v="3"/>
    <n v="20380"/>
    <n v="81766.259999999864"/>
    <n v="20090"/>
    <n v="759"/>
  </r>
  <r>
    <x v="0"/>
    <x v="9"/>
    <s v="WHISKEY LIQUEUR"/>
    <x v="6"/>
    <n v="336578"/>
    <n v="2021253.7099999778"/>
    <n v="94918.91000000335"/>
    <n v="12530"/>
  </r>
  <r>
    <x v="0"/>
    <x v="9"/>
    <s v="WHITE RUM"/>
    <x v="0"/>
    <n v="51805"/>
    <n v="607728.3800000035"/>
    <n v="55188.320000000087"/>
    <n v="4676"/>
  </r>
  <r>
    <x v="0"/>
    <x v="9"/>
    <s v="IMPORTED DISTILLED SPIRITS SPECIALTY"/>
    <x v="3"/>
    <n v="31762"/>
    <n v="248529.22000000009"/>
    <n v="30686.97"/>
    <n v="393"/>
  </r>
  <r>
    <x v="0"/>
    <x v="9"/>
    <s v="DISTILLED SPIRITS SPECIALTY"/>
    <x v="3"/>
    <n v="83"/>
    <n v="2905"/>
    <n v="62.25"/>
    <n v="22"/>
  </r>
  <r>
    <x v="0"/>
    <x v="10"/>
    <s v="100% AGAVE TEQUILA"/>
    <x v="7"/>
    <n v="75717"/>
    <n v="2129009.3799999771"/>
    <n v="56268.91000000012"/>
    <n v="7539"/>
  </r>
  <r>
    <x v="0"/>
    <x v="10"/>
    <s v="SINGLE MALT SCOTCH"/>
    <x v="6"/>
    <n v="8300"/>
    <n v="394892.8799999996"/>
    <n v="6449.7000000000016"/>
    <n v="1939"/>
  </r>
  <r>
    <x v="0"/>
    <x v="10"/>
    <s v="STRAIGHT BOURBON WHISKIES"/>
    <x v="6"/>
    <n v="137376"/>
    <n v="2746420.3800000208"/>
    <n v="109891.37000000241"/>
    <n v="16167"/>
  </r>
  <r>
    <x v="0"/>
    <x v="10"/>
    <s v="TEMPORARY &amp; SPECIALTY PACKAGES"/>
    <x v="3"/>
    <n v="29091"/>
    <n v="686832.2200000087"/>
    <n v="27816.179999999815"/>
    <n v="2946"/>
  </r>
  <r>
    <x v="0"/>
    <x v="10"/>
    <s v="AMERICAN BRANDIES"/>
    <x v="1"/>
    <n v="58238"/>
    <n v="391299.66999999946"/>
    <n v="31358.219999999677"/>
    <n v="5128"/>
  </r>
  <r>
    <x v="0"/>
    <x v="10"/>
    <s v="AMERICAN CORDIALS &amp; LIQUEURSS"/>
    <x v="2"/>
    <n v="40753"/>
    <n v="344479.91000000498"/>
    <n v="20811.229999999527"/>
    <n v="5260"/>
  </r>
  <r>
    <x v="0"/>
    <x v="10"/>
    <s v="AMERICAN FLAVORED VODKA"/>
    <x v="5"/>
    <n v="76951"/>
    <n v="828514.40000002598"/>
    <n v="56319.860000000037"/>
    <n v="9351"/>
  </r>
  <r>
    <x v="0"/>
    <x v="10"/>
    <s v="AMERICAN SCHNAPPS"/>
    <x v="2"/>
    <n v="66089"/>
    <n v="564609.68999998877"/>
    <n v="45652.390000000065"/>
    <n v="6709"/>
  </r>
  <r>
    <x v="0"/>
    <x v="10"/>
    <s v="AMERICAN VODKAS"/>
    <x v="5"/>
    <n v="483474"/>
    <n v="4993921.3899997436"/>
    <n v="456957.07999998267"/>
    <n v="30265"/>
  </r>
  <r>
    <x v="0"/>
    <x v="10"/>
    <s v="BLENDED WHISKIES"/>
    <x v="6"/>
    <n v="75082"/>
    <n v="925051.2999999969"/>
    <n v="63492.120000000403"/>
    <n v="8957"/>
  </r>
  <r>
    <x v="0"/>
    <x v="10"/>
    <s v="CANADIAN WHISKIES"/>
    <x v="6"/>
    <n v="262515"/>
    <n v="3961642.9200001331"/>
    <n v="278536.24999999459"/>
    <n v="19326"/>
  </r>
  <r>
    <x v="0"/>
    <x v="10"/>
    <s v="COCKTAILS/RTD"/>
    <x v="3"/>
    <n v="76188"/>
    <n v="761877.13999999117"/>
    <n v="101156.20999999979"/>
    <n v="7884"/>
  </r>
  <r>
    <x v="0"/>
    <x v="10"/>
    <s v="COFFEE LIQUEURS"/>
    <x v="2"/>
    <n v="6912"/>
    <n v="124321.49000000043"/>
    <n v="5863.2600000000057"/>
    <n v="966"/>
  </r>
  <r>
    <x v="0"/>
    <x v="10"/>
    <s v="CREAM LIQUEURS"/>
    <x v="2"/>
    <n v="24180"/>
    <n v="467539.56000000186"/>
    <n v="21363.709999999817"/>
    <n v="3612"/>
  </r>
  <r>
    <x v="0"/>
    <x v="10"/>
    <s v="FLAVORED RUM"/>
    <x v="0"/>
    <n v="56210"/>
    <n v="827381.33999999682"/>
    <n v="54661.770000000019"/>
    <n v="5140"/>
  </r>
  <r>
    <x v="0"/>
    <x v="10"/>
    <s v="IMPORTED CORDIALS &amp; LIQUEURSS"/>
    <x v="2"/>
    <n v="39586"/>
    <n v="844457.99999999849"/>
    <n v="28696.809999999874"/>
    <n v="4846"/>
  </r>
  <r>
    <x v="0"/>
    <x v="10"/>
    <s v="IMPORTED DISTILLED SPIRITS SPECIALTY"/>
    <x v="3"/>
    <n v="20446"/>
    <n v="170382.53"/>
    <n v="20056.609999999997"/>
    <n v="362"/>
  </r>
  <r>
    <x v="0"/>
    <x v="10"/>
    <s v="IMPORTED SCHNAPPS"/>
    <x v="2"/>
    <n v="28784"/>
    <n v="490397.10999999905"/>
    <n v="25669.809999999812"/>
    <n v="3165"/>
  </r>
  <r>
    <x v="0"/>
    <x v="10"/>
    <s v="IMPORTED VODKAS"/>
    <x v="5"/>
    <n v="62757"/>
    <n v="1092131.7299999793"/>
    <n v="59901.640000000501"/>
    <n v="6509"/>
  </r>
  <r>
    <x v="0"/>
    <x v="10"/>
    <s v="MIXTO TEQUILA"/>
    <x v="7"/>
    <n v="65063"/>
    <n v="813718.79999999038"/>
    <n v="48886.579999999944"/>
    <n v="4880"/>
  </r>
  <r>
    <x v="0"/>
    <x v="10"/>
    <s v="SCOTCH WHISKIES"/>
    <x v="6"/>
    <n v="17915"/>
    <n v="460149.45000000048"/>
    <n v="20457.909999999989"/>
    <n v="2935"/>
  </r>
  <r>
    <x v="0"/>
    <x v="10"/>
    <s v="SPICED RUM"/>
    <x v="0"/>
    <n v="107581"/>
    <n v="1592860.5599999856"/>
    <n v="103593.88000000069"/>
    <n v="8816"/>
  </r>
  <r>
    <x v="0"/>
    <x v="10"/>
    <s v="TENNESSEE WHISKIES"/>
    <x v="6"/>
    <n v="47705"/>
    <n v="1002220.0299999741"/>
    <n v="32856.719999999637"/>
    <n v="5490"/>
  </r>
  <r>
    <x v="0"/>
    <x v="10"/>
    <s v="WHISKEY LIQUEUR"/>
    <x v="6"/>
    <n v="324674"/>
    <n v="1965552.5299999805"/>
    <n v="92452.850000003004"/>
    <n v="11845"/>
  </r>
  <r>
    <x v="0"/>
    <x v="10"/>
    <s v="WHITE RUM"/>
    <x v="0"/>
    <n v="45636"/>
    <n v="520769.62999999675"/>
    <n v="47940.430000000051"/>
    <n v="4343"/>
  </r>
  <r>
    <x v="0"/>
    <x v="10"/>
    <s v="AMERICAN DRY GINS"/>
    <x v="4"/>
    <n v="32263"/>
    <n v="289228.51000000146"/>
    <n v="27125.259999999944"/>
    <n v="3204"/>
  </r>
  <r>
    <x v="0"/>
    <x v="10"/>
    <s v="NEUTRAL GRAIN SPIRITS FLAVORED"/>
    <x v="3"/>
    <n v="5825"/>
    <n v="93618.499999999913"/>
    <n v="3924.9500000000039"/>
    <n v="1077"/>
  </r>
  <r>
    <x v="0"/>
    <x v="10"/>
    <s v="IMPORTED FLAVORED VODKA"/>
    <x v="5"/>
    <n v="30877"/>
    <n v="501930.3000000008"/>
    <n v="22657.369999999981"/>
    <n v="3864"/>
  </r>
  <r>
    <x v="0"/>
    <x v="10"/>
    <s v="NEUTRAL GRAIN SPIRITS"/>
    <x v="3"/>
    <n v="3109"/>
    <n v="39290.109999999979"/>
    <n v="2397.35"/>
    <n v="339"/>
  </r>
  <r>
    <x v="0"/>
    <x v="10"/>
    <s v="AMERICAN DISTILLED SPIRITS SPECIALTY"/>
    <x v="3"/>
    <n v="6571"/>
    <n v="128811.08999999934"/>
    <n v="4826.2500000000018"/>
    <n v="897"/>
  </r>
  <r>
    <x v="0"/>
    <x v="10"/>
    <s v="IMPORTED BRANDIES"/>
    <x v="1"/>
    <n v="69278"/>
    <n v="1344202.3899999391"/>
    <n v="29073.549999999868"/>
    <n v="4431"/>
  </r>
  <r>
    <x v="0"/>
    <x v="10"/>
    <s v="IMPORTED DRY GINS"/>
    <x v="4"/>
    <n v="20119"/>
    <n v="495788.80999999895"/>
    <n v="19611.209999999992"/>
    <n v="2559"/>
  </r>
  <r>
    <x v="0"/>
    <x v="10"/>
    <s v="IRISH WHISKIES"/>
    <x v="6"/>
    <n v="24180"/>
    <n v="604263.0099999985"/>
    <n v="19867.650000000012"/>
    <n v="2489"/>
  </r>
  <r>
    <x v="0"/>
    <x v="10"/>
    <s v="AMERICAN SLOE GINS"/>
    <x v="4"/>
    <n v="379"/>
    <n v="3081.2700000000018"/>
    <n v="379"/>
    <n v="78"/>
  </r>
  <r>
    <x v="0"/>
    <x v="10"/>
    <s v="BOTTLED IN BOND BOURBON"/>
    <x v="6"/>
    <n v="1722"/>
    <n v="45283.1"/>
    <n v="1297.5"/>
    <n v="291"/>
  </r>
  <r>
    <x v="0"/>
    <x v="10"/>
    <s v="GOLD RUM"/>
    <x v="0"/>
    <n v="6508"/>
    <n v="83603.009999999864"/>
    <n v="7498.3900000000067"/>
    <n v="1047"/>
  </r>
  <r>
    <x v="0"/>
    <x v="10"/>
    <s v="STRAIGHT RYE WHISKIES"/>
    <x v="6"/>
    <n v="13781"/>
    <n v="411907.88000000484"/>
    <n v="10451.200000000004"/>
    <n v="1994"/>
  </r>
  <r>
    <x v="0"/>
    <x v="10"/>
    <s v="TRIPLE SEC"/>
    <x v="3"/>
    <n v="19891"/>
    <n v="76947.519999999829"/>
    <n v="19519"/>
    <n v="786"/>
  </r>
  <r>
    <x v="0"/>
    <x v="10"/>
    <s v="AGED DARK RUM"/>
    <x v="0"/>
    <n v="3671"/>
    <n v="74844.790000000081"/>
    <n v="3008.75"/>
    <n v="673"/>
  </r>
  <r>
    <x v="0"/>
    <x v="10"/>
    <s v="CORN WHISKIES"/>
    <x v="6"/>
    <n v="1276"/>
    <n v="42099.929999999993"/>
    <n v="944.4"/>
    <n v="132"/>
  </r>
  <r>
    <x v="0"/>
    <x v="10"/>
    <s v="MEZCAL"/>
    <x v="7"/>
    <n v="901"/>
    <n v="28923.589999999978"/>
    <n v="683.75"/>
    <n v="176"/>
  </r>
  <r>
    <x v="0"/>
    <x v="10"/>
    <s v="SPECIAL ORDER ITEMS"/>
    <x v="3"/>
    <n v="11320"/>
    <n v="186001.96999999994"/>
    <n v="15388.120000000004"/>
    <n v="515"/>
  </r>
  <r>
    <x v="0"/>
    <x v="10"/>
    <s v="FLAVORED GIN"/>
    <x v="4"/>
    <n v="1478"/>
    <n v="28976.539999999975"/>
    <n v="1081.8999999999999"/>
    <n v="192"/>
  </r>
  <r>
    <x v="0"/>
    <x v="10"/>
    <s v="SINGLE BARREL BOURBON WHISKIES"/>
    <x v="6"/>
    <n v="2226"/>
    <n v="75628.580000000293"/>
    <n v="1669.5"/>
    <n v="262"/>
  </r>
  <r>
    <x v="0"/>
    <x v="10"/>
    <s v="DISTILLED SPIRITS SPECIALTY"/>
    <x v="3"/>
    <n v="134"/>
    <n v="4690"/>
    <n v="100.5"/>
    <n v="24"/>
  </r>
  <r>
    <x v="0"/>
    <x v="11"/>
    <s v="100% AGAVE TEQUILA"/>
    <x v="7"/>
    <n v="76084"/>
    <n v="2332489.2399999686"/>
    <n v="58890.520000000128"/>
    <n v="7982"/>
  </r>
  <r>
    <x v="0"/>
    <x v="11"/>
    <s v="AMERICAN CORDIALS &amp; LIQUEURSS"/>
    <x v="2"/>
    <n v="45867"/>
    <n v="387071.05000000907"/>
    <n v="23172.689999999267"/>
    <n v="5925"/>
  </r>
  <r>
    <x v="0"/>
    <x v="11"/>
    <s v="AMERICAN DRY GINS"/>
    <x v="4"/>
    <n v="43730"/>
    <n v="356180.27000000427"/>
    <n v="32676.989999999827"/>
    <n v="3902"/>
  </r>
  <r>
    <x v="0"/>
    <x v="11"/>
    <s v="AMERICAN FLAVORED VODKA"/>
    <x v="5"/>
    <n v="96873"/>
    <n v="1062038.8500000518"/>
    <n v="71989.410000000615"/>
    <n v="11284"/>
  </r>
  <r>
    <x v="0"/>
    <x v="11"/>
    <s v="AMERICAN SCHNAPPS"/>
    <x v="2"/>
    <n v="70019"/>
    <n v="599850.24999998859"/>
    <n v="46891.999999999978"/>
    <n v="7602"/>
  </r>
  <r>
    <x v="0"/>
    <x v="11"/>
    <s v="AMERICAN VODKAS"/>
    <x v="5"/>
    <n v="578746"/>
    <n v="5962140.5799995521"/>
    <n v="537740.36999997601"/>
    <n v="35733"/>
  </r>
  <r>
    <x v="0"/>
    <x v="11"/>
    <s v="BLENDED WHISKIES"/>
    <x v="6"/>
    <n v="92021"/>
    <n v="1186080.4399999962"/>
    <n v="79703.430000000866"/>
    <n v="10297"/>
  </r>
  <r>
    <x v="0"/>
    <x v="11"/>
    <s v="CANADIAN WHISKIES"/>
    <x v="6"/>
    <n v="259240"/>
    <n v="3825980.480000169"/>
    <n v="240893.45999999635"/>
    <n v="22097"/>
  </r>
  <r>
    <x v="0"/>
    <x v="11"/>
    <s v="COCKTAILS/RTD"/>
    <x v="3"/>
    <n v="102445"/>
    <n v="1066579.360000049"/>
    <n v="140792.34999999937"/>
    <n v="9647"/>
  </r>
  <r>
    <x v="0"/>
    <x v="11"/>
    <s v="CREAM LIQUEURS"/>
    <x v="2"/>
    <n v="26924"/>
    <n v="541368.67999999784"/>
    <n v="22607.64999999983"/>
    <n v="4308"/>
  </r>
  <r>
    <x v="0"/>
    <x v="11"/>
    <s v="FLAVORED RUM"/>
    <x v="0"/>
    <n v="61668"/>
    <n v="863019.33999999682"/>
    <n v="55095.359999999921"/>
    <n v="6253"/>
  </r>
  <r>
    <x v="0"/>
    <x v="11"/>
    <s v="GOLD RUM"/>
    <x v="0"/>
    <n v="8261"/>
    <n v="106688.7599999996"/>
    <n v="8889.1200000000099"/>
    <n v="1245"/>
  </r>
  <r>
    <x v="0"/>
    <x v="11"/>
    <s v="IMPORTED CORDIALS &amp; LIQUEURSS"/>
    <x v="2"/>
    <n v="45197"/>
    <n v="1011423.2999999997"/>
    <n v="33396.319999999898"/>
    <n v="5647"/>
  </r>
  <r>
    <x v="0"/>
    <x v="11"/>
    <s v="IMPORTED DRY GINS"/>
    <x v="4"/>
    <n v="23250"/>
    <n v="570114.72999999847"/>
    <n v="21796.769999999997"/>
    <n v="2906"/>
  </r>
  <r>
    <x v="0"/>
    <x v="11"/>
    <s v="IMPORTED FLAVORED VODKA"/>
    <x v="5"/>
    <n v="32860"/>
    <n v="561321.97999999975"/>
    <n v="25435.089999999978"/>
    <n v="4363"/>
  </r>
  <r>
    <x v="0"/>
    <x v="11"/>
    <s v="IMPORTED SCHNAPPS"/>
    <x v="2"/>
    <n v="40362"/>
    <n v="664530.16999999131"/>
    <n v="35813.849999999693"/>
    <n v="3679"/>
  </r>
  <r>
    <x v="0"/>
    <x v="11"/>
    <s v="IMPORTED VODKAS"/>
    <x v="5"/>
    <n v="92696"/>
    <n v="1515853.3699999396"/>
    <n v="84802.950000000681"/>
    <n v="7756"/>
  </r>
  <r>
    <x v="0"/>
    <x v="11"/>
    <s v="MIXTO TEQUILA"/>
    <x v="7"/>
    <n v="77109"/>
    <n v="1042230.4499999738"/>
    <n v="62119.130000000114"/>
    <n v="5145"/>
  </r>
  <r>
    <x v="0"/>
    <x v="11"/>
    <s v="NEUTRAL GRAIN SPIRITS FLAVORED"/>
    <x v="3"/>
    <n v="9822"/>
    <n v="164062.76"/>
    <n v="5332.9200000000037"/>
    <n v="1869"/>
  </r>
  <r>
    <x v="0"/>
    <x v="11"/>
    <s v="SCOTCH WHISKIES"/>
    <x v="6"/>
    <n v="18435"/>
    <n v="493970.30999999749"/>
    <n v="20630.359999999979"/>
    <n v="3053"/>
  </r>
  <r>
    <x v="0"/>
    <x v="11"/>
    <s v="SINGLE MALT SCOTCH"/>
    <x v="6"/>
    <n v="8948"/>
    <n v="411930.9599999988"/>
    <n v="7004.7999999999993"/>
    <n v="2022"/>
  </r>
  <r>
    <x v="0"/>
    <x v="11"/>
    <s v="SPICED RUM"/>
    <x v="0"/>
    <n v="131631"/>
    <n v="1845780.0699999915"/>
    <n v="117889.35000000038"/>
    <n v="9963"/>
  </r>
  <r>
    <x v="0"/>
    <x v="11"/>
    <s v="STRAIGHT BOURBON WHISKIES"/>
    <x v="6"/>
    <n v="153838"/>
    <n v="3158968.3000000692"/>
    <n v="123956.30000000262"/>
    <n v="16737"/>
  </r>
  <r>
    <x v="0"/>
    <x v="11"/>
    <s v="STRAIGHT RYE WHISKIES"/>
    <x v="6"/>
    <n v="12179"/>
    <n v="366787.89000000362"/>
    <n v="9095.989999999998"/>
    <n v="2227"/>
  </r>
  <r>
    <x v="0"/>
    <x v="11"/>
    <s v="TEMPORARY &amp; SPECIALTY PACKAGES"/>
    <x v="3"/>
    <n v="32978"/>
    <n v="686720.49000001105"/>
    <n v="25038.399999999914"/>
    <n v="3832"/>
  </r>
  <r>
    <x v="0"/>
    <x v="11"/>
    <s v="TENNESSEE WHISKIES"/>
    <x v="6"/>
    <n v="78565"/>
    <n v="1745368.6200000627"/>
    <n v="56692.520000000179"/>
    <n v="7711"/>
  </r>
  <r>
    <x v="0"/>
    <x v="11"/>
    <s v="WHISKEY LIQUEUR"/>
    <x v="6"/>
    <n v="360447"/>
    <n v="2352894.5799999768"/>
    <n v="101435.65000000433"/>
    <n v="13963"/>
  </r>
  <r>
    <x v="0"/>
    <x v="11"/>
    <s v="WHITE RUM"/>
    <x v="0"/>
    <n v="53662"/>
    <n v="605069.90000000573"/>
    <n v="55432.170000000107"/>
    <n v="4534"/>
  </r>
  <r>
    <x v="0"/>
    <x v="11"/>
    <s v="AMERICAN BRANDIES"/>
    <x v="1"/>
    <n v="64713"/>
    <n v="436768.7099999999"/>
    <n v="34691.60999999971"/>
    <n v="5665"/>
  </r>
  <r>
    <x v="0"/>
    <x v="11"/>
    <s v="AGED DARK RUM"/>
    <x v="0"/>
    <n v="5128"/>
    <n v="108285.58000000013"/>
    <n v="4210.25"/>
    <n v="795"/>
  </r>
  <r>
    <x v="0"/>
    <x v="11"/>
    <s v="AMERICAN DISTILLED SPIRITS SPECIALTY"/>
    <x v="3"/>
    <n v="8420"/>
    <n v="166725.68999999884"/>
    <n v="6135.9000000000015"/>
    <n v="1182"/>
  </r>
  <r>
    <x v="0"/>
    <x v="11"/>
    <s v="COFFEE LIQUEURS"/>
    <x v="2"/>
    <n v="7644"/>
    <n v="141223.1100000008"/>
    <n v="6488.1700000000037"/>
    <n v="1016"/>
  </r>
  <r>
    <x v="0"/>
    <x v="11"/>
    <s v="IMPORTED BRANDIES"/>
    <x v="1"/>
    <n v="48338"/>
    <n v="1038795.3100000048"/>
    <n v="21811.579999999907"/>
    <n v="3494"/>
  </r>
  <r>
    <x v="0"/>
    <x v="11"/>
    <s v="IMPORTED DISTILLED SPIRITS SPECIALTY"/>
    <x v="3"/>
    <n v="25983"/>
    <n v="214298.94000000015"/>
    <n v="25333.710000000003"/>
    <n v="473"/>
  </r>
  <r>
    <x v="0"/>
    <x v="11"/>
    <s v="IRISH WHISKIES"/>
    <x v="6"/>
    <n v="31537"/>
    <n v="808993.3699999837"/>
    <n v="25537.639999999854"/>
    <n v="3286"/>
  </r>
  <r>
    <x v="0"/>
    <x v="11"/>
    <s v="NEUTRAL GRAIN SPIRITS"/>
    <x v="3"/>
    <n v="3589"/>
    <n v="45331.849999999984"/>
    <n v="2832.6099999999997"/>
    <n v="432"/>
  </r>
  <r>
    <x v="0"/>
    <x v="11"/>
    <s v="SINGLE BARREL BOURBON WHISKIES"/>
    <x v="6"/>
    <n v="2901"/>
    <n v="87588.3400000002"/>
    <n v="2175.75"/>
    <n v="430"/>
  </r>
  <r>
    <x v="0"/>
    <x v="11"/>
    <s v="TRIPLE SEC"/>
    <x v="3"/>
    <n v="23337"/>
    <n v="93019.249999999418"/>
    <n v="22877.5"/>
    <n v="1049"/>
  </r>
  <r>
    <x v="0"/>
    <x v="11"/>
    <s v="BOTTLED IN BOND BOURBON"/>
    <x v="6"/>
    <n v="2254"/>
    <n v="58277.69"/>
    <n v="1690.5"/>
    <n v="306"/>
  </r>
  <r>
    <x v="0"/>
    <x v="11"/>
    <s v="AMERICAN SLOE GINS"/>
    <x v="4"/>
    <n v="391"/>
    <n v="3178.8300000000017"/>
    <n v="391"/>
    <n v="84"/>
  </r>
  <r>
    <x v="0"/>
    <x v="11"/>
    <s v="FLAVORED GIN"/>
    <x v="4"/>
    <n v="1452"/>
    <n v="28644.460000000028"/>
    <n v="1061.2"/>
    <n v="192"/>
  </r>
  <r>
    <x v="0"/>
    <x v="11"/>
    <s v="SPECIAL ORDER ITEMS"/>
    <x v="3"/>
    <n v="5244"/>
    <n v="99917.559999999852"/>
    <n v="3978.5200000000013"/>
    <n v="618"/>
  </r>
  <r>
    <x v="0"/>
    <x v="11"/>
    <s v="CORN WHISKIES"/>
    <x v="6"/>
    <n v="1222"/>
    <n v="33983.78"/>
    <n v="916.5"/>
    <n v="162"/>
  </r>
  <r>
    <x v="0"/>
    <x v="11"/>
    <s v="MEZCAL"/>
    <x v="7"/>
    <n v="1188"/>
    <n v="36081.479999999974"/>
    <n v="891"/>
    <n v="193"/>
  </r>
  <r>
    <x v="0"/>
    <x v="11"/>
    <s v="DISTILLED SPIRITS SPECIALTY"/>
    <x v="3"/>
    <n v="66"/>
    <n v="2310"/>
    <n v="49.5"/>
    <n v="21"/>
  </r>
  <r>
    <x v="0"/>
    <x v="11"/>
    <s v="IMPORTED GINS"/>
    <x v="4"/>
    <n v="24"/>
    <n v="531.12"/>
    <n v="18"/>
    <n v="2"/>
  </r>
  <r>
    <x v="0"/>
    <x v="11"/>
    <s v="IMPORTED WHISKIES"/>
    <x v="6"/>
    <n v="6"/>
    <n v="459"/>
    <n v="4.5"/>
    <n v="1"/>
  </r>
  <r>
    <x v="1"/>
    <x v="12"/>
    <s v="100% AGAVE TEQUILA"/>
    <x v="7"/>
    <n v="74806"/>
    <n v="2155928.8199999444"/>
    <n v="51730.910000000295"/>
    <n v="10211"/>
  </r>
  <r>
    <x v="1"/>
    <x v="12"/>
    <s v="AMERICAN BRANDIES"/>
    <x v="1"/>
    <n v="65117"/>
    <n v="438934.42000000039"/>
    <n v="34567.549999999741"/>
    <n v="5280"/>
  </r>
  <r>
    <x v="1"/>
    <x v="12"/>
    <s v="AMERICAN FLAVORED VODKA"/>
    <x v="5"/>
    <n v="70995"/>
    <n v="808093.66000003135"/>
    <n v="48639.419999999955"/>
    <n v="9436"/>
  </r>
  <r>
    <x v="1"/>
    <x v="12"/>
    <s v="AMERICAN SCHNAPPS"/>
    <x v="2"/>
    <n v="81322"/>
    <n v="603638.47000002628"/>
    <n v="36743.71999999931"/>
    <n v="7227"/>
  </r>
  <r>
    <x v="1"/>
    <x v="12"/>
    <s v="AMERICAN VODKAS"/>
    <x v="5"/>
    <n v="505363"/>
    <n v="5156783.1800000109"/>
    <n v="443048.79999997793"/>
    <n v="32791"/>
  </r>
  <r>
    <x v="1"/>
    <x v="12"/>
    <s v="IMPORTED SCHNAPPS"/>
    <x v="2"/>
    <n v="25821"/>
    <n v="459363.87000000174"/>
    <n v="22657.729999999832"/>
    <n v="2844"/>
  </r>
  <r>
    <x v="1"/>
    <x v="12"/>
    <s v="IMPORTED VODKAS"/>
    <x v="5"/>
    <n v="54731"/>
    <n v="891311.91999998735"/>
    <n v="59151.230000000374"/>
    <n v="4744"/>
  </r>
  <r>
    <x v="1"/>
    <x v="12"/>
    <s v="SCOTCH WHISKIES"/>
    <x v="6"/>
    <n v="14682"/>
    <n v="412126.2499999993"/>
    <n v="15225.350000000009"/>
    <n v="2542"/>
  </r>
  <r>
    <x v="1"/>
    <x v="12"/>
    <s v="STRAIGHT BOURBON WHISKIES"/>
    <x v="6"/>
    <n v="131850"/>
    <n v="2995605.3999999864"/>
    <n v="106868.07000000164"/>
    <n v="17421"/>
  </r>
  <r>
    <x v="1"/>
    <x v="12"/>
    <s v="TENNESSEE WHISKIES"/>
    <x v="6"/>
    <n v="53239"/>
    <n v="1150991.0699999901"/>
    <n v="35454.309999999467"/>
    <n v="6240"/>
  </r>
  <r>
    <x v="1"/>
    <x v="12"/>
    <s v="WHISKEY LIQUEUR"/>
    <x v="6"/>
    <n v="357022"/>
    <n v="2123316.3299999638"/>
    <n v="85570.050000004238"/>
    <n v="13667"/>
  </r>
  <r>
    <x v="1"/>
    <x v="12"/>
    <s v="WHITE RUM"/>
    <x v="0"/>
    <n v="33134"/>
    <n v="408862.5599999979"/>
    <n v="34886.469999999856"/>
    <n v="3377"/>
  </r>
  <r>
    <x v="1"/>
    <x v="12"/>
    <s v="BLENDED WHISKIES"/>
    <x v="6"/>
    <n v="68532"/>
    <n v="880709.88999998407"/>
    <n v="56964.110000000423"/>
    <n v="7605"/>
  </r>
  <r>
    <x v="1"/>
    <x v="12"/>
    <s v="AMERICAN CORDIALS &amp; LIQUEURSS"/>
    <x v="2"/>
    <n v="31360"/>
    <n v="361149.25000000914"/>
    <n v="15203.269999999404"/>
    <n v="5149"/>
  </r>
  <r>
    <x v="1"/>
    <x v="12"/>
    <s v="CANADIAN WHISKIES"/>
    <x v="6"/>
    <n v="226997"/>
    <n v="3608056.1599998814"/>
    <n v="207465.59999999794"/>
    <n v="21180"/>
  </r>
  <r>
    <x v="1"/>
    <x v="12"/>
    <s v="MIXTO TEQUILA"/>
    <x v="7"/>
    <n v="52248"/>
    <n v="741565.6999999953"/>
    <n v="38366.269999999851"/>
    <n v="4354"/>
  </r>
  <r>
    <x v="1"/>
    <x v="12"/>
    <s v="NEUTRAL GRAIN SPIRITS FLAVORED"/>
    <x v="3"/>
    <n v="16780"/>
    <n v="277411.29000000359"/>
    <n v="8298.8999999999978"/>
    <n v="3517"/>
  </r>
  <r>
    <x v="1"/>
    <x v="12"/>
    <s v="SPICED RUM"/>
    <x v="0"/>
    <n v="108420"/>
    <n v="1647845.5699998853"/>
    <n v="102122.15000000068"/>
    <n v="8336"/>
  </r>
  <r>
    <x v="1"/>
    <x v="12"/>
    <s v="COCKTAILS/RTD"/>
    <x v="3"/>
    <n v="48288"/>
    <n v="569219.80999998539"/>
    <n v="58291.920000000224"/>
    <n v="6314"/>
  </r>
  <r>
    <x v="1"/>
    <x v="12"/>
    <s v="COFFEE LIQUEURS"/>
    <x v="2"/>
    <n v="10724"/>
    <n v="239591.92000000115"/>
    <n v="9005.4500000000062"/>
    <n v="1154"/>
  </r>
  <r>
    <x v="1"/>
    <x v="12"/>
    <s v="CREAM LIQUEURS"/>
    <x v="2"/>
    <n v="35310"/>
    <n v="711850.1799999912"/>
    <n v="30712.959999999763"/>
    <n v="4670"/>
  </r>
  <r>
    <x v="1"/>
    <x v="12"/>
    <s v="FLAVORED RUM"/>
    <x v="0"/>
    <n v="34457"/>
    <n v="535790.43000000075"/>
    <n v="32011.25999999994"/>
    <n v="3785"/>
  </r>
  <r>
    <x v="1"/>
    <x v="12"/>
    <s v="GOLD RUM"/>
    <x v="0"/>
    <n v="5849"/>
    <n v="77725.129999999685"/>
    <n v="6101.0400000000027"/>
    <n v="901"/>
  </r>
  <r>
    <x v="1"/>
    <x v="12"/>
    <s v="IMPORTED CORDIALS &amp; LIQUEURSS"/>
    <x v="2"/>
    <n v="41909"/>
    <n v="988323.78000000818"/>
    <n v="30619.299999999919"/>
    <n v="4902"/>
  </r>
  <r>
    <x v="1"/>
    <x v="12"/>
    <s v="IRISH WHISKIES"/>
    <x v="6"/>
    <n v="30665"/>
    <n v="864632.81999998807"/>
    <n v="25916.219999999928"/>
    <n v="2707"/>
  </r>
  <r>
    <x v="1"/>
    <x v="12"/>
    <s v="SINGLE BARREL BOURBON WHISKIES"/>
    <x v="6"/>
    <n v="4231"/>
    <n v="173561.13999999998"/>
    <n v="3173.25"/>
    <n v="648"/>
  </r>
  <r>
    <x v="1"/>
    <x v="12"/>
    <s v="TEMPORARY &amp; SPECIALTY PACKAGES"/>
    <x v="3"/>
    <n v="20984"/>
    <n v="627816.96999999916"/>
    <n v="15745.589999999953"/>
    <n v="4301"/>
  </r>
  <r>
    <x v="1"/>
    <x v="12"/>
    <s v="AGED DARK RUM"/>
    <x v="0"/>
    <n v="3041"/>
    <n v="68174.850000000064"/>
    <n v="2451"/>
    <n v="614"/>
  </r>
  <r>
    <x v="1"/>
    <x v="12"/>
    <s v="AMERICAN DISTILLED SPIRITS SPECIALTY"/>
    <x v="3"/>
    <n v="6132"/>
    <n v="126903.04000000008"/>
    <n v="4554.9000000000005"/>
    <n v="846"/>
  </r>
  <r>
    <x v="1"/>
    <x v="12"/>
    <s v="AMERICAN DRY GINS"/>
    <x v="4"/>
    <n v="26088"/>
    <n v="236653.29000000126"/>
    <n v="20590.679999999949"/>
    <n v="2556"/>
  </r>
  <r>
    <x v="1"/>
    <x v="12"/>
    <s v="BOTTLED IN BOND BOURBON"/>
    <x v="6"/>
    <n v="2988"/>
    <n v="88244.770000000193"/>
    <n v="2549"/>
    <n v="582"/>
  </r>
  <r>
    <x v="1"/>
    <x v="12"/>
    <s v="FLAVORED GIN"/>
    <x v="4"/>
    <n v="2248"/>
    <n v="57336.719999999994"/>
    <n v="1695.25"/>
    <n v="358"/>
  </r>
  <r>
    <x v="1"/>
    <x v="12"/>
    <s v="IMPORTED BRANDIES"/>
    <x v="1"/>
    <n v="31742"/>
    <n v="737768.09999999451"/>
    <n v="15327.909999999996"/>
    <n v="3185"/>
  </r>
  <r>
    <x v="1"/>
    <x v="12"/>
    <s v="IMPORTED DISTILLED SPIRITS SPECIALTY"/>
    <x v="3"/>
    <n v="24385"/>
    <n v="194635.82999999964"/>
    <n v="21288.880000000012"/>
    <n v="633"/>
  </r>
  <r>
    <x v="1"/>
    <x v="12"/>
    <s v="IMPORTED DRY GINS"/>
    <x v="4"/>
    <n v="13362"/>
    <n v="339760.27000000025"/>
    <n v="12740.740000000003"/>
    <n v="1791"/>
  </r>
  <r>
    <x v="1"/>
    <x v="12"/>
    <s v="IMPORTED FLAVORED VODKA"/>
    <x v="5"/>
    <n v="17024"/>
    <n v="294870.74000000104"/>
    <n v="13341.730000000005"/>
    <n v="2272"/>
  </r>
  <r>
    <x v="1"/>
    <x v="12"/>
    <s v="SINGLE MALT SCOTCH"/>
    <x v="6"/>
    <n v="4958"/>
    <n v="303517.27999999898"/>
    <n v="3851.6499999999996"/>
    <n v="1411"/>
  </r>
  <r>
    <x v="1"/>
    <x v="12"/>
    <s v="STRAIGHT RYE WHISKIES"/>
    <x v="6"/>
    <n v="9959"/>
    <n v="319821.16999999969"/>
    <n v="7675.24"/>
    <n v="1845"/>
  </r>
  <r>
    <x v="1"/>
    <x v="12"/>
    <s v="TRIPLE SEC"/>
    <x v="3"/>
    <n v="13247"/>
    <n v="54436.620000000032"/>
    <n v="13043.5"/>
    <n v="622"/>
  </r>
  <r>
    <x v="1"/>
    <x v="12"/>
    <s v="NEUTRAL GRAIN SPIRITS"/>
    <x v="3"/>
    <n v="2547"/>
    <n v="36883.779999999992"/>
    <n v="1995.0499999999995"/>
    <n v="347"/>
  </r>
  <r>
    <x v="1"/>
    <x v="12"/>
    <s v="MEZCAL"/>
    <x v="7"/>
    <n v="951"/>
    <n v="30048.209999999974"/>
    <n v="714.75"/>
    <n v="196"/>
  </r>
  <r>
    <x v="1"/>
    <x v="12"/>
    <s v="AMERICAN SLOE GINS"/>
    <x v="4"/>
    <n v="256"/>
    <n v="2087.7899999999991"/>
    <n v="242.25"/>
    <n v="50"/>
  </r>
  <r>
    <x v="1"/>
    <x v="12"/>
    <s v="CORN WHISKIES"/>
    <x v="6"/>
    <n v="487"/>
    <n v="10679.439999999999"/>
    <n v="328.84000000000003"/>
    <n v="100"/>
  </r>
  <r>
    <x v="1"/>
    <x v="12"/>
    <s v="SPECIAL ORDER ITEMS"/>
    <x v="3"/>
    <n v="13269"/>
    <n v="160784.94999999998"/>
    <n v="20493.949999999986"/>
    <n v="197"/>
  </r>
  <r>
    <x v="1"/>
    <x v="13"/>
    <s v="100% AGAVE TEQUILA"/>
    <x v="7"/>
    <n v="89284"/>
    <n v="2629686.2799999723"/>
    <n v="61956.070000000458"/>
    <n v="10506"/>
  </r>
  <r>
    <x v="1"/>
    <x v="13"/>
    <s v="AGED DARK RUM"/>
    <x v="0"/>
    <n v="3704"/>
    <n v="82089.550000000032"/>
    <n v="2975.2"/>
    <n v="617"/>
  </r>
  <r>
    <x v="1"/>
    <x v="13"/>
    <s v="AMERICAN BRANDIES"/>
    <x v="1"/>
    <n v="55677"/>
    <n v="362700.6200000004"/>
    <n v="28140.459999999672"/>
    <n v="4515"/>
  </r>
  <r>
    <x v="1"/>
    <x v="13"/>
    <s v="AMERICAN CORDIALS &amp; LIQUEURSS"/>
    <x v="2"/>
    <n v="28155"/>
    <n v="320010.67000000126"/>
    <n v="13058.959999999744"/>
    <n v="4370"/>
  </r>
  <r>
    <x v="1"/>
    <x v="13"/>
    <s v="AMERICAN DISTILLED SPIRITS SPECIALTY"/>
    <x v="3"/>
    <n v="5707"/>
    <n v="116815.58000000006"/>
    <n v="4237.05"/>
    <n v="725"/>
  </r>
  <r>
    <x v="1"/>
    <x v="13"/>
    <s v="AMERICAN DRY GINS"/>
    <x v="4"/>
    <n v="27465"/>
    <n v="244189.91000000085"/>
    <n v="22204.34999999994"/>
    <n v="2509"/>
  </r>
  <r>
    <x v="1"/>
    <x v="13"/>
    <s v="AMERICAN FLAVORED VODKA"/>
    <x v="5"/>
    <n v="79704"/>
    <n v="889300.20000003558"/>
    <n v="56129.56000000015"/>
    <n v="9407"/>
  </r>
  <r>
    <x v="1"/>
    <x v="13"/>
    <s v="AMERICAN SCHNAPPS"/>
    <x v="2"/>
    <n v="78893"/>
    <n v="561946.09000001813"/>
    <n v="33636.419999998667"/>
    <n v="6342"/>
  </r>
  <r>
    <x v="1"/>
    <x v="13"/>
    <s v="AMERICAN VODKAS"/>
    <x v="5"/>
    <n v="505674"/>
    <n v="5318724.4100000598"/>
    <n v="456010.56999997777"/>
    <n v="31787"/>
  </r>
  <r>
    <x v="1"/>
    <x v="13"/>
    <s v="BLENDED WHISKIES"/>
    <x v="6"/>
    <n v="74481"/>
    <n v="1159501.8099999835"/>
    <n v="61376.63000000047"/>
    <n v="7238"/>
  </r>
  <r>
    <x v="1"/>
    <x v="13"/>
    <s v="BOTTLED IN BOND BOURBON"/>
    <x v="6"/>
    <n v="3094"/>
    <n v="84296.23000000001"/>
    <n v="2686.5"/>
    <n v="673"/>
  </r>
  <r>
    <x v="1"/>
    <x v="13"/>
    <s v="CANADIAN WHISKIES"/>
    <x v="6"/>
    <n v="300735"/>
    <n v="5505730.7799997209"/>
    <n v="296582.28999999579"/>
    <n v="23110"/>
  </r>
  <r>
    <x v="1"/>
    <x v="13"/>
    <s v="COCKTAILS/RTD"/>
    <x v="3"/>
    <n v="50464"/>
    <n v="609921.32999999006"/>
    <n v="69295.880000000237"/>
    <n v="6197"/>
  </r>
  <r>
    <x v="1"/>
    <x v="13"/>
    <s v="COFFEE LIQUEURS"/>
    <x v="2"/>
    <n v="6342"/>
    <n v="135650.51000000047"/>
    <n v="5355.640000000004"/>
    <n v="884"/>
  </r>
  <r>
    <x v="1"/>
    <x v="13"/>
    <s v="CREAM LIQUEURS"/>
    <x v="2"/>
    <n v="27030"/>
    <n v="561212.79999999632"/>
    <n v="21453.429999999909"/>
    <n v="3678"/>
  </r>
  <r>
    <x v="1"/>
    <x v="13"/>
    <s v="FLAVORED GIN"/>
    <x v="4"/>
    <n v="3655"/>
    <n v="94638.9"/>
    <n v="2754.75"/>
    <n v="380"/>
  </r>
  <r>
    <x v="1"/>
    <x v="13"/>
    <s v="FLAVORED RUM"/>
    <x v="0"/>
    <n v="34266"/>
    <n v="531346.65000000037"/>
    <n v="32064.109999999935"/>
    <n v="3619"/>
  </r>
  <r>
    <x v="1"/>
    <x v="13"/>
    <s v="GOLD RUM"/>
    <x v="0"/>
    <n v="5535"/>
    <n v="76425.669999999853"/>
    <n v="6104.5800000000054"/>
    <n v="858"/>
  </r>
  <r>
    <x v="1"/>
    <x v="13"/>
    <s v="IMPORTED BRANDIES"/>
    <x v="1"/>
    <n v="33436"/>
    <n v="766501.88999999315"/>
    <n v="15864.749999999991"/>
    <n v="3182"/>
  </r>
  <r>
    <x v="1"/>
    <x v="13"/>
    <s v="IMPORTED CORDIALS &amp; LIQUEURSS"/>
    <x v="2"/>
    <n v="36068"/>
    <n v="855824.56000000413"/>
    <n v="26393.14999999994"/>
    <n v="4357"/>
  </r>
  <r>
    <x v="1"/>
    <x v="13"/>
    <s v="IMPORTED DISTILLED SPIRITS SPECIALTY"/>
    <x v="3"/>
    <n v="26383"/>
    <n v="199837.22999999992"/>
    <n v="22656.49"/>
    <n v="715"/>
  </r>
  <r>
    <x v="1"/>
    <x v="13"/>
    <s v="IMPORTED DRY GINS"/>
    <x v="4"/>
    <n v="15397"/>
    <n v="415337.17999999924"/>
    <n v="14600.63000000001"/>
    <n v="1751"/>
  </r>
  <r>
    <x v="1"/>
    <x v="13"/>
    <s v="IMPORTED FLAVORED VODKA"/>
    <x v="5"/>
    <n v="15590"/>
    <n v="276765.83000000165"/>
    <n v="12496.830000000004"/>
    <n v="2109"/>
  </r>
  <r>
    <x v="1"/>
    <x v="13"/>
    <s v="IMPORTED SCHNAPPS"/>
    <x v="2"/>
    <n v="26119"/>
    <n v="474985.64000000106"/>
    <n v="24114.149999999863"/>
    <n v="2475"/>
  </r>
  <r>
    <x v="1"/>
    <x v="13"/>
    <s v="IMPORTED VODKAS"/>
    <x v="5"/>
    <n v="47336"/>
    <n v="820077.62999999186"/>
    <n v="49133.18000000016"/>
    <n v="4311"/>
  </r>
  <r>
    <x v="1"/>
    <x v="13"/>
    <s v="IRISH WHISKIES"/>
    <x v="6"/>
    <n v="35553"/>
    <n v="987574.18999998958"/>
    <n v="28721.069999999901"/>
    <n v="2886"/>
  </r>
  <r>
    <x v="1"/>
    <x v="13"/>
    <s v="MEZCAL"/>
    <x v="7"/>
    <n v="1123"/>
    <n v="37182.210000000014"/>
    <n v="847.25"/>
    <n v="233"/>
  </r>
  <r>
    <x v="1"/>
    <x v="13"/>
    <s v="MIXTO TEQUILA"/>
    <x v="7"/>
    <n v="65274"/>
    <n v="925720.37999999232"/>
    <n v="50185.509999999937"/>
    <n v="4362"/>
  </r>
  <r>
    <x v="1"/>
    <x v="13"/>
    <s v="NEUTRAL GRAIN SPIRITS"/>
    <x v="3"/>
    <n v="2331"/>
    <n v="33021.029999999992"/>
    <n v="1740.5499999999997"/>
    <n v="318"/>
  </r>
  <r>
    <x v="1"/>
    <x v="13"/>
    <s v="NEUTRAL GRAIN SPIRITS FLAVORED"/>
    <x v="3"/>
    <n v="15452"/>
    <n v="256717.70000000315"/>
    <n v="8049.0999999999858"/>
    <n v="2925"/>
  </r>
  <r>
    <x v="1"/>
    <x v="13"/>
    <s v="SCOTCH WHISKIES"/>
    <x v="6"/>
    <n v="12661"/>
    <n v="348583.92999999947"/>
    <n v="13725.97000000001"/>
    <n v="2211"/>
  </r>
  <r>
    <x v="1"/>
    <x v="13"/>
    <s v="SINGLE BARREL BOURBON WHISKIES"/>
    <x v="6"/>
    <n v="5282"/>
    <n v="219601.61999999997"/>
    <n v="3961.5"/>
    <n v="771"/>
  </r>
  <r>
    <x v="1"/>
    <x v="13"/>
    <s v="SINGLE MALT SCOTCH"/>
    <x v="6"/>
    <n v="4453"/>
    <n v="254369.29999999996"/>
    <n v="3464.900000000001"/>
    <n v="1225"/>
  </r>
  <r>
    <x v="1"/>
    <x v="13"/>
    <s v="SPECIAL ORDER ITEMS"/>
    <x v="3"/>
    <n v="5725"/>
    <n v="68401.140000000029"/>
    <n v="7877.4499999999989"/>
    <n v="189"/>
  </r>
  <r>
    <x v="1"/>
    <x v="13"/>
    <s v="SPICED RUM"/>
    <x v="0"/>
    <n v="97546"/>
    <n v="1366084.9399999315"/>
    <n v="83347.390000000305"/>
    <n v="7799"/>
  </r>
  <r>
    <x v="1"/>
    <x v="13"/>
    <s v="STRAIGHT BOURBON WHISKIES"/>
    <x v="6"/>
    <n v="131425"/>
    <n v="3069533.3200000012"/>
    <n v="105023.97000000194"/>
    <n v="16796"/>
  </r>
  <r>
    <x v="1"/>
    <x v="13"/>
    <s v="STRAIGHT RYE WHISKIES"/>
    <x v="6"/>
    <n v="10195"/>
    <n v="304050.2899999994"/>
    <n v="7856.0099999999984"/>
    <n v="1763"/>
  </r>
  <r>
    <x v="1"/>
    <x v="13"/>
    <s v="TEMPORARY &amp; SPECIALTY PACKAGES"/>
    <x v="3"/>
    <n v="14968"/>
    <n v="513388.91999999934"/>
    <n v="9731.3200000000015"/>
    <n v="2662"/>
  </r>
  <r>
    <x v="1"/>
    <x v="13"/>
    <s v="TENNESSEE WHISKIES"/>
    <x v="6"/>
    <n v="51853"/>
    <n v="1181479.3299999922"/>
    <n v="35541.40999999956"/>
    <n v="6060"/>
  </r>
  <r>
    <x v="1"/>
    <x v="13"/>
    <s v="TRIPLE SEC"/>
    <x v="3"/>
    <n v="17684"/>
    <n v="72911.940000000075"/>
    <n v="17539"/>
    <n v="627"/>
  </r>
  <r>
    <x v="1"/>
    <x v="13"/>
    <s v="WHISKEY LIQUEUR"/>
    <x v="6"/>
    <n v="352909"/>
    <n v="1953283.1999999525"/>
    <n v="79256.340000004246"/>
    <n v="12977"/>
  </r>
  <r>
    <x v="1"/>
    <x v="13"/>
    <s v="WHITE RUM"/>
    <x v="0"/>
    <n v="33553"/>
    <n v="398413.71999999753"/>
    <n v="34894.069999999876"/>
    <n v="3143"/>
  </r>
  <r>
    <x v="1"/>
    <x v="13"/>
    <s v="CORN WHISKIES"/>
    <x v="6"/>
    <n v="606"/>
    <n v="15342.93"/>
    <n v="404.98"/>
    <n v="101"/>
  </r>
  <r>
    <x v="1"/>
    <x v="13"/>
    <s v="AMERICAN SLOE GINS"/>
    <x v="4"/>
    <n v="273"/>
    <n v="2297.4099999999994"/>
    <n v="268.25"/>
    <n v="45"/>
  </r>
  <r>
    <x v="1"/>
    <x v="14"/>
    <s v="100% AGAVE TEQUILA"/>
    <x v="7"/>
    <n v="81041"/>
    <n v="2290314.4899999429"/>
    <n v="53788.200000000521"/>
    <n v="10123"/>
  </r>
  <r>
    <x v="1"/>
    <x v="14"/>
    <s v="AMERICAN FLAVORED VODKA"/>
    <x v="5"/>
    <n v="77911"/>
    <n v="893122.030000036"/>
    <n v="56675.740000000187"/>
    <n v="9237"/>
  </r>
  <r>
    <x v="1"/>
    <x v="14"/>
    <s v="AMERICAN VODKAS"/>
    <x v="5"/>
    <n v="496478"/>
    <n v="4851894.1600001445"/>
    <n v="430088.63999997859"/>
    <n v="31698"/>
  </r>
  <r>
    <x v="1"/>
    <x v="14"/>
    <s v="CANADIAN WHISKIES"/>
    <x v="6"/>
    <n v="218917"/>
    <n v="3463355.8799998825"/>
    <n v="198641.41999999806"/>
    <n v="19665"/>
  </r>
  <r>
    <x v="1"/>
    <x v="14"/>
    <s v="FLAVORED RUM"/>
    <x v="0"/>
    <n v="35901"/>
    <n v="552626.57000000018"/>
    <n v="33311.729999999952"/>
    <n v="3591"/>
  </r>
  <r>
    <x v="1"/>
    <x v="14"/>
    <s v="IMPORTED BRANDIES"/>
    <x v="1"/>
    <n v="35833"/>
    <n v="789140.929999994"/>
    <n v="16274.210000000019"/>
    <n v="3308"/>
  </r>
  <r>
    <x v="1"/>
    <x v="14"/>
    <s v="NEUTRAL GRAIN SPIRITS FLAVORED"/>
    <x v="3"/>
    <n v="15624"/>
    <n v="261014.45000000292"/>
    <n v="7968.1000000000013"/>
    <n v="3018"/>
  </r>
  <r>
    <x v="1"/>
    <x v="14"/>
    <s v="SPICED RUM"/>
    <x v="0"/>
    <n v="132069"/>
    <n v="2468083.719999861"/>
    <n v="150510.05000000112"/>
    <n v="7529"/>
  </r>
  <r>
    <x v="1"/>
    <x v="14"/>
    <s v="STRAIGHT BOURBON WHISKIES"/>
    <x v="6"/>
    <n v="134450"/>
    <n v="3029026.460000006"/>
    <n v="106167.48000000144"/>
    <n v="16195"/>
  </r>
  <r>
    <x v="1"/>
    <x v="14"/>
    <s v="WHISKEY LIQUEUR"/>
    <x v="6"/>
    <n v="353149"/>
    <n v="2016970.4699999462"/>
    <n v="81782.800000004252"/>
    <n v="12799"/>
  </r>
  <r>
    <x v="1"/>
    <x v="14"/>
    <s v="AMERICAN BRANDIES"/>
    <x v="1"/>
    <n v="55314"/>
    <n v="360432.76000000222"/>
    <n v="28299.449999999717"/>
    <n v="4270"/>
  </r>
  <r>
    <x v="1"/>
    <x v="14"/>
    <s v="AMERICAN SCHNAPPS"/>
    <x v="2"/>
    <n v="82548"/>
    <n v="605613.34000002127"/>
    <n v="37057.429999999484"/>
    <n v="6579"/>
  </r>
  <r>
    <x v="1"/>
    <x v="14"/>
    <s v="BLENDED WHISKIES"/>
    <x v="6"/>
    <n v="67537"/>
    <n v="904186.79999998829"/>
    <n v="57105.63000000023"/>
    <n v="7197"/>
  </r>
  <r>
    <x v="1"/>
    <x v="14"/>
    <s v="COCKTAILS/RTD"/>
    <x v="3"/>
    <n v="49436"/>
    <n v="579357.97999998508"/>
    <n v="66770.600000000282"/>
    <n v="5965"/>
  </r>
  <r>
    <x v="1"/>
    <x v="14"/>
    <s v="CREAM LIQUEURS"/>
    <x v="2"/>
    <n v="28321"/>
    <n v="580398.65999999293"/>
    <n v="23465.359999999811"/>
    <n v="3793"/>
  </r>
  <r>
    <x v="1"/>
    <x v="14"/>
    <s v="TRIPLE SEC"/>
    <x v="3"/>
    <n v="14877"/>
    <n v="61213.890000000058"/>
    <n v="14713.5"/>
    <n v="625"/>
  </r>
  <r>
    <x v="1"/>
    <x v="14"/>
    <s v="WHITE RUM"/>
    <x v="0"/>
    <n v="33440"/>
    <n v="405560.69999999716"/>
    <n v="34400.599999999882"/>
    <n v="3211"/>
  </r>
  <r>
    <x v="1"/>
    <x v="14"/>
    <s v="AMERICAN CORDIALS &amp; LIQUEURSS"/>
    <x v="2"/>
    <n v="32888"/>
    <n v="356295.59000000823"/>
    <n v="14981.799999999532"/>
    <n v="4724"/>
  </r>
  <r>
    <x v="1"/>
    <x v="14"/>
    <s v="IRISH WHISKIES"/>
    <x v="6"/>
    <n v="31689"/>
    <n v="882475.26999998116"/>
    <n v="26202.209999999908"/>
    <n v="2853"/>
  </r>
  <r>
    <x v="1"/>
    <x v="14"/>
    <s v="MIXTO TEQUILA"/>
    <x v="7"/>
    <n v="58654"/>
    <n v="809662.46999999369"/>
    <n v="43941.929999999862"/>
    <n v="4340"/>
  </r>
  <r>
    <x v="1"/>
    <x v="14"/>
    <s v="TEMPORARY &amp; SPECIALTY PACKAGES"/>
    <x v="3"/>
    <n v="38584"/>
    <n v="1175945.180000012"/>
    <n v="29080.909999999934"/>
    <n v="4408"/>
  </r>
  <r>
    <x v="1"/>
    <x v="14"/>
    <s v="TENNESSEE WHISKIES"/>
    <x v="6"/>
    <n v="61335"/>
    <n v="1460896.3599999903"/>
    <n v="44482.149999999798"/>
    <n v="6430"/>
  </r>
  <r>
    <x v="1"/>
    <x v="14"/>
    <s v="AMERICAN SLOE GINS"/>
    <x v="4"/>
    <n v="215"/>
    <n v="1825.3599999999994"/>
    <n v="213.5"/>
    <n v="46"/>
  </r>
  <r>
    <x v="1"/>
    <x v="14"/>
    <s v="IMPORTED CORDIALS &amp; LIQUEURSS"/>
    <x v="2"/>
    <n v="43723"/>
    <n v="1046032.0800000008"/>
    <n v="32747.799999999916"/>
    <n v="4451"/>
  </r>
  <r>
    <x v="1"/>
    <x v="14"/>
    <s v="IMPORTED DISTILLED SPIRITS SPECIALTY"/>
    <x v="3"/>
    <n v="32776"/>
    <n v="244016.88000000035"/>
    <n v="28579.459999999974"/>
    <n v="728"/>
  </r>
  <r>
    <x v="1"/>
    <x v="14"/>
    <s v="IMPORTED DRY GINS"/>
    <x v="4"/>
    <n v="14107"/>
    <n v="356539.78000000061"/>
    <n v="13397.900000000007"/>
    <n v="1655"/>
  </r>
  <r>
    <x v="1"/>
    <x v="14"/>
    <s v="IMPORTED SCHNAPPS"/>
    <x v="2"/>
    <n v="25068"/>
    <n v="457865.10000000126"/>
    <n v="22662.889999999825"/>
    <n v="2394"/>
  </r>
  <r>
    <x v="1"/>
    <x v="14"/>
    <s v="STRAIGHT RYE WHISKIES"/>
    <x v="6"/>
    <n v="9072"/>
    <n v="265489.10000000068"/>
    <n v="6978.619999999999"/>
    <n v="1409"/>
  </r>
  <r>
    <x v="1"/>
    <x v="14"/>
    <s v="IMPORTED FLAVORED VODKA"/>
    <x v="5"/>
    <n v="17815"/>
    <n v="308886.36000000098"/>
    <n v="13874.260000000011"/>
    <n v="2169"/>
  </r>
  <r>
    <x v="1"/>
    <x v="14"/>
    <s v="AMERICAN DRY GINS"/>
    <x v="4"/>
    <n v="25970"/>
    <n v="238583.12000000084"/>
    <n v="21518.589999999989"/>
    <n v="2360"/>
  </r>
  <r>
    <x v="1"/>
    <x v="14"/>
    <s v="IMPORTED VODKAS"/>
    <x v="5"/>
    <n v="56447"/>
    <n v="951595.49999998603"/>
    <n v="58348.520000000382"/>
    <n v="4489"/>
  </r>
  <r>
    <x v="1"/>
    <x v="14"/>
    <s v="SCOTCH WHISKIES"/>
    <x v="6"/>
    <n v="15023"/>
    <n v="403474.4"/>
    <n v="16765.780000000002"/>
    <n v="2219"/>
  </r>
  <r>
    <x v="1"/>
    <x v="14"/>
    <s v="SINGLE MALT SCOTCH"/>
    <x v="6"/>
    <n v="4455"/>
    <n v="241378.15000000023"/>
    <n v="3556.25"/>
    <n v="1048"/>
  </r>
  <r>
    <x v="1"/>
    <x v="14"/>
    <s v="COFFEE LIQUEURS"/>
    <x v="2"/>
    <n v="6432"/>
    <n v="140313.00000000044"/>
    <n v="5556.1800000000021"/>
    <n v="787"/>
  </r>
  <r>
    <x v="1"/>
    <x v="14"/>
    <s v="FLAVORED GIN"/>
    <x v="4"/>
    <n v="2732"/>
    <n v="69128.910000000018"/>
    <n v="2049.8000000000002"/>
    <n v="347"/>
  </r>
  <r>
    <x v="1"/>
    <x v="14"/>
    <s v="NEUTRAL GRAIN SPIRITS"/>
    <x v="3"/>
    <n v="2573"/>
    <n v="35607.859999999979"/>
    <n v="1963.9499999999998"/>
    <n v="291"/>
  </r>
  <r>
    <x v="1"/>
    <x v="14"/>
    <s v="GOLD RUM"/>
    <x v="0"/>
    <n v="5067"/>
    <n v="69625.049999999901"/>
    <n v="5740.980000000005"/>
    <n v="786"/>
  </r>
  <r>
    <x v="1"/>
    <x v="14"/>
    <s v="BOTTLED IN BOND BOURBON"/>
    <x v="6"/>
    <n v="4287"/>
    <n v="139133.82000000004"/>
    <n v="3494.25"/>
    <n v="661"/>
  </r>
  <r>
    <x v="1"/>
    <x v="14"/>
    <s v="AMERICAN DISTILLED SPIRITS SPECIALTY"/>
    <x v="3"/>
    <n v="6910"/>
    <n v="127867.25000000023"/>
    <n v="4978.579999999999"/>
    <n v="744"/>
  </r>
  <r>
    <x v="1"/>
    <x v="14"/>
    <s v="SINGLE BARREL BOURBON WHISKIES"/>
    <x v="6"/>
    <n v="2576"/>
    <n v="102002.98000000003"/>
    <n v="1932"/>
    <n v="482"/>
  </r>
  <r>
    <x v="1"/>
    <x v="14"/>
    <s v="MEZCAL"/>
    <x v="7"/>
    <n v="1178"/>
    <n v="40318.669999999991"/>
    <n v="887.25"/>
    <n v="218"/>
  </r>
  <r>
    <x v="1"/>
    <x v="14"/>
    <s v="AGED DARK RUM"/>
    <x v="0"/>
    <n v="4031"/>
    <n v="83893.460000000065"/>
    <n v="3367.25"/>
    <n v="579"/>
  </r>
  <r>
    <x v="1"/>
    <x v="14"/>
    <s v="SPECIAL ORDER ITEMS"/>
    <x v="3"/>
    <n v="2493"/>
    <n v="33641.260000000024"/>
    <n v="1528.3999999999987"/>
    <n v="186"/>
  </r>
  <r>
    <x v="1"/>
    <x v="14"/>
    <s v="CORN WHISKIES"/>
    <x v="6"/>
    <n v="459"/>
    <n v="9363.0399999999991"/>
    <n v="303.74"/>
    <n v="83"/>
  </r>
  <r>
    <x v="1"/>
    <x v="15"/>
    <s v="AMERICAN CORDIALS &amp; LIQUEURSS"/>
    <x v="2"/>
    <n v="34131"/>
    <n v="378096.18000000773"/>
    <n v="14491.009999999649"/>
    <n v="5080"/>
  </r>
  <r>
    <x v="1"/>
    <x v="15"/>
    <s v="AMERICAN SCHNAPPS"/>
    <x v="2"/>
    <n v="88291"/>
    <n v="642000.23000002792"/>
    <n v="37716.129999999808"/>
    <n v="7080"/>
  </r>
  <r>
    <x v="1"/>
    <x v="15"/>
    <s v="AMERICAN VODKAS"/>
    <x v="5"/>
    <n v="552072"/>
    <n v="5409313.6000000862"/>
    <n v="472444.77999997814"/>
    <n v="34229"/>
  </r>
  <r>
    <x v="1"/>
    <x v="15"/>
    <s v="BLENDED WHISKIES"/>
    <x v="6"/>
    <n v="69354"/>
    <n v="920757.36999998963"/>
    <n v="56393.270000000273"/>
    <n v="7563"/>
  </r>
  <r>
    <x v="1"/>
    <x v="15"/>
    <s v="BOTTLED IN BOND BOURBON"/>
    <x v="6"/>
    <n v="4797"/>
    <n v="157647.65000000005"/>
    <n v="3941.2499999999745"/>
    <n v="877"/>
  </r>
  <r>
    <x v="1"/>
    <x v="15"/>
    <s v="CANADIAN WHISKIES"/>
    <x v="6"/>
    <n v="237045"/>
    <n v="3928942.9499999508"/>
    <n v="211622.78999999751"/>
    <n v="20811"/>
  </r>
  <r>
    <x v="1"/>
    <x v="15"/>
    <s v="IMPORTED CORDIALS &amp; LIQUEURSS"/>
    <x v="2"/>
    <n v="46299"/>
    <n v="1087604.7500000009"/>
    <n v="33973.369999999937"/>
    <n v="4871"/>
  </r>
  <r>
    <x v="1"/>
    <x v="15"/>
    <s v="IMPORTED DRY GINS"/>
    <x v="4"/>
    <n v="17329"/>
    <n v="452269.42999999895"/>
    <n v="16488.340000000011"/>
    <n v="2116"/>
  </r>
  <r>
    <x v="1"/>
    <x v="15"/>
    <s v="IMPORTED FLAVORED VODKA"/>
    <x v="5"/>
    <n v="20858"/>
    <n v="358646.03000000049"/>
    <n v="16265.299999999996"/>
    <n v="2500"/>
  </r>
  <r>
    <x v="1"/>
    <x v="15"/>
    <s v="IMPORTED VODKAS"/>
    <x v="5"/>
    <n v="57282"/>
    <n v="962671.87999998918"/>
    <n v="59145.980000000229"/>
    <n v="4703"/>
  </r>
  <r>
    <x v="1"/>
    <x v="15"/>
    <s v="IRISH WHISKIES"/>
    <x v="6"/>
    <n v="22251"/>
    <n v="622244.43999999459"/>
    <n v="18543.989999999991"/>
    <n v="2348"/>
  </r>
  <r>
    <x v="1"/>
    <x v="15"/>
    <s v="MIXTO TEQUILA"/>
    <x v="7"/>
    <n v="78407"/>
    <n v="1154487.8799999936"/>
    <n v="60189.900000000103"/>
    <n v="4880"/>
  </r>
  <r>
    <x v="1"/>
    <x v="15"/>
    <s v="NEUTRAL GRAIN SPIRITS FLAVORED"/>
    <x v="3"/>
    <n v="15735"/>
    <n v="258336.78000000288"/>
    <n v="7629.2500000000164"/>
    <n v="3096"/>
  </r>
  <r>
    <x v="1"/>
    <x v="15"/>
    <s v="SINGLE MALT SCOTCH"/>
    <x v="6"/>
    <n v="5087"/>
    <n v="281529.38000000053"/>
    <n v="3915.6000000000022"/>
    <n v="1333"/>
  </r>
  <r>
    <x v="1"/>
    <x v="15"/>
    <s v="SPICED RUM"/>
    <x v="0"/>
    <n v="100501"/>
    <n v="1393476.3999999312"/>
    <n v="86777.720000000423"/>
    <n v="7952"/>
  </r>
  <r>
    <x v="1"/>
    <x v="15"/>
    <s v="STRAIGHT BOURBON WHISKIES"/>
    <x v="6"/>
    <n v="140502"/>
    <n v="3196848.2999999779"/>
    <n v="111954.73000000195"/>
    <n v="17006"/>
  </r>
  <r>
    <x v="1"/>
    <x v="15"/>
    <s v="TENNESSEE WHISKIES"/>
    <x v="6"/>
    <n v="59689"/>
    <n v="1347415.7599999921"/>
    <n v="41343.739999999787"/>
    <n v="6156"/>
  </r>
  <r>
    <x v="1"/>
    <x v="15"/>
    <s v="TRIPLE SEC"/>
    <x v="3"/>
    <n v="19878"/>
    <n v="81638.489999999874"/>
    <n v="19642.25"/>
    <n v="693"/>
  </r>
  <r>
    <x v="1"/>
    <x v="15"/>
    <s v="WHISKEY LIQUEUR"/>
    <x v="6"/>
    <n v="387094"/>
    <n v="2244927.2299999385"/>
    <n v="86690.550000005373"/>
    <n v="14023"/>
  </r>
  <r>
    <x v="1"/>
    <x v="15"/>
    <s v="WHITE RUM"/>
    <x v="0"/>
    <n v="38891"/>
    <n v="470182.19999999646"/>
    <n v="40681.629999999983"/>
    <n v="3425"/>
  </r>
  <r>
    <x v="1"/>
    <x v="15"/>
    <s v="AMERICAN DISTILLED SPIRITS SPECIALTY"/>
    <x v="3"/>
    <n v="5469"/>
    <n v="98176.920000000115"/>
    <n v="3740.63"/>
    <n v="707"/>
  </r>
  <r>
    <x v="1"/>
    <x v="15"/>
    <s v="TEMPORARY &amp; SPECIALTY PACKAGES"/>
    <x v="3"/>
    <n v="33613"/>
    <n v="936352.14000000805"/>
    <n v="24811.819999999927"/>
    <n v="2939"/>
  </r>
  <r>
    <x v="1"/>
    <x v="15"/>
    <s v="100% AGAVE TEQUILA"/>
    <x v="7"/>
    <n v="111136"/>
    <n v="3202815.9299999611"/>
    <n v="77662.380000000572"/>
    <n v="12020"/>
  </r>
  <r>
    <x v="1"/>
    <x v="15"/>
    <s v="IMPORTED SCHNAPPS"/>
    <x v="2"/>
    <n v="27605"/>
    <n v="492255.49000000133"/>
    <n v="24500.719999999845"/>
    <n v="2597"/>
  </r>
  <r>
    <x v="1"/>
    <x v="15"/>
    <s v="AMERICAN BRANDIES"/>
    <x v="1"/>
    <n v="56868"/>
    <n v="373140.79000000126"/>
    <n v="29188.139999999708"/>
    <n v="4555"/>
  </r>
  <r>
    <x v="1"/>
    <x v="15"/>
    <s v="AMERICAN FLAVORED VODKA"/>
    <x v="5"/>
    <n v="83020"/>
    <n v="914706.17000003799"/>
    <n v="56603.480000000171"/>
    <n v="9892"/>
  </r>
  <r>
    <x v="1"/>
    <x v="15"/>
    <s v="AMERICAN SLOE GINS"/>
    <x v="4"/>
    <n v="244"/>
    <n v="2067.6499999999996"/>
    <n v="241.75"/>
    <n v="44"/>
  </r>
  <r>
    <x v="1"/>
    <x v="15"/>
    <s v="FLAVORED RUM"/>
    <x v="0"/>
    <n v="38680"/>
    <n v="607252.50999999954"/>
    <n v="36430.829999999994"/>
    <n v="3830"/>
  </r>
  <r>
    <x v="1"/>
    <x v="15"/>
    <s v="STRAIGHT RYE WHISKIES"/>
    <x v="6"/>
    <n v="8666"/>
    <n v="264366.93000000081"/>
    <n v="6762.25"/>
    <n v="1562"/>
  </r>
  <r>
    <x v="1"/>
    <x v="15"/>
    <s v="AMERICAN DRY GINS"/>
    <x v="4"/>
    <n v="30527"/>
    <n v="272889.81000000145"/>
    <n v="24273.499999999953"/>
    <n v="2809"/>
  </r>
  <r>
    <x v="1"/>
    <x v="15"/>
    <s v="COCKTAILS/RTD"/>
    <x v="3"/>
    <n v="93747"/>
    <n v="1090164.7500000065"/>
    <n v="129233.53999999991"/>
    <n v="7714"/>
  </r>
  <r>
    <x v="1"/>
    <x v="15"/>
    <s v="CREAM LIQUEURS"/>
    <x v="2"/>
    <n v="23058"/>
    <n v="459623.10999999475"/>
    <n v="18713.919999999918"/>
    <n v="3538"/>
  </r>
  <r>
    <x v="1"/>
    <x v="15"/>
    <s v="GOLD RUM"/>
    <x v="0"/>
    <n v="5827"/>
    <n v="80372.019999999742"/>
    <n v="6428.0600000000049"/>
    <n v="889"/>
  </r>
  <r>
    <x v="1"/>
    <x v="15"/>
    <s v="NEUTRAL GRAIN SPIRITS"/>
    <x v="3"/>
    <n v="2275"/>
    <n v="32939.749999999993"/>
    <n v="1729.4499999999998"/>
    <n v="311"/>
  </r>
  <r>
    <x v="1"/>
    <x v="15"/>
    <s v="SCOTCH WHISKIES"/>
    <x v="6"/>
    <n v="15799"/>
    <n v="441747.35999999824"/>
    <n v="16831.280000000002"/>
    <n v="2495"/>
  </r>
  <r>
    <x v="1"/>
    <x v="15"/>
    <s v="IMPORTED BRANDIES"/>
    <x v="1"/>
    <n v="38561"/>
    <n v="859667.83999999263"/>
    <n v="17652.669999999925"/>
    <n v="3438"/>
  </r>
  <r>
    <x v="1"/>
    <x v="15"/>
    <s v="AGED DARK RUM"/>
    <x v="0"/>
    <n v="3402"/>
    <n v="75687.769999999917"/>
    <n v="2754.25"/>
    <n v="605"/>
  </r>
  <r>
    <x v="1"/>
    <x v="15"/>
    <s v="COFFEE LIQUEURS"/>
    <x v="2"/>
    <n v="6254"/>
    <n v="133575.87000000061"/>
    <n v="5251.6700000000028"/>
    <n v="801"/>
  </r>
  <r>
    <x v="1"/>
    <x v="15"/>
    <s v="FLAVORED GIN"/>
    <x v="4"/>
    <n v="3542"/>
    <n v="91457.640000000014"/>
    <n v="2674.55"/>
    <n v="398"/>
  </r>
  <r>
    <x v="1"/>
    <x v="15"/>
    <s v="MEZCAL"/>
    <x v="7"/>
    <n v="1281"/>
    <n v="39868.709999999992"/>
    <n v="961"/>
    <n v="229"/>
  </r>
  <r>
    <x v="1"/>
    <x v="15"/>
    <s v="SINGLE BARREL BOURBON WHISKIES"/>
    <x v="6"/>
    <n v="2502"/>
    <n v="100538.70000000001"/>
    <n v="1876.5"/>
    <n v="446"/>
  </r>
  <r>
    <x v="1"/>
    <x v="15"/>
    <s v="SPECIAL ORDER ITEMS"/>
    <x v="3"/>
    <n v="16548"/>
    <n v="188690.77999999991"/>
    <n v="26607.899999999976"/>
    <n v="178"/>
  </r>
  <r>
    <x v="1"/>
    <x v="15"/>
    <s v="IMPORTED DISTILLED SPIRITS SPECIALTY"/>
    <x v="3"/>
    <n v="34970"/>
    <n v="262329.91000000015"/>
    <n v="30468.59999999998"/>
    <n v="809"/>
  </r>
  <r>
    <x v="1"/>
    <x v="15"/>
    <s v="CORN WHISKIES"/>
    <x v="6"/>
    <n v="570"/>
    <n v="15822.39"/>
    <n v="406.85"/>
    <n v="84"/>
  </r>
  <r>
    <x v="1"/>
    <x v="16"/>
    <s v="AMERICAN DISTILLED SPIRITS SPECIALTY"/>
    <x v="3"/>
    <n v="5965"/>
    <n v="108952.75000000006"/>
    <n v="4144.62"/>
    <n v="770"/>
  </r>
  <r>
    <x v="1"/>
    <x v="16"/>
    <s v="AMERICAN SCHNAPPS"/>
    <x v="2"/>
    <n v="89604"/>
    <n v="649283.45000003208"/>
    <n v="37835.289999999681"/>
    <n v="7259"/>
  </r>
  <r>
    <x v="1"/>
    <x v="16"/>
    <s v="AMERICAN VODKAS"/>
    <x v="5"/>
    <n v="582775"/>
    <n v="6316239.0400000708"/>
    <n v="521186.02999997319"/>
    <n v="35196"/>
  </r>
  <r>
    <x v="1"/>
    <x v="16"/>
    <s v="BLENDED WHISKIES"/>
    <x v="6"/>
    <n v="67866"/>
    <n v="933377.95999998599"/>
    <n v="56952.990000000245"/>
    <n v="7508"/>
  </r>
  <r>
    <x v="1"/>
    <x v="16"/>
    <s v="CANADIAN WHISKIES"/>
    <x v="6"/>
    <n v="277134"/>
    <n v="4498922.5800000308"/>
    <n v="281577.89999999618"/>
    <n v="22323"/>
  </r>
  <r>
    <x v="1"/>
    <x v="16"/>
    <s v="COCKTAILS/RTD"/>
    <x v="3"/>
    <n v="63624"/>
    <n v="773342.11999999476"/>
    <n v="81803.770000000077"/>
    <n v="7781"/>
  </r>
  <r>
    <x v="1"/>
    <x v="16"/>
    <s v="CREAM LIQUEURS"/>
    <x v="2"/>
    <n v="26751"/>
    <n v="539689.54999999341"/>
    <n v="22603.789999999797"/>
    <n v="3489"/>
  </r>
  <r>
    <x v="1"/>
    <x v="16"/>
    <s v="NEUTRAL GRAIN SPIRITS FLAVORED"/>
    <x v="3"/>
    <n v="15525"/>
    <n v="254256.18000000308"/>
    <n v="7139.9499999999962"/>
    <n v="3173"/>
  </r>
  <r>
    <x v="1"/>
    <x v="16"/>
    <s v="SCOTCH WHISKIES"/>
    <x v="6"/>
    <n v="15665"/>
    <n v="444286.61999999918"/>
    <n v="16274.870000000021"/>
    <n v="2594"/>
  </r>
  <r>
    <x v="1"/>
    <x v="16"/>
    <s v="SPICED RUM"/>
    <x v="0"/>
    <n v="116220"/>
    <n v="1889215.7199998887"/>
    <n v="115567.62000000081"/>
    <n v="8248"/>
  </r>
  <r>
    <x v="1"/>
    <x v="16"/>
    <s v="STRAIGHT BOURBON WHISKIES"/>
    <x v="6"/>
    <n v="147493"/>
    <n v="3365738.3400000022"/>
    <n v="116640.12000000125"/>
    <n v="17688"/>
  </r>
  <r>
    <x v="1"/>
    <x v="16"/>
    <s v="WHISKEY LIQUEUR"/>
    <x v="6"/>
    <n v="401679"/>
    <n v="2292276.2699999358"/>
    <n v="90325.530000005514"/>
    <n v="14456"/>
  </r>
  <r>
    <x v="1"/>
    <x v="16"/>
    <s v="100% AGAVE TEQUILA"/>
    <x v="7"/>
    <n v="112914"/>
    <n v="3337299.450000003"/>
    <n v="77290.550000000934"/>
    <n v="13457"/>
  </r>
  <r>
    <x v="1"/>
    <x v="16"/>
    <s v="AMERICAN BRANDIES"/>
    <x v="1"/>
    <n v="59183"/>
    <n v="380298.69000000169"/>
    <n v="29584.619999999672"/>
    <n v="4560"/>
  </r>
  <r>
    <x v="1"/>
    <x v="16"/>
    <s v="AMERICAN CORDIALS &amp; LIQUEURSS"/>
    <x v="2"/>
    <n v="34264"/>
    <n v="366128.98000000784"/>
    <n v="13666.379999999637"/>
    <n v="5024"/>
  </r>
  <r>
    <x v="1"/>
    <x v="16"/>
    <s v="AMERICAN DRY GINS"/>
    <x v="4"/>
    <n v="31739"/>
    <n v="302575.45000000199"/>
    <n v="25473.56999999992"/>
    <n v="2924"/>
  </r>
  <r>
    <x v="1"/>
    <x v="16"/>
    <s v="AMERICAN FLAVORED VODKA"/>
    <x v="5"/>
    <n v="96831"/>
    <n v="1104501.4200000498"/>
    <n v="71268.410000000484"/>
    <n v="10865"/>
  </r>
  <r>
    <x v="1"/>
    <x v="16"/>
    <s v="FLAVORED GIN"/>
    <x v="4"/>
    <n v="5107"/>
    <n v="131628.98000000004"/>
    <n v="3792.4000000000033"/>
    <n v="528"/>
  </r>
  <r>
    <x v="1"/>
    <x v="16"/>
    <s v="FLAVORED RUM"/>
    <x v="0"/>
    <n v="49248"/>
    <n v="765037.17999999586"/>
    <n v="45594.73"/>
    <n v="4472"/>
  </r>
  <r>
    <x v="1"/>
    <x v="16"/>
    <s v="GOLD RUM"/>
    <x v="0"/>
    <n v="6661"/>
    <n v="92855.509999999849"/>
    <n v="7196.6800000000076"/>
    <n v="947"/>
  </r>
  <r>
    <x v="1"/>
    <x v="16"/>
    <s v="IMPORTED BRANDIES"/>
    <x v="1"/>
    <n v="37578"/>
    <n v="881744.36999999487"/>
    <n v="17628.999999999942"/>
    <n v="3394"/>
  </r>
  <r>
    <x v="1"/>
    <x v="16"/>
    <s v="IMPORTED CORDIALS &amp; LIQUEURSS"/>
    <x v="2"/>
    <n v="45262"/>
    <n v="1066432.9900000044"/>
    <n v="33001.029999999933"/>
    <n v="5131"/>
  </r>
  <r>
    <x v="1"/>
    <x v="16"/>
    <s v="IMPORTED FLAVORED VODKA"/>
    <x v="5"/>
    <n v="19854"/>
    <n v="343830.58000000089"/>
    <n v="15427.419999999998"/>
    <n v="2584"/>
  </r>
  <r>
    <x v="1"/>
    <x v="16"/>
    <s v="IMPORTED SCHNAPPS"/>
    <x v="2"/>
    <n v="29660"/>
    <n v="528635.75000000198"/>
    <n v="26308.999999999778"/>
    <n v="2737"/>
  </r>
  <r>
    <x v="1"/>
    <x v="16"/>
    <s v="IMPORTED VODKAS"/>
    <x v="5"/>
    <n v="59063"/>
    <n v="996945.94999997958"/>
    <n v="61056.990000000398"/>
    <n v="5074"/>
  </r>
  <r>
    <x v="1"/>
    <x v="16"/>
    <s v="IRISH WHISKIES"/>
    <x v="6"/>
    <n v="27973"/>
    <n v="784563.05999998888"/>
    <n v="23245.679999999946"/>
    <n v="2628"/>
  </r>
  <r>
    <x v="1"/>
    <x v="16"/>
    <s v="MIXTO TEQUILA"/>
    <x v="7"/>
    <n v="71757"/>
    <n v="1037595.5099999924"/>
    <n v="55451.9399999999"/>
    <n v="5065"/>
  </r>
  <r>
    <x v="1"/>
    <x v="16"/>
    <s v="NEUTRAL GRAIN SPIRITS"/>
    <x v="3"/>
    <n v="2773"/>
    <n v="38955.230000000018"/>
    <n v="2026.65"/>
    <n v="357"/>
  </r>
  <r>
    <x v="1"/>
    <x v="16"/>
    <s v="TEMPORARY &amp; SPECIALTY PACKAGES"/>
    <x v="3"/>
    <n v="42476"/>
    <n v="1238529.5199999867"/>
    <n v="30601.049999999996"/>
    <n v="4167"/>
  </r>
  <r>
    <x v="1"/>
    <x v="16"/>
    <s v="TENNESSEE WHISKIES"/>
    <x v="6"/>
    <n v="58907"/>
    <n v="1276297.589999991"/>
    <n v="39797.489999999751"/>
    <n v="6447"/>
  </r>
  <r>
    <x v="1"/>
    <x v="16"/>
    <s v="WHITE RUM"/>
    <x v="0"/>
    <n v="42384"/>
    <n v="525243.62999999605"/>
    <n v="45181.180000000051"/>
    <n v="3781"/>
  </r>
  <r>
    <x v="1"/>
    <x v="16"/>
    <s v="COFFEE LIQUEURS"/>
    <x v="2"/>
    <n v="6986"/>
    <n v="152602.69000000056"/>
    <n v="5970.8400000000056"/>
    <n v="901"/>
  </r>
  <r>
    <x v="1"/>
    <x v="16"/>
    <s v="IMPORTED DRY GINS"/>
    <x v="4"/>
    <n v="19092"/>
    <n v="498067.20999999967"/>
    <n v="18306.040000000015"/>
    <n v="2271"/>
  </r>
  <r>
    <x v="1"/>
    <x v="16"/>
    <s v="SINGLE MALT SCOTCH"/>
    <x v="6"/>
    <n v="5885"/>
    <n v="323809.14999999909"/>
    <n v="4564.8999999999996"/>
    <n v="1329"/>
  </r>
  <r>
    <x v="1"/>
    <x v="16"/>
    <s v="STRAIGHT RYE WHISKIES"/>
    <x v="6"/>
    <n v="9481"/>
    <n v="279207.18000000069"/>
    <n v="7379.15"/>
    <n v="1463"/>
  </r>
  <r>
    <x v="1"/>
    <x v="16"/>
    <s v="AGED DARK RUM"/>
    <x v="0"/>
    <n v="4034"/>
    <n v="85993.940000000308"/>
    <n v="3250.75"/>
    <n v="657"/>
  </r>
  <r>
    <x v="1"/>
    <x v="16"/>
    <s v="SPECIAL ORDER ITEMS"/>
    <x v="3"/>
    <n v="8393"/>
    <n v="97074.830000000075"/>
    <n v="12590.199999999999"/>
    <n v="177"/>
  </r>
  <r>
    <x v="1"/>
    <x v="16"/>
    <s v="TRIPLE SEC"/>
    <x v="3"/>
    <n v="20122"/>
    <n v="83148.609999999811"/>
    <n v="19808.75"/>
    <n v="845"/>
  </r>
  <r>
    <x v="1"/>
    <x v="16"/>
    <s v="IMPORTED DISTILLED SPIRITS SPECIALTY"/>
    <x v="3"/>
    <n v="32993"/>
    <n v="241386.02000000153"/>
    <n v="27678.769999999986"/>
    <n v="957"/>
  </r>
  <r>
    <x v="1"/>
    <x v="16"/>
    <s v="MEZCAL"/>
    <x v="7"/>
    <n v="1512"/>
    <n v="56116.229999999989"/>
    <n v="1172.25"/>
    <n v="283"/>
  </r>
  <r>
    <x v="1"/>
    <x v="16"/>
    <s v="SINGLE BARREL BOURBON WHISKIES"/>
    <x v="6"/>
    <n v="3778"/>
    <n v="156070.79999999999"/>
    <n v="2833.5"/>
    <n v="510"/>
  </r>
  <r>
    <x v="1"/>
    <x v="16"/>
    <s v="CORN WHISKIES"/>
    <x v="6"/>
    <n v="434"/>
    <n v="11031.570000000002"/>
    <n v="317.24"/>
    <n v="78"/>
  </r>
  <r>
    <x v="1"/>
    <x v="16"/>
    <s v="BOTTLED IN BOND BOURBON"/>
    <x v="6"/>
    <n v="3801"/>
    <n v="107944.03000000001"/>
    <n v="3203.75"/>
    <n v="653"/>
  </r>
  <r>
    <x v="1"/>
    <x v="16"/>
    <s v="AMERICAN SLOE GINS"/>
    <x v="4"/>
    <n v="233"/>
    <n v="1962.9699999999991"/>
    <n v="229.25"/>
    <n v="48"/>
  </r>
  <r>
    <x v="1"/>
    <x v="17"/>
    <s v="AMERICAN BRANDIES"/>
    <x v="1"/>
    <n v="54821"/>
    <n v="344129.91000000149"/>
    <n v="26894.219999999736"/>
    <n v="4175"/>
  </r>
  <r>
    <x v="1"/>
    <x v="17"/>
    <s v="AMERICAN CORDIALS &amp; LIQUEURSS"/>
    <x v="2"/>
    <n v="32287"/>
    <n v="365434.03000000824"/>
    <n v="13987.23999999962"/>
    <n v="4683"/>
  </r>
  <r>
    <x v="1"/>
    <x v="17"/>
    <s v="AMERICAN VODKAS"/>
    <x v="5"/>
    <n v="551895"/>
    <n v="5433233.1500001391"/>
    <n v="469015.76999998017"/>
    <n v="34054"/>
  </r>
  <r>
    <x v="1"/>
    <x v="17"/>
    <s v="BLENDED WHISKIES"/>
    <x v="6"/>
    <n v="66099"/>
    <n v="915073.84999998601"/>
    <n v="53904.670000000311"/>
    <n v="7476"/>
  </r>
  <r>
    <x v="1"/>
    <x v="17"/>
    <s v="CANADIAN WHISKIES"/>
    <x v="6"/>
    <n v="228426"/>
    <n v="3624441.0099999234"/>
    <n v="204862.65999999738"/>
    <n v="20219"/>
  </r>
  <r>
    <x v="1"/>
    <x v="17"/>
    <s v="CREAM LIQUEURS"/>
    <x v="2"/>
    <n v="19564"/>
    <n v="385577.17999999749"/>
    <n v="15853.369999999968"/>
    <n v="3027"/>
  </r>
  <r>
    <x v="1"/>
    <x v="17"/>
    <s v="IMPORTED CORDIALS &amp; LIQUEURSS"/>
    <x v="2"/>
    <n v="41742"/>
    <n v="966203.80000000342"/>
    <n v="29684.869999999923"/>
    <n v="4704"/>
  </r>
  <r>
    <x v="1"/>
    <x v="17"/>
    <s v="IRISH WHISKIES"/>
    <x v="6"/>
    <n v="25095"/>
    <n v="740375.30999999784"/>
    <n v="20708.599999999969"/>
    <n v="2755"/>
  </r>
  <r>
    <x v="1"/>
    <x v="17"/>
    <s v="MIXTO TEQUILA"/>
    <x v="7"/>
    <n v="78430"/>
    <n v="1161220.6099999908"/>
    <n v="59611.309999999874"/>
    <n v="4962"/>
  </r>
  <r>
    <x v="1"/>
    <x v="17"/>
    <s v="SCOTCH WHISKIES"/>
    <x v="6"/>
    <n v="14533"/>
    <n v="415366.12999999954"/>
    <n v="15495.060000000005"/>
    <n v="2405"/>
  </r>
  <r>
    <x v="1"/>
    <x v="17"/>
    <s v="SPICED RUM"/>
    <x v="0"/>
    <n v="115762"/>
    <n v="1764510.0299999171"/>
    <n v="105859.23000000058"/>
    <n v="8164"/>
  </r>
  <r>
    <x v="1"/>
    <x v="17"/>
    <s v="STRAIGHT BOURBON WHISKIES"/>
    <x v="6"/>
    <n v="142084"/>
    <n v="3226648.9800000158"/>
    <n v="112871.90000000171"/>
    <n v="16372"/>
  </r>
  <r>
    <x v="1"/>
    <x v="17"/>
    <s v="TEMPORARY &amp; SPECIALTY PACKAGES"/>
    <x v="3"/>
    <n v="22350"/>
    <n v="749899.37999999849"/>
    <n v="19183.239999999951"/>
    <n v="4348"/>
  </r>
  <r>
    <x v="1"/>
    <x v="17"/>
    <s v="WHISKEY LIQUEUR"/>
    <x v="6"/>
    <n v="385246"/>
    <n v="2164189.8999999529"/>
    <n v="83984.350000003993"/>
    <n v="13696"/>
  </r>
  <r>
    <x v="1"/>
    <x v="17"/>
    <s v="100% AGAVE TEQUILA"/>
    <x v="7"/>
    <n v="113937"/>
    <n v="3427482.7399999741"/>
    <n v="77498.810000000856"/>
    <n v="12381"/>
  </r>
  <r>
    <x v="1"/>
    <x v="17"/>
    <s v="AMERICAN FLAVORED VODKA"/>
    <x v="5"/>
    <n v="93694"/>
    <n v="1089116.8900000523"/>
    <n v="66346.800000000527"/>
    <n v="10564"/>
  </r>
  <r>
    <x v="1"/>
    <x v="17"/>
    <s v="AMERICAN SCHNAPPS"/>
    <x v="2"/>
    <n v="88194"/>
    <n v="636986.05000002915"/>
    <n v="35546.459999999104"/>
    <n v="7187"/>
  </r>
  <r>
    <x v="1"/>
    <x v="17"/>
    <s v="FLAVORED GIN"/>
    <x v="4"/>
    <n v="4766"/>
    <n v="123432.73000000003"/>
    <n v="3558.4500000000003"/>
    <n v="546"/>
  </r>
  <r>
    <x v="1"/>
    <x v="17"/>
    <s v="FLAVORED RUM"/>
    <x v="0"/>
    <n v="51009"/>
    <n v="796406.05999999528"/>
    <n v="47640.890000000014"/>
    <n v="4478"/>
  </r>
  <r>
    <x v="1"/>
    <x v="17"/>
    <s v="IMPORTED BRANDIES"/>
    <x v="1"/>
    <n v="34933"/>
    <n v="825828.16999999632"/>
    <n v="16663.199999999939"/>
    <n v="3172"/>
  </r>
  <r>
    <x v="1"/>
    <x v="17"/>
    <s v="IMPORTED DRY GINS"/>
    <x v="4"/>
    <n v="19369"/>
    <n v="495829.13999999937"/>
    <n v="18327.020000000004"/>
    <n v="2278"/>
  </r>
  <r>
    <x v="1"/>
    <x v="17"/>
    <s v="IMPORTED SCHNAPPS"/>
    <x v="2"/>
    <n v="24455"/>
    <n v="430930.69999999896"/>
    <n v="21488.82999999994"/>
    <n v="2393"/>
  </r>
  <r>
    <x v="1"/>
    <x v="17"/>
    <s v="NEUTRAL GRAIN SPIRITS FLAVORED"/>
    <x v="3"/>
    <n v="15894"/>
    <n v="262203.92000000377"/>
    <n v="7630.2000000000025"/>
    <n v="3160"/>
  </r>
  <r>
    <x v="1"/>
    <x v="17"/>
    <s v="SINGLE BARREL BOURBON WHISKIES"/>
    <x v="6"/>
    <n v="5562"/>
    <n v="236539.16999999998"/>
    <n v="4171.5"/>
    <n v="571"/>
  </r>
  <r>
    <x v="1"/>
    <x v="17"/>
    <s v="STRAIGHT RYE WHISKIES"/>
    <x v="6"/>
    <n v="10240"/>
    <n v="297702.89000000013"/>
    <n v="7932.2"/>
    <n v="1503"/>
  </r>
  <r>
    <x v="1"/>
    <x v="17"/>
    <s v="TENNESSEE WHISKIES"/>
    <x v="6"/>
    <n v="61366"/>
    <n v="1379265.8099999919"/>
    <n v="43222.109999999855"/>
    <n v="6180"/>
  </r>
  <r>
    <x v="1"/>
    <x v="17"/>
    <s v="AMERICAN DISTILLED SPIRITS SPECIALTY"/>
    <x v="3"/>
    <n v="7647"/>
    <n v="140457.68000000023"/>
    <n v="5476.94"/>
    <n v="707"/>
  </r>
  <r>
    <x v="1"/>
    <x v="17"/>
    <s v="AMERICAN DRY GINS"/>
    <x v="4"/>
    <n v="29311"/>
    <n v="289670.35000000172"/>
    <n v="24494.359999999953"/>
    <n v="2755"/>
  </r>
  <r>
    <x v="1"/>
    <x v="17"/>
    <s v="COCKTAILS/RTD"/>
    <x v="3"/>
    <n v="62391"/>
    <n v="733301.06999999343"/>
    <n v="86844.150000000111"/>
    <n v="7350"/>
  </r>
  <r>
    <x v="1"/>
    <x v="17"/>
    <s v="IMPORTED FLAVORED VODKA"/>
    <x v="5"/>
    <n v="26269"/>
    <n v="447423.37000000098"/>
    <n v="20697.300000000003"/>
    <n v="2726"/>
  </r>
  <r>
    <x v="1"/>
    <x v="17"/>
    <s v="AGED DARK RUM"/>
    <x v="0"/>
    <n v="3674"/>
    <n v="78645.000000000116"/>
    <n v="3029.2"/>
    <n v="634"/>
  </r>
  <r>
    <x v="1"/>
    <x v="17"/>
    <s v="BOTTLED IN BOND BOURBON"/>
    <x v="6"/>
    <n v="4455"/>
    <n v="129112.14000000004"/>
    <n v="3705.25"/>
    <n v="705"/>
  </r>
  <r>
    <x v="1"/>
    <x v="17"/>
    <s v="COFFEE LIQUEURS"/>
    <x v="2"/>
    <n v="5814"/>
    <n v="128412.17000000049"/>
    <n v="4870.520000000005"/>
    <n v="731"/>
  </r>
  <r>
    <x v="1"/>
    <x v="17"/>
    <s v="IMPORTED VODKAS"/>
    <x v="5"/>
    <n v="65746"/>
    <n v="1106758.1899999671"/>
    <n v="71488.550000000396"/>
    <n v="4963"/>
  </r>
  <r>
    <x v="1"/>
    <x v="17"/>
    <s v="NEUTRAL GRAIN SPIRITS"/>
    <x v="3"/>
    <n v="2489"/>
    <n v="34717.569999999985"/>
    <n v="1901.35"/>
    <n v="314"/>
  </r>
  <r>
    <x v="1"/>
    <x v="17"/>
    <s v="WHITE RUM"/>
    <x v="0"/>
    <n v="41906"/>
    <n v="525102.32999999647"/>
    <n v="43375.00999999998"/>
    <n v="3732"/>
  </r>
  <r>
    <x v="1"/>
    <x v="17"/>
    <s v="IMPORTED DISTILLED SPIRITS SPECIALTY"/>
    <x v="3"/>
    <n v="38709"/>
    <n v="290995.36000000103"/>
    <n v="34186.609999999942"/>
    <n v="815"/>
  </r>
  <r>
    <x v="1"/>
    <x v="17"/>
    <s v="TRIPLE SEC"/>
    <x v="3"/>
    <n v="17853"/>
    <n v="73303.259999999878"/>
    <n v="17601.5"/>
    <n v="742"/>
  </r>
  <r>
    <x v="1"/>
    <x v="17"/>
    <s v="GOLD RUM"/>
    <x v="0"/>
    <n v="5575"/>
    <n v="79483.659999999974"/>
    <n v="6236.7100000000064"/>
    <n v="827"/>
  </r>
  <r>
    <x v="1"/>
    <x v="17"/>
    <s v="CORN WHISKIES"/>
    <x v="6"/>
    <n v="407"/>
    <n v="9833.4600000000028"/>
    <n v="276"/>
    <n v="76"/>
  </r>
  <r>
    <x v="1"/>
    <x v="17"/>
    <s v="MEZCAL"/>
    <x v="7"/>
    <n v="1201"/>
    <n v="38162.299999999996"/>
    <n v="902.25"/>
    <n v="213"/>
  </r>
  <r>
    <x v="1"/>
    <x v="17"/>
    <s v="SINGLE MALT SCOTCH"/>
    <x v="6"/>
    <n v="5261"/>
    <n v="299657.13999999966"/>
    <n v="4145.8499999999995"/>
    <n v="1307"/>
  </r>
  <r>
    <x v="1"/>
    <x v="17"/>
    <s v="SPECIAL ORDER ITEMS"/>
    <x v="3"/>
    <n v="9325"/>
    <n v="104644.30000000003"/>
    <n v="12750.899999999998"/>
    <n v="203"/>
  </r>
  <r>
    <x v="1"/>
    <x v="17"/>
    <s v="AMERICAN SLOE GINS"/>
    <x v="4"/>
    <n v="194"/>
    <n v="1651.3899999999999"/>
    <n v="193.25"/>
    <n v="36"/>
  </r>
  <r>
    <x v="1"/>
    <x v="18"/>
    <s v="AMERICAN VODKAS"/>
    <x v="5"/>
    <n v="569193"/>
    <n v="5844933.8800001228"/>
    <n v="487273.69999997574"/>
    <n v="34969"/>
  </r>
  <r>
    <x v="1"/>
    <x v="18"/>
    <s v="BLENDED WHISKIES"/>
    <x v="6"/>
    <n v="67249"/>
    <n v="880537.41999998526"/>
    <n v="54958.960000000297"/>
    <n v="7319"/>
  </r>
  <r>
    <x v="1"/>
    <x v="18"/>
    <s v="CANADIAN WHISKIES"/>
    <x v="6"/>
    <n v="276556"/>
    <n v="4855933.740000031"/>
    <n v="267796.52999999531"/>
    <n v="21418"/>
  </r>
  <r>
    <x v="1"/>
    <x v="18"/>
    <s v="CREAM LIQUEURS"/>
    <x v="2"/>
    <n v="21256"/>
    <n v="424284.90999999596"/>
    <n v="17925.139999999847"/>
    <n v="3287"/>
  </r>
  <r>
    <x v="1"/>
    <x v="18"/>
    <s v="IMPORTED SCHNAPPS"/>
    <x v="2"/>
    <n v="29265"/>
    <n v="526155.12000000151"/>
    <n v="26094.39999999978"/>
    <n v="2905"/>
  </r>
  <r>
    <x v="1"/>
    <x v="18"/>
    <s v="IMPORTED VODKAS"/>
    <x v="5"/>
    <n v="61030"/>
    <n v="996559.95999997901"/>
    <n v="63982.11000000035"/>
    <n v="4963"/>
  </r>
  <r>
    <x v="1"/>
    <x v="18"/>
    <s v="SPICED RUM"/>
    <x v="0"/>
    <n v="112183"/>
    <n v="1802945.689999897"/>
    <n v="109557.95000000074"/>
    <n v="8176"/>
  </r>
  <r>
    <x v="1"/>
    <x v="18"/>
    <s v="STRAIGHT BOURBON WHISKIES"/>
    <x v="6"/>
    <n v="137078"/>
    <n v="3178520.6800000407"/>
    <n v="111245.78000000169"/>
    <n v="17149"/>
  </r>
  <r>
    <x v="1"/>
    <x v="18"/>
    <s v="WHISKEY LIQUEUR"/>
    <x v="6"/>
    <n v="389301"/>
    <n v="2214370.4999999278"/>
    <n v="84301.680000004621"/>
    <n v="14037"/>
  </r>
  <r>
    <x v="1"/>
    <x v="18"/>
    <s v="WHITE RUM"/>
    <x v="0"/>
    <n v="41373"/>
    <n v="514645.24999999726"/>
    <n v="42968.900000000009"/>
    <n v="3793"/>
  </r>
  <r>
    <x v="1"/>
    <x v="18"/>
    <s v="100% AGAVE TEQUILA"/>
    <x v="7"/>
    <n v="104577"/>
    <n v="2921371.2899999698"/>
    <n v="70150.500000000829"/>
    <n v="12147"/>
  </r>
  <r>
    <x v="1"/>
    <x v="18"/>
    <s v="AGED DARK RUM"/>
    <x v="0"/>
    <n v="4129"/>
    <n v="88723.750000000087"/>
    <n v="3434.5"/>
    <n v="684"/>
  </r>
  <r>
    <x v="1"/>
    <x v="18"/>
    <s v="AMERICAN CORDIALS &amp; LIQUEURSS"/>
    <x v="2"/>
    <n v="34900"/>
    <n v="385349.74000000965"/>
    <n v="13968.889999999594"/>
    <n v="5277"/>
  </r>
  <r>
    <x v="1"/>
    <x v="18"/>
    <s v="AMERICAN FLAVORED VODKA"/>
    <x v="5"/>
    <n v="93243"/>
    <n v="1049677.7000000475"/>
    <n v="64006.260000000308"/>
    <n v="11179"/>
  </r>
  <r>
    <x v="1"/>
    <x v="18"/>
    <s v="AMERICAN SCHNAPPS"/>
    <x v="2"/>
    <n v="89862"/>
    <n v="683357.21000003873"/>
    <n v="37392.97999999937"/>
    <n v="7754"/>
  </r>
  <r>
    <x v="1"/>
    <x v="18"/>
    <s v="COCKTAILS/RTD"/>
    <x v="3"/>
    <n v="73694"/>
    <n v="860779.80000000226"/>
    <n v="85195.090000000069"/>
    <n v="8285"/>
  </r>
  <r>
    <x v="1"/>
    <x v="18"/>
    <s v="IMPORTED CORDIALS &amp; LIQUEURSS"/>
    <x v="2"/>
    <n v="42434"/>
    <n v="999472.89000000455"/>
    <n v="30980.139999999941"/>
    <n v="5081"/>
  </r>
  <r>
    <x v="1"/>
    <x v="18"/>
    <s v="IMPORTED DRY GINS"/>
    <x v="4"/>
    <n v="18172"/>
    <n v="460943.58999999927"/>
    <n v="16920.370000000006"/>
    <n v="2327"/>
  </r>
  <r>
    <x v="1"/>
    <x v="18"/>
    <s v="IMPORTED FLAVORED VODKA"/>
    <x v="5"/>
    <n v="19273"/>
    <n v="317706.71000000171"/>
    <n v="15020.129999999992"/>
    <n v="2487"/>
  </r>
  <r>
    <x v="1"/>
    <x v="18"/>
    <s v="IRISH WHISKIES"/>
    <x v="6"/>
    <n v="26793"/>
    <n v="759477.74999999371"/>
    <n v="22934.839999999978"/>
    <n v="2565"/>
  </r>
  <r>
    <x v="1"/>
    <x v="18"/>
    <s v="NEUTRAL GRAIN SPIRITS FLAVORED"/>
    <x v="3"/>
    <n v="17310"/>
    <n v="288336.07000000298"/>
    <n v="8805.5999999999694"/>
    <n v="3569"/>
  </r>
  <r>
    <x v="1"/>
    <x v="18"/>
    <s v="STRAIGHT RYE WHISKIES"/>
    <x v="6"/>
    <n v="7648"/>
    <n v="243560.23999999993"/>
    <n v="5907.75"/>
    <n v="1612"/>
  </r>
  <r>
    <x v="1"/>
    <x v="18"/>
    <s v="TENNESSEE WHISKIES"/>
    <x v="6"/>
    <n v="68295"/>
    <n v="1606709.0799999931"/>
    <n v="50431.3299999999"/>
    <n v="6654"/>
  </r>
  <r>
    <x v="1"/>
    <x v="18"/>
    <s v="AMERICAN DISTILLED SPIRITS SPECIALTY"/>
    <x v="3"/>
    <n v="9163"/>
    <n v="213055.68000000052"/>
    <n v="6695.34"/>
    <n v="755"/>
  </r>
  <r>
    <x v="1"/>
    <x v="18"/>
    <s v="GOLD RUM"/>
    <x v="0"/>
    <n v="6168"/>
    <n v="86038.669999999911"/>
    <n v="6558.4900000000052"/>
    <n v="874"/>
  </r>
  <r>
    <x v="1"/>
    <x v="18"/>
    <s v="TEMPORARY &amp; SPECIALTY PACKAGES"/>
    <x v="3"/>
    <n v="14701"/>
    <n v="532510.54000000178"/>
    <n v="10802.719999999983"/>
    <n v="4166"/>
  </r>
  <r>
    <x v="1"/>
    <x v="18"/>
    <s v="AMERICAN BRANDIES"/>
    <x v="1"/>
    <n v="57492"/>
    <n v="363283.06000000093"/>
    <n v="28090.909999999651"/>
    <n v="4373"/>
  </r>
  <r>
    <x v="1"/>
    <x v="18"/>
    <s v="AMERICAN DRY GINS"/>
    <x v="4"/>
    <n v="31874"/>
    <n v="293986.14000000292"/>
    <n v="24170.239999999831"/>
    <n v="3032"/>
  </r>
  <r>
    <x v="1"/>
    <x v="18"/>
    <s v="COFFEE LIQUEURS"/>
    <x v="2"/>
    <n v="6125"/>
    <n v="122548.93000000046"/>
    <n v="5190.5200000000059"/>
    <n v="825"/>
  </r>
  <r>
    <x v="1"/>
    <x v="18"/>
    <s v="FLAVORED RUM"/>
    <x v="0"/>
    <n v="45889"/>
    <n v="685432.44999999646"/>
    <n v="42690.479999999989"/>
    <n v="4596"/>
  </r>
  <r>
    <x v="1"/>
    <x v="18"/>
    <s v="MIXTO TEQUILA"/>
    <x v="7"/>
    <n v="66073"/>
    <n v="945368.14999999141"/>
    <n v="49881.659999999763"/>
    <n v="4997"/>
  </r>
  <r>
    <x v="1"/>
    <x v="18"/>
    <s v="IMPORTED BRANDIES"/>
    <x v="1"/>
    <n v="37306"/>
    <n v="844849.2799999963"/>
    <n v="17293.329999999947"/>
    <n v="3086"/>
  </r>
  <r>
    <x v="1"/>
    <x v="18"/>
    <s v="NEUTRAL GRAIN SPIRITS"/>
    <x v="3"/>
    <n v="3000"/>
    <n v="43515.790000000015"/>
    <n v="2300.599999999999"/>
    <n v="404"/>
  </r>
  <r>
    <x v="1"/>
    <x v="18"/>
    <s v="SCOTCH WHISKIES"/>
    <x v="6"/>
    <n v="14229"/>
    <n v="393258.66999999993"/>
    <n v="15429.100000000011"/>
    <n v="2380"/>
  </r>
  <r>
    <x v="1"/>
    <x v="18"/>
    <s v="SINGLE BARREL BOURBON WHISKIES"/>
    <x v="6"/>
    <n v="3926"/>
    <n v="164849.34"/>
    <n v="2944.5"/>
    <n v="537"/>
  </r>
  <r>
    <x v="1"/>
    <x v="18"/>
    <s v="SINGLE MALT SCOTCH"/>
    <x v="6"/>
    <n v="5432"/>
    <n v="303773.13999999978"/>
    <n v="4203.5499999999993"/>
    <n v="1347"/>
  </r>
  <r>
    <x v="1"/>
    <x v="18"/>
    <s v="TRIPLE SEC"/>
    <x v="3"/>
    <n v="18598"/>
    <n v="76342.419999999853"/>
    <n v="18305.75"/>
    <n v="801"/>
  </r>
  <r>
    <x v="1"/>
    <x v="18"/>
    <s v="FLAVORED GIN"/>
    <x v="4"/>
    <n v="4985"/>
    <n v="127884.27000000011"/>
    <n v="3714.7000000000012"/>
    <n v="550"/>
  </r>
  <r>
    <x v="1"/>
    <x v="18"/>
    <s v="IMPORTED DISTILLED SPIRITS SPECIALTY"/>
    <x v="3"/>
    <n v="26425"/>
    <n v="199904.96000000002"/>
    <n v="22568.300000000003"/>
    <n v="813"/>
  </r>
  <r>
    <x v="1"/>
    <x v="18"/>
    <s v="BOTTLED IN BOND BOURBON"/>
    <x v="6"/>
    <n v="3278"/>
    <n v="95701.430000000037"/>
    <n v="2856.5"/>
    <n v="538"/>
  </r>
  <r>
    <x v="1"/>
    <x v="18"/>
    <s v="SPECIAL ORDER ITEMS"/>
    <x v="3"/>
    <n v="9040"/>
    <n v="102776.68999999999"/>
    <n v="12888.049999999997"/>
    <n v="218"/>
  </r>
  <r>
    <x v="1"/>
    <x v="18"/>
    <s v="CORN WHISKIES"/>
    <x v="6"/>
    <n v="603"/>
    <n v="14090.570000000002"/>
    <n v="434.24"/>
    <n v="94"/>
  </r>
  <r>
    <x v="1"/>
    <x v="18"/>
    <s v="AMERICAN SLOE GINS"/>
    <x v="4"/>
    <n v="261"/>
    <n v="2200.2999999999984"/>
    <n v="257"/>
    <n v="51"/>
  </r>
  <r>
    <x v="1"/>
    <x v="18"/>
    <s v="MEZCAL"/>
    <x v="7"/>
    <n v="1403"/>
    <n v="47834.27999999997"/>
    <n v="1062.9000000000001"/>
    <n v="264"/>
  </r>
  <r>
    <x v="1"/>
    <x v="19"/>
    <s v="100% AGAVE TEQUILA"/>
    <x v="7"/>
    <n v="104653"/>
    <n v="2935203.8099999703"/>
    <n v="69612.470000000685"/>
    <n v="12499"/>
  </r>
  <r>
    <x v="1"/>
    <x v="19"/>
    <s v="AGED DARK RUM"/>
    <x v="0"/>
    <n v="3250"/>
    <n v="73158.560000000027"/>
    <n v="2673.25"/>
    <n v="612"/>
  </r>
  <r>
    <x v="1"/>
    <x v="19"/>
    <s v="AMERICAN BRANDIES"/>
    <x v="1"/>
    <n v="53353"/>
    <n v="341985.58000000106"/>
    <n v="26593.649999999718"/>
    <n v="4170"/>
  </r>
  <r>
    <x v="1"/>
    <x v="19"/>
    <s v="AMERICAN CORDIALS &amp; LIQUEURSS"/>
    <x v="2"/>
    <n v="32568"/>
    <n v="365567.74000000698"/>
    <n v="13186.919999999776"/>
    <n v="4832"/>
  </r>
  <r>
    <x v="1"/>
    <x v="19"/>
    <s v="AMERICAN DISTILLED SPIRITS SPECIALTY"/>
    <x v="3"/>
    <n v="6448"/>
    <n v="117195.48000000024"/>
    <n v="4447.38"/>
    <n v="691"/>
  </r>
  <r>
    <x v="1"/>
    <x v="19"/>
    <s v="AMERICAN DRY GINS"/>
    <x v="4"/>
    <n v="31277"/>
    <n v="282147.68000000197"/>
    <n v="24456.809999999939"/>
    <n v="2768"/>
  </r>
  <r>
    <x v="1"/>
    <x v="19"/>
    <s v="AMERICAN FLAVORED VODKA"/>
    <x v="5"/>
    <n v="93318"/>
    <n v="1052169.6300000467"/>
    <n v="67273.740000000224"/>
    <n v="10345"/>
  </r>
  <r>
    <x v="1"/>
    <x v="19"/>
    <s v="AMERICAN SCHNAPPS"/>
    <x v="2"/>
    <n v="88588"/>
    <n v="642888.49000002956"/>
    <n v="34601.679999998974"/>
    <n v="7358"/>
  </r>
  <r>
    <x v="1"/>
    <x v="19"/>
    <s v="AMERICAN VODKAS"/>
    <x v="5"/>
    <n v="609881"/>
    <n v="6909632.8400000781"/>
    <n v="573619.3899999737"/>
    <n v="35031"/>
  </r>
  <r>
    <x v="1"/>
    <x v="19"/>
    <s v="BLENDED WHISKIES"/>
    <x v="6"/>
    <n v="66959"/>
    <n v="875131.05999998632"/>
    <n v="55400.250000000182"/>
    <n v="7299"/>
  </r>
  <r>
    <x v="1"/>
    <x v="19"/>
    <s v="BOTTLED IN BOND BOURBON"/>
    <x v="6"/>
    <n v="3532"/>
    <n v="100572.27000000002"/>
    <n v="3162"/>
    <n v="581"/>
  </r>
  <r>
    <x v="1"/>
    <x v="19"/>
    <s v="CANADIAN WHISKIES"/>
    <x v="6"/>
    <n v="214036"/>
    <n v="3392833.9999999106"/>
    <n v="188620.96999999788"/>
    <n v="20117"/>
  </r>
  <r>
    <x v="1"/>
    <x v="19"/>
    <s v="COCKTAILS/RTD"/>
    <x v="3"/>
    <n v="62236"/>
    <n v="745713.06999999529"/>
    <n v="71046.160000000222"/>
    <n v="7312"/>
  </r>
  <r>
    <x v="1"/>
    <x v="19"/>
    <s v="COFFEE LIQUEURS"/>
    <x v="2"/>
    <n v="7386"/>
    <n v="159654.78000000081"/>
    <n v="6346.7200000000048"/>
    <n v="830"/>
  </r>
  <r>
    <x v="1"/>
    <x v="19"/>
    <s v="CREAM LIQUEURS"/>
    <x v="2"/>
    <n v="22448"/>
    <n v="442888.73999999592"/>
    <n v="18742.219999999907"/>
    <n v="3358"/>
  </r>
  <r>
    <x v="1"/>
    <x v="19"/>
    <s v="FLAVORED GIN"/>
    <x v="4"/>
    <n v="3587"/>
    <n v="91618.730000000054"/>
    <n v="2661"/>
    <n v="461"/>
  </r>
  <r>
    <x v="1"/>
    <x v="19"/>
    <s v="FLAVORED RUM"/>
    <x v="0"/>
    <n v="41208"/>
    <n v="620159.68000000017"/>
    <n v="38384.059999999969"/>
    <n v="4222"/>
  </r>
  <r>
    <x v="1"/>
    <x v="19"/>
    <s v="GOLD RUM"/>
    <x v="0"/>
    <n v="6155"/>
    <n v="83177.739999999962"/>
    <n v="6638.5400000000072"/>
    <n v="846"/>
  </r>
  <r>
    <x v="1"/>
    <x v="19"/>
    <s v="IMPORTED BRANDIES"/>
    <x v="1"/>
    <n v="33687"/>
    <n v="771961.3499999959"/>
    <n v="15683.169999999966"/>
    <n v="3018"/>
  </r>
  <r>
    <x v="1"/>
    <x v="19"/>
    <s v="IMPORTED CORDIALS &amp; LIQUEURSS"/>
    <x v="2"/>
    <n v="39047"/>
    <n v="916658.89000000339"/>
    <n v="28936.859999999917"/>
    <n v="4573"/>
  </r>
  <r>
    <x v="1"/>
    <x v="19"/>
    <s v="IMPORTED DISTILLED SPIRITS SPECIALTY"/>
    <x v="3"/>
    <n v="36069"/>
    <n v="267139.73000000016"/>
    <n v="32363.639999999967"/>
    <n v="799"/>
  </r>
  <r>
    <x v="1"/>
    <x v="19"/>
    <s v="IMPORTED DRY GINS"/>
    <x v="4"/>
    <n v="20267"/>
    <n v="535757.75999999791"/>
    <n v="19901.86"/>
    <n v="2239"/>
  </r>
  <r>
    <x v="1"/>
    <x v="19"/>
    <s v="IMPORTED FLAVORED VODKA"/>
    <x v="5"/>
    <n v="25121"/>
    <n v="402262.23000000214"/>
    <n v="19693.320000000003"/>
    <n v="2586"/>
  </r>
  <r>
    <x v="1"/>
    <x v="19"/>
    <s v="IMPORTED SCHNAPPS"/>
    <x v="2"/>
    <n v="28446"/>
    <n v="505128.02000000176"/>
    <n v="25444.879999999848"/>
    <n v="2515"/>
  </r>
  <r>
    <x v="1"/>
    <x v="19"/>
    <s v="IMPORTED VODKAS"/>
    <x v="5"/>
    <n v="67600"/>
    <n v="1111921.6999999683"/>
    <n v="67148.560000000434"/>
    <n v="5064"/>
  </r>
  <r>
    <x v="1"/>
    <x v="19"/>
    <s v="IRISH WHISKIES"/>
    <x v="6"/>
    <n v="28048"/>
    <n v="762424.91999999166"/>
    <n v="22894.019999999953"/>
    <n v="2519"/>
  </r>
  <r>
    <x v="1"/>
    <x v="19"/>
    <s v="MEZCAL"/>
    <x v="7"/>
    <n v="1298"/>
    <n v="40931.709999999992"/>
    <n v="974.7"/>
    <n v="237"/>
  </r>
  <r>
    <x v="1"/>
    <x v="19"/>
    <s v="MIXTO TEQUILA"/>
    <x v="7"/>
    <n v="67458"/>
    <n v="954935.26999999094"/>
    <n v="50430.739999999954"/>
    <n v="4720"/>
  </r>
  <r>
    <x v="1"/>
    <x v="19"/>
    <s v="NEUTRAL GRAIN SPIRITS"/>
    <x v="3"/>
    <n v="3020"/>
    <n v="42956.310000000012"/>
    <n v="2392.7000000000003"/>
    <n v="358"/>
  </r>
  <r>
    <x v="1"/>
    <x v="19"/>
    <s v="NEUTRAL GRAIN SPIRITS FLAVORED"/>
    <x v="3"/>
    <n v="16130"/>
    <n v="267060.08000000281"/>
    <n v="8254.5000000000218"/>
    <n v="3072"/>
  </r>
  <r>
    <x v="1"/>
    <x v="19"/>
    <s v="SCOTCH WHISKIES"/>
    <x v="6"/>
    <n v="14968"/>
    <n v="419935.35999999882"/>
    <n v="15883.760000000017"/>
    <n v="2411"/>
  </r>
  <r>
    <x v="1"/>
    <x v="19"/>
    <s v="SINGLE MALT SCOTCH"/>
    <x v="6"/>
    <n v="3964"/>
    <n v="221830.03000000044"/>
    <n v="3078.75"/>
    <n v="1114"/>
  </r>
  <r>
    <x v="1"/>
    <x v="19"/>
    <s v="SPECIAL ORDER ITEMS"/>
    <x v="3"/>
    <n v="1871"/>
    <n v="22088.510000000013"/>
    <n v="937.14999999999964"/>
    <n v="148"/>
  </r>
  <r>
    <x v="1"/>
    <x v="19"/>
    <s v="SPICED RUM"/>
    <x v="0"/>
    <n v="102328"/>
    <n v="1449795.4899999239"/>
    <n v="89917.270000000572"/>
    <n v="8068"/>
  </r>
  <r>
    <x v="1"/>
    <x v="19"/>
    <s v="STRAIGHT BOURBON WHISKIES"/>
    <x v="6"/>
    <n v="137256"/>
    <n v="3221106.6399999987"/>
    <n v="110951.27000000144"/>
    <n v="16355"/>
  </r>
  <r>
    <x v="1"/>
    <x v="19"/>
    <s v="STRAIGHT RYE WHISKIES"/>
    <x v="6"/>
    <n v="10656"/>
    <n v="339188.52000000019"/>
    <n v="8281.4999999999964"/>
    <n v="1824"/>
  </r>
  <r>
    <x v="1"/>
    <x v="19"/>
    <s v="TEMPORARY &amp; SPECIALTY PACKAGES"/>
    <x v="3"/>
    <n v="17897"/>
    <n v="461078.58999999991"/>
    <n v="14330.699999999972"/>
    <n v="3627"/>
  </r>
  <r>
    <x v="1"/>
    <x v="19"/>
    <s v="TENNESSEE WHISKIES"/>
    <x v="6"/>
    <n v="65020"/>
    <n v="1540504.379999991"/>
    <n v="48071.609999999826"/>
    <n v="6383"/>
  </r>
  <r>
    <x v="1"/>
    <x v="19"/>
    <s v="TRIPLE SEC"/>
    <x v="3"/>
    <n v="17569"/>
    <n v="72896.619999999966"/>
    <n v="17329.5"/>
    <n v="680"/>
  </r>
  <r>
    <x v="1"/>
    <x v="19"/>
    <s v="WHISKEY LIQUEUR"/>
    <x v="6"/>
    <n v="395126"/>
    <n v="2337686.5399999293"/>
    <n v="94773.560000005586"/>
    <n v="14186"/>
  </r>
  <r>
    <x v="1"/>
    <x v="19"/>
    <s v="WHITE RUM"/>
    <x v="0"/>
    <n v="40706"/>
    <n v="496143.89999999764"/>
    <n v="43295.730000000018"/>
    <n v="3597"/>
  </r>
  <r>
    <x v="1"/>
    <x v="19"/>
    <s v="SINGLE BARREL BOURBON WHISKIES"/>
    <x v="6"/>
    <n v="3159"/>
    <n v="124238.88000000008"/>
    <n v="2301.75"/>
    <n v="476"/>
  </r>
  <r>
    <x v="1"/>
    <x v="19"/>
    <s v="CORN WHISKIES"/>
    <x v="6"/>
    <n v="402"/>
    <n v="10480.720000000001"/>
    <n v="281.24"/>
    <n v="79"/>
  </r>
  <r>
    <x v="1"/>
    <x v="19"/>
    <s v="AMERICAN SLOE GINS"/>
    <x v="4"/>
    <n v="254"/>
    <n v="2169.1599999999989"/>
    <n v="254"/>
    <n v="46"/>
  </r>
  <r>
    <x v="1"/>
    <x v="20"/>
    <s v="100% AGAVE TEQUILA"/>
    <x v="7"/>
    <n v="96435"/>
    <n v="2797915.5899999593"/>
    <n v="65429.790000000612"/>
    <n v="11158"/>
  </r>
  <r>
    <x v="1"/>
    <x v="20"/>
    <s v="AMERICAN BRANDIES"/>
    <x v="1"/>
    <n v="55835"/>
    <n v="361231.2600000017"/>
    <n v="27640.729999999705"/>
    <n v="4230"/>
  </r>
  <r>
    <x v="1"/>
    <x v="20"/>
    <s v="AMERICAN CORDIALS &amp; LIQUEURSS"/>
    <x v="2"/>
    <n v="31118"/>
    <n v="341217.32000000484"/>
    <n v="12171.859999999782"/>
    <n v="4505"/>
  </r>
  <r>
    <x v="1"/>
    <x v="20"/>
    <s v="AMERICAN FLAVORED VODKA"/>
    <x v="5"/>
    <n v="79757"/>
    <n v="910818.6000000299"/>
    <n v="53963.510000000053"/>
    <n v="9164"/>
  </r>
  <r>
    <x v="1"/>
    <x v="20"/>
    <s v="AMERICAN SCHNAPPS"/>
    <x v="2"/>
    <n v="84974"/>
    <n v="611673.77000002959"/>
    <n v="34421.979999998497"/>
    <n v="7043"/>
  </r>
  <r>
    <x v="1"/>
    <x v="20"/>
    <s v="AMERICAN VODKAS"/>
    <x v="5"/>
    <n v="495971"/>
    <n v="4570830.710000135"/>
    <n v="410154.13999998366"/>
    <n v="31873"/>
  </r>
  <r>
    <x v="1"/>
    <x v="20"/>
    <s v="BLENDED WHISKIES"/>
    <x v="6"/>
    <n v="59358"/>
    <n v="814490.90999999363"/>
    <n v="48322.470000000132"/>
    <n v="6316"/>
  </r>
  <r>
    <x v="1"/>
    <x v="20"/>
    <s v="CANADIAN WHISKIES"/>
    <x v="6"/>
    <n v="227266"/>
    <n v="3558437.9299998428"/>
    <n v="224442.309999997"/>
    <n v="18194"/>
  </r>
  <r>
    <x v="1"/>
    <x v="20"/>
    <s v="COCKTAILS/RTD"/>
    <x v="3"/>
    <n v="58388"/>
    <n v="688763.60999999731"/>
    <n v="68406.4300000004"/>
    <n v="6623"/>
  </r>
  <r>
    <x v="1"/>
    <x v="20"/>
    <s v="COFFEE LIQUEURS"/>
    <x v="2"/>
    <n v="8049"/>
    <n v="170473.03000000067"/>
    <n v="6915.3600000000042"/>
    <n v="829"/>
  </r>
  <r>
    <x v="1"/>
    <x v="20"/>
    <s v="CREAM LIQUEURS"/>
    <x v="2"/>
    <n v="23664"/>
    <n v="494549.47999999556"/>
    <n v="20594.07999999986"/>
    <n v="2975"/>
  </r>
  <r>
    <x v="1"/>
    <x v="20"/>
    <s v="FLAVORED RUM"/>
    <x v="0"/>
    <n v="32493"/>
    <n v="479962.69000000128"/>
    <n v="29582.019999999942"/>
    <n v="3549"/>
  </r>
  <r>
    <x v="1"/>
    <x v="20"/>
    <s v="GOLD RUM"/>
    <x v="0"/>
    <n v="5234"/>
    <n v="73424.090000000026"/>
    <n v="5551.1100000000051"/>
    <n v="815"/>
  </r>
  <r>
    <x v="1"/>
    <x v="20"/>
    <s v="IMPORTED CORDIALS &amp; LIQUEURSS"/>
    <x v="2"/>
    <n v="39408"/>
    <n v="921219.28000000119"/>
    <n v="28660.439999999955"/>
    <n v="4227"/>
  </r>
  <r>
    <x v="1"/>
    <x v="20"/>
    <s v="IMPORTED SCHNAPPS"/>
    <x v="2"/>
    <n v="27234"/>
    <n v="481909.25000000122"/>
    <n v="24160.379999999863"/>
    <n v="2527"/>
  </r>
  <r>
    <x v="1"/>
    <x v="20"/>
    <s v="IMPORTED VODKAS"/>
    <x v="5"/>
    <n v="50809"/>
    <n v="843462.96999998577"/>
    <n v="53460.980000000251"/>
    <n v="4242"/>
  </r>
  <r>
    <x v="1"/>
    <x v="20"/>
    <s v="IRISH WHISKIES"/>
    <x v="6"/>
    <n v="23650"/>
    <n v="642301.32999999553"/>
    <n v="19012.909999999978"/>
    <n v="2485"/>
  </r>
  <r>
    <x v="1"/>
    <x v="20"/>
    <s v="MIXTO TEQUILA"/>
    <x v="7"/>
    <n v="53389"/>
    <n v="747066.80999999389"/>
    <n v="38866.919999999889"/>
    <n v="4119"/>
  </r>
  <r>
    <x v="1"/>
    <x v="20"/>
    <s v="NEUTRAL GRAIN SPIRITS FLAVORED"/>
    <x v="3"/>
    <n v="14723"/>
    <n v="243027.94000000277"/>
    <n v="7445.6500000000187"/>
    <n v="2874"/>
  </r>
  <r>
    <x v="1"/>
    <x v="20"/>
    <s v="SCOTCH WHISKIES"/>
    <x v="6"/>
    <n v="13865"/>
    <n v="405192.17000000033"/>
    <n v="15036.570000000002"/>
    <n v="2206"/>
  </r>
  <r>
    <x v="1"/>
    <x v="20"/>
    <s v="SPICED RUM"/>
    <x v="0"/>
    <n v="102245"/>
    <n v="1695170.9399999129"/>
    <n v="109182.03000000103"/>
    <n v="6878"/>
  </r>
  <r>
    <x v="1"/>
    <x v="20"/>
    <s v="STRAIGHT BOURBON WHISKIES"/>
    <x v="6"/>
    <n v="136675"/>
    <n v="3237347.1500000241"/>
    <n v="109073.57000000139"/>
    <n v="16040"/>
  </r>
  <r>
    <x v="1"/>
    <x v="20"/>
    <s v="STRAIGHT RYE WHISKIES"/>
    <x v="6"/>
    <n v="7899"/>
    <n v="245857.4000000013"/>
    <n v="6092.8499999999995"/>
    <n v="1301"/>
  </r>
  <r>
    <x v="1"/>
    <x v="20"/>
    <s v="TENNESSEE WHISKIES"/>
    <x v="6"/>
    <n v="54843"/>
    <n v="1197971.5299999933"/>
    <n v="37091.089999999698"/>
    <n v="6071"/>
  </r>
  <r>
    <x v="1"/>
    <x v="20"/>
    <s v="WHISKEY LIQUEUR"/>
    <x v="6"/>
    <n v="383932"/>
    <n v="2218549.0699999463"/>
    <n v="86564.420000004277"/>
    <n v="13559"/>
  </r>
  <r>
    <x v="1"/>
    <x v="20"/>
    <s v="WHITE RUM"/>
    <x v="0"/>
    <n v="35181"/>
    <n v="411547.87999999733"/>
    <n v="35692.109999999928"/>
    <n v="3267"/>
  </r>
  <r>
    <x v="1"/>
    <x v="20"/>
    <s v="TEMPORARY &amp; SPECIALTY PACKAGES"/>
    <x v="3"/>
    <n v="79888"/>
    <n v="2152065.8599999184"/>
    <n v="61289.03000000069"/>
    <n v="7825"/>
  </r>
  <r>
    <x v="1"/>
    <x v="20"/>
    <s v="IMPORTED BRANDIES"/>
    <x v="1"/>
    <n v="30114"/>
    <n v="693017.41000000015"/>
    <n v="14469.43999999996"/>
    <n v="2718"/>
  </r>
  <r>
    <x v="1"/>
    <x v="20"/>
    <s v="TRIPLE SEC"/>
    <x v="3"/>
    <n v="14866"/>
    <n v="60913.04000000003"/>
    <n v="14701"/>
    <n v="616"/>
  </r>
  <r>
    <x v="1"/>
    <x v="20"/>
    <s v="AMERICAN DRY GINS"/>
    <x v="4"/>
    <n v="28594"/>
    <n v="283159.15000000212"/>
    <n v="24097.149999999951"/>
    <n v="2655"/>
  </r>
  <r>
    <x v="1"/>
    <x v="20"/>
    <s v="IMPORTED DRY GINS"/>
    <x v="4"/>
    <n v="16349"/>
    <n v="422371.66999999987"/>
    <n v="15110.950000000008"/>
    <n v="1809"/>
  </r>
  <r>
    <x v="1"/>
    <x v="20"/>
    <s v="NEUTRAL GRAIN SPIRITS"/>
    <x v="3"/>
    <n v="4680"/>
    <n v="66718.810000000012"/>
    <n v="3680.2000000000012"/>
    <n v="418"/>
  </r>
  <r>
    <x v="1"/>
    <x v="20"/>
    <s v="AMERICAN DISTILLED SPIRITS SPECIALTY"/>
    <x v="3"/>
    <n v="5916"/>
    <n v="131133.90000000014"/>
    <n v="4123.0899999999992"/>
    <n v="652"/>
  </r>
  <r>
    <x v="1"/>
    <x v="20"/>
    <s v="FLAVORED GIN"/>
    <x v="4"/>
    <n v="4091"/>
    <n v="104883.96000000006"/>
    <n v="3068.0499999999997"/>
    <n v="408"/>
  </r>
  <r>
    <x v="1"/>
    <x v="20"/>
    <s v="IMPORTED FLAVORED VODKA"/>
    <x v="5"/>
    <n v="16550"/>
    <n v="266936.75000000262"/>
    <n v="13004.600000000008"/>
    <n v="2132"/>
  </r>
  <r>
    <x v="1"/>
    <x v="20"/>
    <s v="SINGLE MALT SCOTCH"/>
    <x v="6"/>
    <n v="4598"/>
    <n v="304810.20000000042"/>
    <n v="3559.75"/>
    <n v="1151"/>
  </r>
  <r>
    <x v="1"/>
    <x v="20"/>
    <s v="BOTTLED IN BOND BOURBON"/>
    <x v="6"/>
    <n v="3149"/>
    <n v="97632.390000000029"/>
    <n v="2680.75"/>
    <n v="567"/>
  </r>
  <r>
    <x v="1"/>
    <x v="20"/>
    <s v="IMPORTED DISTILLED SPIRITS SPECIALTY"/>
    <x v="3"/>
    <n v="25539"/>
    <n v="200010.20000000033"/>
    <n v="21373.959999999985"/>
    <n v="858"/>
  </r>
  <r>
    <x v="1"/>
    <x v="20"/>
    <s v="AGED DARK RUM"/>
    <x v="0"/>
    <n v="3738"/>
    <n v="84520.48000000004"/>
    <n v="2967.25"/>
    <n v="605"/>
  </r>
  <r>
    <x v="1"/>
    <x v="20"/>
    <s v="SPECIAL ORDER ITEMS"/>
    <x v="3"/>
    <n v="15501"/>
    <n v="172739.29000000015"/>
    <n v="24666.499999999982"/>
    <n v="187"/>
  </r>
  <r>
    <x v="1"/>
    <x v="20"/>
    <s v="MEZCAL"/>
    <x v="7"/>
    <n v="996"/>
    <n v="29600.449999999975"/>
    <n v="748.25"/>
    <n v="203"/>
  </r>
  <r>
    <x v="1"/>
    <x v="20"/>
    <s v="SINGLE BARREL BOURBON WHISKIES"/>
    <x v="6"/>
    <n v="3561"/>
    <n v="161115.92000000004"/>
    <n v="2670.75"/>
    <n v="548"/>
  </r>
  <r>
    <x v="1"/>
    <x v="20"/>
    <s v="AMERICAN SLOE GINS"/>
    <x v="4"/>
    <n v="181"/>
    <n v="1545.74"/>
    <n v="181"/>
    <n v="36"/>
  </r>
  <r>
    <x v="1"/>
    <x v="20"/>
    <s v="CORN WHISKIES"/>
    <x v="6"/>
    <n v="522"/>
    <n v="12902.290000000005"/>
    <n v="365.98"/>
    <n v="82"/>
  </r>
  <r>
    <x v="1"/>
    <x v="21"/>
    <s v="AMERICAN CORDIALS &amp; LIQUEURSS"/>
    <x v="2"/>
    <n v="34490"/>
    <n v="375697.72999999818"/>
    <n v="14027.929999999753"/>
    <n v="4974"/>
  </r>
  <r>
    <x v="1"/>
    <x v="21"/>
    <s v="AMERICAN FLAVORED VODKA"/>
    <x v="5"/>
    <n v="95158"/>
    <n v="1056970.8600000553"/>
    <n v="64881.680000000291"/>
    <n v="10259"/>
  </r>
  <r>
    <x v="1"/>
    <x v="21"/>
    <s v="AMERICAN VODKAS"/>
    <x v="5"/>
    <n v="601005"/>
    <n v="6103576.9700000277"/>
    <n v="524090.48999997147"/>
    <n v="35113"/>
  </r>
  <r>
    <x v="1"/>
    <x v="21"/>
    <s v="BLENDED WHISKIES"/>
    <x v="6"/>
    <n v="76204"/>
    <n v="1026996.2799999889"/>
    <n v="62931.550000000403"/>
    <n v="7480"/>
  </r>
  <r>
    <x v="1"/>
    <x v="21"/>
    <s v="CANADIAN WHISKIES"/>
    <x v="6"/>
    <n v="301205"/>
    <n v="5559409.2199998936"/>
    <n v="299121.60999999545"/>
    <n v="20019"/>
  </r>
  <r>
    <x v="1"/>
    <x v="21"/>
    <s v="CREAM LIQUEURS"/>
    <x v="2"/>
    <n v="54989"/>
    <n v="1157829.2399999874"/>
    <n v="49986.890000000232"/>
    <n v="3632"/>
  </r>
  <r>
    <x v="1"/>
    <x v="21"/>
    <s v="FLAVORED RUM"/>
    <x v="0"/>
    <n v="37628"/>
    <n v="571606.55000000075"/>
    <n v="35760.879999999939"/>
    <n v="3706"/>
  </r>
  <r>
    <x v="1"/>
    <x v="21"/>
    <s v="IMPORTED CORDIALS &amp; LIQUEURSS"/>
    <x v="2"/>
    <n v="44403"/>
    <n v="1035273.1500000037"/>
    <n v="32782.709999999941"/>
    <n v="4642"/>
  </r>
  <r>
    <x v="1"/>
    <x v="21"/>
    <s v="IMPORTED DRY GINS"/>
    <x v="4"/>
    <n v="16754"/>
    <n v="421391.87000000029"/>
    <n v="15239.98000000001"/>
    <n v="1845"/>
  </r>
  <r>
    <x v="1"/>
    <x v="21"/>
    <s v="IMPORTED SCHNAPPS"/>
    <x v="2"/>
    <n v="28225"/>
    <n v="507143.86000000109"/>
    <n v="25115.129999999794"/>
    <n v="2660"/>
  </r>
  <r>
    <x v="1"/>
    <x v="21"/>
    <s v="IMPORTED VODKAS"/>
    <x v="5"/>
    <n v="68589"/>
    <n v="1085487.8699999666"/>
    <n v="72524.820000000473"/>
    <n v="4703"/>
  </r>
  <r>
    <x v="1"/>
    <x v="21"/>
    <s v="MIXTO TEQUILA"/>
    <x v="7"/>
    <n v="67693"/>
    <n v="905764.61999999278"/>
    <n v="45554.059999999779"/>
    <n v="4628"/>
  </r>
  <r>
    <x v="1"/>
    <x v="21"/>
    <s v="NEUTRAL GRAIN SPIRITS FLAVORED"/>
    <x v="3"/>
    <n v="14900"/>
    <n v="244673.4400000032"/>
    <n v="7381.7000000000162"/>
    <n v="2992"/>
  </r>
  <r>
    <x v="1"/>
    <x v="21"/>
    <s v="SPICED RUM"/>
    <x v="0"/>
    <n v="120339"/>
    <n v="1685489.6199998739"/>
    <n v="103385.64000000093"/>
    <n v="8275"/>
  </r>
  <r>
    <x v="1"/>
    <x v="21"/>
    <s v="STRAIGHT BOURBON WHISKIES"/>
    <x v="6"/>
    <n v="157640"/>
    <n v="3688519.4500000328"/>
    <n v="128493.16000000232"/>
    <n v="16653"/>
  </r>
  <r>
    <x v="1"/>
    <x v="21"/>
    <s v="TEMPORARY &amp; SPECIALTY PACKAGES"/>
    <x v="3"/>
    <n v="107663"/>
    <n v="2952636.3499998581"/>
    <n v="81812.8100000009"/>
    <n v="13035"/>
  </r>
  <r>
    <x v="1"/>
    <x v="21"/>
    <s v="TENNESSEE WHISKIES"/>
    <x v="6"/>
    <n v="75153"/>
    <n v="1745719.8799999892"/>
    <n v="54608.769999999808"/>
    <n v="6769"/>
  </r>
  <r>
    <x v="1"/>
    <x v="21"/>
    <s v="WHISKEY LIQUEUR"/>
    <x v="6"/>
    <n v="413859"/>
    <n v="2419874.3299999656"/>
    <n v="97614.240000007543"/>
    <n v="14768"/>
  </r>
  <r>
    <x v="1"/>
    <x v="21"/>
    <s v="WHITE RUM"/>
    <x v="0"/>
    <n v="38270"/>
    <n v="467721.04999999685"/>
    <n v="41169.589999999902"/>
    <n v="3476"/>
  </r>
  <r>
    <x v="1"/>
    <x v="21"/>
    <s v="AMERICAN SCHNAPPS"/>
    <x v="2"/>
    <n v="98729"/>
    <n v="701452.18999997049"/>
    <n v="40212.470000000125"/>
    <n v="7845"/>
  </r>
  <r>
    <x v="1"/>
    <x v="21"/>
    <s v="COFFEE LIQUEURS"/>
    <x v="2"/>
    <n v="9920"/>
    <n v="209424.01000000053"/>
    <n v="8411.3000000000102"/>
    <n v="915"/>
  </r>
  <r>
    <x v="1"/>
    <x v="21"/>
    <s v="100% AGAVE TEQUILA"/>
    <x v="7"/>
    <n v="101994"/>
    <n v="2920525.2499999516"/>
    <n v="68969.290000000765"/>
    <n v="11528"/>
  </r>
  <r>
    <x v="1"/>
    <x v="21"/>
    <s v="AMERICAN BRANDIES"/>
    <x v="1"/>
    <n v="58304"/>
    <n v="372863.54000000283"/>
    <n v="29730.379999999685"/>
    <n v="4459"/>
  </r>
  <r>
    <x v="1"/>
    <x v="21"/>
    <s v="IMPORTED DISTILLED SPIRITS SPECIALTY"/>
    <x v="3"/>
    <n v="35129"/>
    <n v="254779.75000000052"/>
    <n v="29660.299999999974"/>
    <n v="951"/>
  </r>
  <r>
    <x v="1"/>
    <x v="21"/>
    <s v="IRISH WHISKIES"/>
    <x v="6"/>
    <n v="31151"/>
    <n v="918830.69999998168"/>
    <n v="26388.919999999955"/>
    <n v="2761"/>
  </r>
  <r>
    <x v="1"/>
    <x v="21"/>
    <s v="AMERICAN DRY GINS"/>
    <x v="4"/>
    <n v="29283"/>
    <n v="276432.24000000145"/>
    <n v="25271.199999999943"/>
    <n v="2653"/>
  </r>
  <r>
    <x v="1"/>
    <x v="21"/>
    <s v="COCKTAILS/RTD"/>
    <x v="3"/>
    <n v="52361"/>
    <n v="629687.58999999135"/>
    <n v="61892.790000000248"/>
    <n v="6392"/>
  </r>
  <r>
    <x v="1"/>
    <x v="21"/>
    <s v="GOLD RUM"/>
    <x v="0"/>
    <n v="6066"/>
    <n v="81548.759999999893"/>
    <n v="6591.3300000000027"/>
    <n v="858"/>
  </r>
  <r>
    <x v="1"/>
    <x v="21"/>
    <s v="IMPORTED BRANDIES"/>
    <x v="1"/>
    <n v="33337"/>
    <n v="736040.98000000091"/>
    <n v="16070.69000000001"/>
    <n v="3070"/>
  </r>
  <r>
    <x v="1"/>
    <x v="21"/>
    <s v="IMPORTED FLAVORED VODKA"/>
    <x v="5"/>
    <n v="24089"/>
    <n v="373476.09000000148"/>
    <n v="18742.059999999987"/>
    <n v="2352"/>
  </r>
  <r>
    <x v="1"/>
    <x v="21"/>
    <s v="STRAIGHT RYE WHISKIES"/>
    <x v="6"/>
    <n v="11376"/>
    <n v="361946.33999999968"/>
    <n v="8808.9999999999782"/>
    <n v="1649"/>
  </r>
  <r>
    <x v="1"/>
    <x v="21"/>
    <s v="TRIPLE SEC"/>
    <x v="3"/>
    <n v="15487"/>
    <n v="64283.580000000067"/>
    <n v="15360.5"/>
    <n v="616"/>
  </r>
  <r>
    <x v="1"/>
    <x v="21"/>
    <s v="BOTTLED IN BOND BOURBON"/>
    <x v="6"/>
    <n v="3116"/>
    <n v="91478.870000000024"/>
    <n v="2801"/>
    <n v="598"/>
  </r>
  <r>
    <x v="1"/>
    <x v="21"/>
    <s v="NEUTRAL GRAIN SPIRITS"/>
    <x v="3"/>
    <n v="3618"/>
    <n v="50713.519999999982"/>
    <n v="2822.2000000000016"/>
    <n v="437"/>
  </r>
  <r>
    <x v="1"/>
    <x v="21"/>
    <s v="SCOTCH WHISKIES"/>
    <x v="6"/>
    <n v="17291"/>
    <n v="506262.86999999831"/>
    <n v="17580.970000000027"/>
    <n v="2876"/>
  </r>
  <r>
    <x v="1"/>
    <x v="21"/>
    <s v="SINGLE BARREL BOURBON WHISKIES"/>
    <x v="6"/>
    <n v="5207"/>
    <n v="227718.05"/>
    <n v="3905.25"/>
    <n v="557"/>
  </r>
  <r>
    <x v="1"/>
    <x v="21"/>
    <s v="SPECIAL ORDER ITEMS"/>
    <x v="3"/>
    <n v="7182"/>
    <n v="83974.860000000015"/>
    <n v="10417.849999999997"/>
    <n v="176"/>
  </r>
  <r>
    <x v="1"/>
    <x v="21"/>
    <s v="AGED DARK RUM"/>
    <x v="0"/>
    <n v="3648"/>
    <n v="78058.140000000072"/>
    <n v="2981.2"/>
    <n v="661"/>
  </r>
  <r>
    <x v="1"/>
    <x v="21"/>
    <s v="AMERICAN DISTILLED SPIRITS SPECIALTY"/>
    <x v="3"/>
    <n v="6784"/>
    <n v="129749.56999999998"/>
    <n v="4766.63"/>
    <n v="512"/>
  </r>
  <r>
    <x v="1"/>
    <x v="21"/>
    <s v="FLAVORED GIN"/>
    <x v="4"/>
    <n v="4206"/>
    <n v="108954.95000000001"/>
    <n v="3125"/>
    <n v="390"/>
  </r>
  <r>
    <x v="1"/>
    <x v="21"/>
    <s v="SINGLE MALT SCOTCH"/>
    <x v="6"/>
    <n v="7252"/>
    <n v="452709.30999999685"/>
    <n v="5656.2999999999938"/>
    <n v="1500"/>
  </r>
  <r>
    <x v="1"/>
    <x v="21"/>
    <s v="AMERICAN SLOE GINS"/>
    <x v="4"/>
    <n v="264"/>
    <n v="2254.559999999999"/>
    <n v="264"/>
    <n v="43"/>
  </r>
  <r>
    <x v="1"/>
    <x v="21"/>
    <s v="MEZCAL"/>
    <x v="7"/>
    <n v="1223"/>
    <n v="36140.799999999996"/>
    <n v="920.75"/>
    <n v="258"/>
  </r>
  <r>
    <x v="1"/>
    <x v="21"/>
    <s v="CORN WHISKIES"/>
    <x v="6"/>
    <n v="387"/>
    <n v="10826.340000000002"/>
    <n v="281.24"/>
    <n v="77"/>
  </r>
  <r>
    <x v="1"/>
    <x v="22"/>
    <s v="AMERICAN VODKAS"/>
    <x v="5"/>
    <n v="555396"/>
    <n v="6300383.300000025"/>
    <n v="526387.27999997488"/>
    <n v="32747"/>
  </r>
  <r>
    <x v="1"/>
    <x v="22"/>
    <s v="CANADIAN WHISKIES"/>
    <x v="6"/>
    <n v="207804"/>
    <n v="3242175.5599998301"/>
    <n v="186384.16999999827"/>
    <n v="18848"/>
  </r>
  <r>
    <x v="1"/>
    <x v="22"/>
    <s v="SPICED RUM"/>
    <x v="0"/>
    <n v="172738"/>
    <n v="3502759.0099998713"/>
    <n v="219379.78000000081"/>
    <n v="7994"/>
  </r>
  <r>
    <x v="1"/>
    <x v="22"/>
    <s v="STRAIGHT BOURBON WHISKIES"/>
    <x v="6"/>
    <n v="153592"/>
    <n v="3548820.7500000075"/>
    <n v="122066.080000002"/>
    <n v="17883"/>
  </r>
  <r>
    <x v="1"/>
    <x v="22"/>
    <s v="WHISKEY LIQUEUR"/>
    <x v="6"/>
    <n v="370838"/>
    <n v="2157851.6799999736"/>
    <n v="83555.820000004009"/>
    <n v="14009"/>
  </r>
  <r>
    <x v="1"/>
    <x v="22"/>
    <s v="AGED DARK RUM"/>
    <x v="0"/>
    <n v="3755"/>
    <n v="89423.950000000084"/>
    <n v="2954"/>
    <n v="605"/>
  </r>
  <r>
    <x v="1"/>
    <x v="22"/>
    <s v="AMERICAN BRANDIES"/>
    <x v="1"/>
    <n v="59191"/>
    <n v="391405.72000000149"/>
    <n v="31479.059999999659"/>
    <n v="4720"/>
  </r>
  <r>
    <x v="1"/>
    <x v="22"/>
    <s v="AMERICAN FLAVORED VODKA"/>
    <x v="5"/>
    <n v="73233"/>
    <n v="833839.80000003462"/>
    <n v="51217.89999999998"/>
    <n v="8864"/>
  </r>
  <r>
    <x v="1"/>
    <x v="22"/>
    <s v="AMERICAN SCHNAPPS"/>
    <x v="2"/>
    <n v="85942"/>
    <n v="635650.14999997185"/>
    <n v="35311.039999999135"/>
    <n v="7379"/>
  </r>
  <r>
    <x v="1"/>
    <x v="22"/>
    <s v="BLENDED WHISKIES"/>
    <x v="6"/>
    <n v="71873"/>
    <n v="989019.24999998312"/>
    <n v="59839.100000000173"/>
    <n v="7611"/>
  </r>
  <r>
    <x v="1"/>
    <x v="22"/>
    <s v="COCKTAILS/RTD"/>
    <x v="3"/>
    <n v="53631"/>
    <n v="645283.27999999037"/>
    <n v="60690.850000000319"/>
    <n v="6191"/>
  </r>
  <r>
    <x v="1"/>
    <x v="22"/>
    <s v="CREAM LIQUEURS"/>
    <x v="2"/>
    <n v="41431"/>
    <n v="828422.10999999091"/>
    <n v="38306.319999999876"/>
    <n v="4047"/>
  </r>
  <r>
    <x v="1"/>
    <x v="22"/>
    <s v="IMPORTED VODKAS"/>
    <x v="5"/>
    <n v="60471"/>
    <n v="996681.16999998293"/>
    <n v="65948.340000000375"/>
    <n v="4602"/>
  </r>
  <r>
    <x v="1"/>
    <x v="22"/>
    <s v="IRISH WHISKIES"/>
    <x v="6"/>
    <n v="29474"/>
    <n v="807827.0199999878"/>
    <n v="23851.319999999945"/>
    <n v="2887"/>
  </r>
  <r>
    <x v="1"/>
    <x v="22"/>
    <s v="MIXTO TEQUILA"/>
    <x v="7"/>
    <n v="57301"/>
    <n v="790858.50999999372"/>
    <n v="40206.889999999868"/>
    <n v="4466"/>
  </r>
  <r>
    <x v="1"/>
    <x v="22"/>
    <s v="NEUTRAL GRAIN SPIRITS FLAVORED"/>
    <x v="3"/>
    <n v="15034"/>
    <n v="251863.92000000313"/>
    <n v="8007.2000000000071"/>
    <n v="2884"/>
  </r>
  <r>
    <x v="1"/>
    <x v="22"/>
    <s v="TEMPORARY &amp; SPECIALTY PACKAGES"/>
    <x v="3"/>
    <n v="108753"/>
    <n v="3119502.8099997607"/>
    <n v="97479.660000000935"/>
    <n v="12645"/>
  </r>
  <r>
    <x v="1"/>
    <x v="22"/>
    <s v="TENNESSEE WHISKIES"/>
    <x v="6"/>
    <n v="62189"/>
    <n v="1368415.9399999848"/>
    <n v="44628.339999999735"/>
    <n v="6644"/>
  </r>
  <r>
    <x v="1"/>
    <x v="22"/>
    <s v="WHITE RUM"/>
    <x v="0"/>
    <n v="31855"/>
    <n v="395666.59999999701"/>
    <n v="33634.719999999856"/>
    <n v="3077"/>
  </r>
  <r>
    <x v="1"/>
    <x v="22"/>
    <s v="AMERICAN CORDIALS &amp; LIQUEURSS"/>
    <x v="2"/>
    <n v="32205"/>
    <n v="375674.92999999801"/>
    <n v="15049.799999999634"/>
    <n v="4902"/>
  </r>
  <r>
    <x v="1"/>
    <x v="22"/>
    <s v="IMPORTED BRANDIES"/>
    <x v="1"/>
    <n v="33529"/>
    <n v="764628.63999999862"/>
    <n v="15872.349999999968"/>
    <n v="3186"/>
  </r>
  <r>
    <x v="1"/>
    <x v="22"/>
    <s v="IMPORTED CORDIALS &amp; LIQUEURSS"/>
    <x v="2"/>
    <n v="39178"/>
    <n v="936636.04000000178"/>
    <n v="28875.319999999927"/>
    <n v="4973"/>
  </r>
  <r>
    <x v="1"/>
    <x v="22"/>
    <s v="100% AGAVE TEQUILA"/>
    <x v="7"/>
    <n v="92390"/>
    <n v="2859068.4699999574"/>
    <n v="59632.760000000657"/>
    <n v="11101"/>
  </r>
  <r>
    <x v="1"/>
    <x v="22"/>
    <s v="AMERICAN DRY GINS"/>
    <x v="4"/>
    <n v="24593"/>
    <n v="235642.77000000083"/>
    <n v="20228.28"/>
    <n v="2421"/>
  </r>
  <r>
    <x v="1"/>
    <x v="22"/>
    <s v="FLAVORED RUM"/>
    <x v="0"/>
    <n v="29619"/>
    <n v="440009.140000001"/>
    <n v="27224.929999999975"/>
    <n v="3132"/>
  </r>
  <r>
    <x v="1"/>
    <x v="22"/>
    <s v="NEUTRAL GRAIN SPIRITS"/>
    <x v="3"/>
    <n v="3595"/>
    <n v="51137.430000000029"/>
    <n v="2848.0500000000006"/>
    <n v="432"/>
  </r>
  <r>
    <x v="1"/>
    <x v="22"/>
    <s v="SINGLE BARREL BOURBON WHISKIES"/>
    <x v="6"/>
    <n v="4668"/>
    <n v="211252.54999999993"/>
    <n v="3501"/>
    <n v="991"/>
  </r>
  <r>
    <x v="1"/>
    <x v="22"/>
    <s v="STRAIGHT RYE WHISKIES"/>
    <x v="6"/>
    <n v="8966"/>
    <n v="284312.96000000113"/>
    <n v="6968.5000000000036"/>
    <n v="1652"/>
  </r>
  <r>
    <x v="1"/>
    <x v="22"/>
    <s v="TRIPLE SEC"/>
    <x v="3"/>
    <n v="13687"/>
    <n v="57521.060000000049"/>
    <n v="13447"/>
    <n v="616"/>
  </r>
  <r>
    <x v="1"/>
    <x v="22"/>
    <s v="SPECIAL ORDER ITEMS"/>
    <x v="3"/>
    <n v="6067"/>
    <n v="73044.11000000003"/>
    <n v="10037.950000000001"/>
    <n v="132"/>
  </r>
  <r>
    <x v="1"/>
    <x v="22"/>
    <s v="IMPORTED DRY GINS"/>
    <x v="4"/>
    <n v="14147"/>
    <n v="366486.73000000056"/>
    <n v="13379.890000000005"/>
    <n v="1851"/>
  </r>
  <r>
    <x v="1"/>
    <x v="22"/>
    <s v="MEZCAL"/>
    <x v="7"/>
    <n v="1055"/>
    <n v="31287.16999999998"/>
    <n v="791.75"/>
    <n v="196"/>
  </r>
  <r>
    <x v="1"/>
    <x v="22"/>
    <s v="SCOTCH WHISKIES"/>
    <x v="6"/>
    <n v="18070"/>
    <n v="552860.99999999627"/>
    <n v="18698.600000000009"/>
    <n v="2706"/>
  </r>
  <r>
    <x v="1"/>
    <x v="22"/>
    <s v="BOTTLED IN BOND BOURBON"/>
    <x v="6"/>
    <n v="3466"/>
    <n v="105630.20000000006"/>
    <n v="2955.5"/>
    <n v="694"/>
  </r>
  <r>
    <x v="1"/>
    <x v="22"/>
    <s v="COFFEE LIQUEURS"/>
    <x v="2"/>
    <n v="13610"/>
    <n v="291567.62000000186"/>
    <n v="11482.019999999999"/>
    <n v="1230"/>
  </r>
  <r>
    <x v="1"/>
    <x v="22"/>
    <s v="GOLD RUM"/>
    <x v="0"/>
    <n v="5113"/>
    <n v="69101.949999999968"/>
    <n v="5465.970000000003"/>
    <n v="800"/>
  </r>
  <r>
    <x v="1"/>
    <x v="22"/>
    <s v="IMPORTED SCHNAPPS"/>
    <x v="2"/>
    <n v="28538"/>
    <n v="500373.60000000231"/>
    <n v="25473.179999999818"/>
    <n v="2771"/>
  </r>
  <r>
    <x v="1"/>
    <x v="22"/>
    <s v="SINGLE MALT SCOTCH"/>
    <x v="6"/>
    <n v="5549"/>
    <n v="307455.76999999938"/>
    <n v="4296.549999999992"/>
    <n v="1421"/>
  </r>
  <r>
    <x v="1"/>
    <x v="22"/>
    <s v="IMPORTED FLAVORED VODKA"/>
    <x v="5"/>
    <n v="16364"/>
    <n v="257247.47000000242"/>
    <n v="12904.22"/>
    <n v="1892"/>
  </r>
  <r>
    <x v="1"/>
    <x v="22"/>
    <s v="AMERICAN DISTILLED SPIRITS SPECIALTY"/>
    <x v="3"/>
    <n v="4359"/>
    <n v="87845.189999999973"/>
    <n v="2877.51"/>
    <n v="437"/>
  </r>
  <r>
    <x v="1"/>
    <x v="22"/>
    <s v="FLAVORED GIN"/>
    <x v="4"/>
    <n v="3642"/>
    <n v="93258.72"/>
    <n v="2696.1000000000004"/>
    <n v="413"/>
  </r>
  <r>
    <x v="1"/>
    <x v="22"/>
    <s v="IMPORTED DISTILLED SPIRITS SPECIALTY"/>
    <x v="3"/>
    <n v="31428"/>
    <n v="227779.34000000029"/>
    <n v="25866.549999999988"/>
    <n v="912"/>
  </r>
  <r>
    <x v="1"/>
    <x v="22"/>
    <s v="CORN WHISKIES"/>
    <x v="6"/>
    <n v="510"/>
    <n v="13139.07"/>
    <n v="369.36"/>
    <n v="93"/>
  </r>
  <r>
    <x v="1"/>
    <x v="22"/>
    <s v="AMERICAN SLOE GINS"/>
    <x v="4"/>
    <n v="144"/>
    <n v="1229.76"/>
    <n v="144"/>
    <n v="27"/>
  </r>
  <r>
    <x v="1"/>
    <x v="23"/>
    <s v="AMERICAN VODKAS"/>
    <x v="5"/>
    <n v="522294"/>
    <n v="4847517.9700001273"/>
    <n v="430605.14999998058"/>
    <n v="34350"/>
  </r>
  <r>
    <x v="1"/>
    <x v="23"/>
    <s v="CANADIAN WHISKIES"/>
    <x v="6"/>
    <n v="266038"/>
    <n v="4588391.5099997967"/>
    <n v="263740.17999999522"/>
    <n v="21135"/>
  </r>
  <r>
    <x v="1"/>
    <x v="23"/>
    <s v="FLAVORED RUM"/>
    <x v="0"/>
    <n v="34633"/>
    <n v="532514.55000000086"/>
    <n v="33085.639999999941"/>
    <n v="3719"/>
  </r>
  <r>
    <x v="1"/>
    <x v="23"/>
    <s v="STRAIGHT BOURBON WHISKIES"/>
    <x v="6"/>
    <n v="180285"/>
    <n v="4517479.8500000257"/>
    <n v="145062.47000000085"/>
    <n v="20811"/>
  </r>
  <r>
    <x v="1"/>
    <x v="23"/>
    <s v="TEMPORARY &amp; SPECIALTY PACKAGES"/>
    <x v="3"/>
    <n v="65464"/>
    <n v="1911554.0599999686"/>
    <n v="51052.60000000029"/>
    <n v="9886"/>
  </r>
  <r>
    <x v="1"/>
    <x v="23"/>
    <s v="AMERICAN DISTILLED SPIRITS SPECIALTY"/>
    <x v="3"/>
    <n v="5476"/>
    <n v="95748.420000000086"/>
    <n v="3763.8500000000008"/>
    <n v="583"/>
  </r>
  <r>
    <x v="1"/>
    <x v="23"/>
    <s v="BLENDED WHISKIES"/>
    <x v="6"/>
    <n v="70019"/>
    <n v="1015690.2899999832"/>
    <n v="57947.370000000323"/>
    <n v="8089"/>
  </r>
  <r>
    <x v="1"/>
    <x v="23"/>
    <s v="CREAM LIQUEURS"/>
    <x v="2"/>
    <n v="51732"/>
    <n v="1076152.3199999824"/>
    <n v="42542.490000000042"/>
    <n v="6295"/>
  </r>
  <r>
    <x v="1"/>
    <x v="23"/>
    <s v="IMPORTED BRANDIES"/>
    <x v="1"/>
    <n v="37758"/>
    <n v="952203.15999999037"/>
    <n v="19931.939999999908"/>
    <n v="3761"/>
  </r>
  <r>
    <x v="1"/>
    <x v="23"/>
    <s v="IMPORTED CORDIALS &amp; LIQUEURSS"/>
    <x v="2"/>
    <n v="49204"/>
    <n v="1180712.74"/>
    <n v="36447.330000000038"/>
    <n v="5971"/>
  </r>
  <r>
    <x v="1"/>
    <x v="23"/>
    <s v="IMPORTED FLAVORED VODKA"/>
    <x v="5"/>
    <n v="26216"/>
    <n v="395646.11000000138"/>
    <n v="20561.669999999991"/>
    <n v="2416"/>
  </r>
  <r>
    <x v="1"/>
    <x v="23"/>
    <s v="IRISH WHISKIES"/>
    <x v="6"/>
    <n v="32267"/>
    <n v="905177.68999998213"/>
    <n v="26559.699999999939"/>
    <n v="3472"/>
  </r>
  <r>
    <x v="1"/>
    <x v="23"/>
    <s v="SCOTCH WHISKIES"/>
    <x v="6"/>
    <n v="20163"/>
    <n v="732414.34999999159"/>
    <n v="19705.250000000058"/>
    <n v="3299"/>
  </r>
  <r>
    <x v="1"/>
    <x v="23"/>
    <s v="WHISKEY LIQUEUR"/>
    <x v="6"/>
    <n v="411114"/>
    <n v="2374152.2900000024"/>
    <n v="91335.320000006279"/>
    <n v="15731"/>
  </r>
  <r>
    <x v="1"/>
    <x v="23"/>
    <s v="100% AGAVE TEQUILA"/>
    <x v="7"/>
    <n v="105914"/>
    <n v="3143246.4799999506"/>
    <n v="74164.460000000836"/>
    <n v="13276"/>
  </r>
  <r>
    <x v="1"/>
    <x v="23"/>
    <s v="AGED DARK RUM"/>
    <x v="0"/>
    <n v="5413"/>
    <n v="117110.2000000003"/>
    <n v="4301.75"/>
    <n v="950"/>
  </r>
  <r>
    <x v="1"/>
    <x v="23"/>
    <s v="AMERICAN BRANDIES"/>
    <x v="1"/>
    <n v="66195"/>
    <n v="448583.44000000216"/>
    <n v="36393.959999999941"/>
    <n v="5517"/>
  </r>
  <r>
    <x v="1"/>
    <x v="23"/>
    <s v="AMERICAN CORDIALS &amp; LIQUEURSS"/>
    <x v="2"/>
    <n v="40166"/>
    <n v="464610.84999999736"/>
    <n v="20510.359999999087"/>
    <n v="6208"/>
  </r>
  <r>
    <x v="1"/>
    <x v="23"/>
    <s v="AMERICAN DRY GINS"/>
    <x v="4"/>
    <n v="26273"/>
    <n v="237349.49000000145"/>
    <n v="19962.579999999976"/>
    <n v="2577"/>
  </r>
  <r>
    <x v="1"/>
    <x v="23"/>
    <s v="AMERICAN FLAVORED VODKA"/>
    <x v="5"/>
    <n v="82327"/>
    <n v="945148.27000004274"/>
    <n v="56977.530000000188"/>
    <n v="9731"/>
  </r>
  <r>
    <x v="1"/>
    <x v="23"/>
    <s v="AMERICAN SCHNAPPS"/>
    <x v="2"/>
    <n v="103982"/>
    <n v="745639.5199999779"/>
    <n v="43839.420000001162"/>
    <n v="8826"/>
  </r>
  <r>
    <x v="1"/>
    <x v="23"/>
    <s v="BOTTLED IN BOND BOURBON"/>
    <x v="6"/>
    <n v="4037"/>
    <n v="118096.57000000008"/>
    <n v="3495.75"/>
    <n v="556"/>
  </r>
  <r>
    <x v="1"/>
    <x v="23"/>
    <s v="COCKTAILS/RTD"/>
    <x v="3"/>
    <n v="54834"/>
    <n v="660020.24999998999"/>
    <n v="65239.970000000227"/>
    <n v="7446"/>
  </r>
  <r>
    <x v="1"/>
    <x v="23"/>
    <s v="COFFEE LIQUEURS"/>
    <x v="2"/>
    <n v="15979"/>
    <n v="334932.78000000102"/>
    <n v="13073.170000000016"/>
    <n v="1677"/>
  </r>
  <r>
    <x v="1"/>
    <x v="23"/>
    <s v="GOLD RUM"/>
    <x v="0"/>
    <n v="7409"/>
    <n v="104538.15999999965"/>
    <n v="7748.4300000000085"/>
    <n v="1077"/>
  </r>
  <r>
    <x v="1"/>
    <x v="23"/>
    <s v="IMPORTED DISTILLED SPIRITS SPECIALTY"/>
    <x v="3"/>
    <n v="29231"/>
    <n v="217232.36000000086"/>
    <n v="24156.619999999981"/>
    <n v="955"/>
  </r>
  <r>
    <x v="1"/>
    <x v="23"/>
    <s v="IMPORTED DRY GINS"/>
    <x v="4"/>
    <n v="17909"/>
    <n v="469603.2699999992"/>
    <n v="17361.290000000005"/>
    <n v="2132"/>
  </r>
  <r>
    <x v="1"/>
    <x v="23"/>
    <s v="IMPORTED SCHNAPPS"/>
    <x v="2"/>
    <n v="30604"/>
    <n v="544109.21000000229"/>
    <n v="26885.369999999733"/>
    <n v="3161"/>
  </r>
  <r>
    <x v="1"/>
    <x v="23"/>
    <s v="IMPORTED VODKAS"/>
    <x v="5"/>
    <n v="70398"/>
    <n v="1134779.3499999628"/>
    <n v="64396.440000000453"/>
    <n v="5324"/>
  </r>
  <r>
    <x v="1"/>
    <x v="23"/>
    <s v="MIXTO TEQUILA"/>
    <x v="7"/>
    <n v="66688"/>
    <n v="980145.47999999125"/>
    <n v="48131.899999999994"/>
    <n v="4678"/>
  </r>
  <r>
    <x v="1"/>
    <x v="23"/>
    <s v="NEUTRAL GRAIN SPIRITS"/>
    <x v="3"/>
    <n v="4754"/>
    <n v="67249.38"/>
    <n v="3733.5000000000014"/>
    <n v="562"/>
  </r>
  <r>
    <x v="1"/>
    <x v="23"/>
    <s v="NEUTRAL GRAIN SPIRITS FLAVORED"/>
    <x v="3"/>
    <n v="18710"/>
    <n v="310934.17000000371"/>
    <n v="9740.7999999999265"/>
    <n v="3881"/>
  </r>
  <r>
    <x v="1"/>
    <x v="23"/>
    <s v="SINGLE MALT SCOTCH"/>
    <x v="6"/>
    <n v="7637"/>
    <n v="447061.60999999719"/>
    <n v="5855.3999999999787"/>
    <n v="2058"/>
  </r>
  <r>
    <x v="1"/>
    <x v="23"/>
    <s v="SPICED RUM"/>
    <x v="0"/>
    <n v="105714"/>
    <n v="1533304.499999882"/>
    <n v="93646.270000000441"/>
    <n v="8229"/>
  </r>
  <r>
    <x v="1"/>
    <x v="23"/>
    <s v="STRAIGHT RYE WHISKIES"/>
    <x v="6"/>
    <n v="12486"/>
    <n v="369661.77999999991"/>
    <n v="9789.3499999999985"/>
    <n v="1921"/>
  </r>
  <r>
    <x v="1"/>
    <x v="23"/>
    <s v="TENNESSEE WHISKIES"/>
    <x v="6"/>
    <n v="72745"/>
    <n v="1633557.7599999874"/>
    <n v="51370.839999999844"/>
    <n v="7566"/>
  </r>
  <r>
    <x v="1"/>
    <x v="23"/>
    <s v="TRIPLE SEC"/>
    <x v="3"/>
    <n v="15066"/>
    <n v="64106.449999999961"/>
    <n v="14769.25"/>
    <n v="754"/>
  </r>
  <r>
    <x v="1"/>
    <x v="23"/>
    <s v="WHITE RUM"/>
    <x v="0"/>
    <n v="37968"/>
    <n v="482111.19999999669"/>
    <n v="40454.709999999948"/>
    <n v="3712"/>
  </r>
  <r>
    <x v="1"/>
    <x v="23"/>
    <s v="FLAVORED GIN"/>
    <x v="4"/>
    <n v="5104"/>
    <n v="131857.79999999996"/>
    <n v="3786.7499999999995"/>
    <n v="499"/>
  </r>
  <r>
    <x v="1"/>
    <x v="23"/>
    <s v="SINGLE BARREL BOURBON WHISKIES"/>
    <x v="6"/>
    <n v="5493"/>
    <n v="243071.57999999993"/>
    <n v="4119.75"/>
    <n v="1137"/>
  </r>
  <r>
    <x v="1"/>
    <x v="23"/>
    <s v="CORN WHISKIES"/>
    <x v="6"/>
    <n v="633"/>
    <n v="14428.900000000005"/>
    <n v="443.61"/>
    <n v="83"/>
  </r>
  <r>
    <x v="1"/>
    <x v="23"/>
    <s v="MEZCAL"/>
    <x v="7"/>
    <n v="1256"/>
    <n v="38757.939999999981"/>
    <n v="945.5"/>
    <n v="279"/>
  </r>
  <r>
    <x v="1"/>
    <x v="23"/>
    <s v="SPECIAL ORDER ITEMS"/>
    <x v="3"/>
    <n v="5259"/>
    <n v="68006.58"/>
    <n v="8399.5"/>
    <n v="151"/>
  </r>
  <r>
    <x v="1"/>
    <x v="23"/>
    <s v="AMERICAN SLOE GINS"/>
    <x v="4"/>
    <n v="276"/>
    <n v="2357.0399999999981"/>
    <n v="276"/>
    <n v="57"/>
  </r>
  <r>
    <x v="2"/>
    <x v="24"/>
    <s v="100% AGAVE TEQUILA"/>
    <x v="7"/>
    <n v="50549"/>
    <n v="1443274.889999968"/>
    <m/>
    <n v="5596"/>
  </r>
  <r>
    <x v="2"/>
    <x v="24"/>
    <s v="AGED DARK RUM"/>
    <x v="0"/>
    <n v="3840"/>
    <n v="79755.800000000105"/>
    <m/>
    <n v="674"/>
  </r>
  <r>
    <x v="2"/>
    <x v="24"/>
    <s v="AMERICAN BRANDIES"/>
    <x v="1"/>
    <n v="61714"/>
    <n v="407451.14000000065"/>
    <m/>
    <n v="5407"/>
  </r>
  <r>
    <x v="2"/>
    <x v="24"/>
    <s v="AMERICAN DISTILLED SPIRITS SPECIALTY"/>
    <x v="3"/>
    <n v="4903"/>
    <n v="88699.479999999618"/>
    <m/>
    <n v="736"/>
  </r>
  <r>
    <x v="2"/>
    <x v="24"/>
    <s v="AMERICAN DRY GINS"/>
    <x v="4"/>
    <n v="20425"/>
    <n v="228747.06000000035"/>
    <m/>
    <n v="2279"/>
  </r>
  <r>
    <x v="2"/>
    <x v="24"/>
    <s v="AMERICAN FLAVORED VODKA"/>
    <x v="5"/>
    <n v="63611"/>
    <n v="676141.99000002095"/>
    <m/>
    <n v="8028"/>
  </r>
  <r>
    <x v="2"/>
    <x v="24"/>
    <s v="AMERICAN SCHNAPPS"/>
    <x v="2"/>
    <n v="55064"/>
    <n v="426143.70999999205"/>
    <m/>
    <n v="6165"/>
  </r>
  <r>
    <x v="2"/>
    <x v="24"/>
    <s v="BLENDED WHISKIES"/>
    <x v="6"/>
    <n v="66930"/>
    <n v="841707.98000000499"/>
    <m/>
    <n v="7940"/>
  </r>
  <r>
    <x v="2"/>
    <x v="24"/>
    <s v="CANADIAN WHISKIES"/>
    <x v="6"/>
    <n v="197568"/>
    <n v="2930227.6000001025"/>
    <m/>
    <n v="17031"/>
  </r>
  <r>
    <x v="2"/>
    <x v="24"/>
    <s v="COCKTAILS/RTD"/>
    <x v="3"/>
    <n v="34095"/>
    <n v="388368.20999998838"/>
    <m/>
    <n v="4933"/>
  </r>
  <r>
    <x v="2"/>
    <x v="24"/>
    <s v="COFFEE LIQUEURS"/>
    <x v="2"/>
    <n v="7441"/>
    <n v="140008.21000000098"/>
    <m/>
    <n v="815"/>
  </r>
  <r>
    <x v="2"/>
    <x v="24"/>
    <s v="CREAM LIQUEURS"/>
    <x v="2"/>
    <n v="34245"/>
    <n v="684970.11999998905"/>
    <m/>
    <n v="5192"/>
  </r>
  <r>
    <x v="2"/>
    <x v="24"/>
    <s v="FLAVORED RUM"/>
    <x v="0"/>
    <n v="34669"/>
    <n v="490503.26000000257"/>
    <m/>
    <n v="3826"/>
  </r>
  <r>
    <x v="2"/>
    <x v="24"/>
    <s v="GOLD RUM"/>
    <x v="0"/>
    <n v="5479"/>
    <n v="63659.389999999919"/>
    <m/>
    <n v="904"/>
  </r>
  <r>
    <x v="2"/>
    <x v="24"/>
    <s v="IMPORTED CORDIALS &amp; LIQUEURSS"/>
    <x v="2"/>
    <n v="29724"/>
    <n v="636576.69999999704"/>
    <m/>
    <n v="3533"/>
  </r>
  <r>
    <x v="2"/>
    <x v="24"/>
    <s v="IMPORTED DISTILLED SPIRITS SPECIALTY"/>
    <x v="3"/>
    <n v="12582"/>
    <n v="117817.63000000005"/>
    <m/>
    <n v="303"/>
  </r>
  <r>
    <x v="2"/>
    <x v="24"/>
    <s v="IMPORTED FLAVORED VODKA"/>
    <x v="5"/>
    <n v="20464"/>
    <n v="346363.33000000118"/>
    <m/>
    <n v="2769"/>
  </r>
  <r>
    <x v="2"/>
    <x v="24"/>
    <s v="IMPORTED VODKAS"/>
    <x v="5"/>
    <n v="45560"/>
    <n v="748329.77999998932"/>
    <m/>
    <n v="4562"/>
  </r>
  <r>
    <x v="2"/>
    <x v="24"/>
    <s v="MIXTO TEQUILA"/>
    <x v="7"/>
    <n v="43337"/>
    <n v="590196.12999999605"/>
    <m/>
    <n v="3477"/>
  </r>
  <r>
    <x v="2"/>
    <x v="24"/>
    <s v="SCOTCH WHISKIES"/>
    <x v="6"/>
    <n v="22925"/>
    <n v="606391.79999999795"/>
    <m/>
    <n v="2629"/>
  </r>
  <r>
    <x v="2"/>
    <x v="24"/>
    <s v="SINGLE MALT SCOTCH"/>
    <x v="6"/>
    <n v="7128"/>
    <n v="341415.1700000008"/>
    <m/>
    <n v="1297"/>
  </r>
  <r>
    <x v="2"/>
    <x v="24"/>
    <s v="SPICED RUM"/>
    <x v="0"/>
    <n v="98154"/>
    <n v="1426324.0099999951"/>
    <m/>
    <n v="8154"/>
  </r>
  <r>
    <x v="2"/>
    <x v="24"/>
    <s v="STRAIGHT BOURBON WHISKIES"/>
    <x v="6"/>
    <n v="116880"/>
    <n v="2450598.089999964"/>
    <m/>
    <n v="14647"/>
  </r>
  <r>
    <x v="2"/>
    <x v="24"/>
    <s v="STRAIGHT RYE WHISKIES"/>
    <x v="6"/>
    <n v="9832"/>
    <n v="302646.58000000048"/>
    <m/>
    <n v="1628"/>
  </r>
  <r>
    <x v="2"/>
    <x v="24"/>
    <s v="TEMPORARY &amp; SPECIALTY PACKAGES"/>
    <x v="3"/>
    <n v="34523"/>
    <n v="764496.73000002501"/>
    <m/>
    <n v="3980"/>
  </r>
  <r>
    <x v="2"/>
    <x v="24"/>
    <s v="TENNESSEE WHISKIES"/>
    <x v="6"/>
    <n v="44026"/>
    <n v="943118.51999998896"/>
    <m/>
    <n v="5201"/>
  </r>
  <r>
    <x v="2"/>
    <x v="24"/>
    <s v="WHITE RUM"/>
    <x v="0"/>
    <n v="36600"/>
    <n v="388574.19999999681"/>
    <m/>
    <n v="3875"/>
  </r>
  <r>
    <x v="2"/>
    <x v="24"/>
    <s v="AMERICAN CORDIALS &amp; LIQUEURSS"/>
    <x v="2"/>
    <n v="35966"/>
    <n v="282952.5000000007"/>
    <m/>
    <n v="4327"/>
  </r>
  <r>
    <x v="2"/>
    <x v="24"/>
    <s v="AMERICAN VODKAS"/>
    <x v="5"/>
    <n v="430139"/>
    <n v="4175170.6399999624"/>
    <m/>
    <n v="28723"/>
  </r>
  <r>
    <x v="2"/>
    <x v="24"/>
    <s v="IMPORTED BRANDIES"/>
    <x v="1"/>
    <n v="31601"/>
    <n v="651502.5799999981"/>
    <m/>
    <n v="2657"/>
  </r>
  <r>
    <x v="2"/>
    <x v="24"/>
    <s v="IMPORTED SCHNAPPS"/>
    <x v="2"/>
    <n v="28081"/>
    <n v="475995.41999999993"/>
    <m/>
    <n v="2916"/>
  </r>
  <r>
    <x v="2"/>
    <x v="24"/>
    <s v="IRISH WHISKIES"/>
    <x v="6"/>
    <n v="23482"/>
    <n v="641728.23999999778"/>
    <m/>
    <n v="1743"/>
  </r>
  <r>
    <x v="2"/>
    <x v="24"/>
    <s v="NEUTRAL GRAIN SPIRITS FLAVORED"/>
    <x v="3"/>
    <n v="7517"/>
    <n v="126914.87999999999"/>
    <m/>
    <n v="1401"/>
  </r>
  <r>
    <x v="2"/>
    <x v="24"/>
    <s v="IMPORTED DRY GINS"/>
    <x v="4"/>
    <n v="12359"/>
    <n v="292856.97000000055"/>
    <m/>
    <n v="1614"/>
  </r>
  <r>
    <x v="2"/>
    <x v="24"/>
    <s v="WHISKEY LIQUEUR"/>
    <x v="6"/>
    <n v="303738"/>
    <n v="1998465.8399999873"/>
    <m/>
    <n v="11130"/>
  </r>
  <r>
    <x v="2"/>
    <x v="24"/>
    <s v="SINGLE BARREL BOURBON WHISKIES"/>
    <x v="6"/>
    <n v="2010"/>
    <n v="64301.660000000076"/>
    <m/>
    <n v="569"/>
  </r>
  <r>
    <x v="2"/>
    <x v="24"/>
    <s v="TRIPLE SEC"/>
    <x v="3"/>
    <n v="10285"/>
    <n v="42953.330000000067"/>
    <m/>
    <n v="446"/>
  </r>
  <r>
    <x v="2"/>
    <x v="24"/>
    <s v="NEUTRAL GRAIN SPIRITS"/>
    <x v="3"/>
    <n v="2744"/>
    <n v="38898.58"/>
    <m/>
    <n v="322"/>
  </r>
  <r>
    <x v="2"/>
    <x v="24"/>
    <s v="AMERICAN SLOE GINS"/>
    <x v="4"/>
    <n v="274"/>
    <n v="2227.6200000000003"/>
    <m/>
    <n v="62"/>
  </r>
  <r>
    <x v="2"/>
    <x v="24"/>
    <s v="SPECIAL ORDER ITEMS"/>
    <x v="3"/>
    <n v="8254"/>
    <n v="137170.47000000003"/>
    <m/>
    <n v="194"/>
  </r>
  <r>
    <x v="2"/>
    <x v="24"/>
    <s v="BOTTLED IN BOND BOURBON"/>
    <x v="6"/>
    <n v="1871"/>
    <n v="51715.760000000024"/>
    <m/>
    <n v="514"/>
  </r>
  <r>
    <x v="2"/>
    <x v="24"/>
    <s v="CORN WHISKIES"/>
    <x v="6"/>
    <n v="473"/>
    <n v="12625.900000000003"/>
    <m/>
    <n v="103"/>
  </r>
  <r>
    <x v="2"/>
    <x v="24"/>
    <s v="MEZCAL"/>
    <x v="7"/>
    <n v="735"/>
    <n v="23360.579999999991"/>
    <m/>
    <n v="156"/>
  </r>
  <r>
    <x v="2"/>
    <x v="24"/>
    <s v="FLAVORED GIN"/>
    <x v="4"/>
    <n v="946"/>
    <n v="23658.7"/>
    <m/>
    <n v="121"/>
  </r>
  <r>
    <x v="2"/>
    <x v="24"/>
    <s v="DISTILLED SPIRITS SPECIALTY"/>
    <x v="3"/>
    <n v="62"/>
    <n v="2170"/>
    <m/>
    <n v="14"/>
  </r>
  <r>
    <x v="2"/>
    <x v="24"/>
    <s v="IMPORTED GINS"/>
    <x v="4"/>
    <n v="24"/>
    <n v="531.12"/>
    <m/>
    <n v="2"/>
  </r>
  <r>
    <x v="2"/>
    <x v="25"/>
    <s v="100% AGAVE TEQUILA"/>
    <x v="7"/>
    <n v="63393"/>
    <n v="1927074.5499999556"/>
    <m/>
    <n v="6848"/>
  </r>
  <r>
    <x v="2"/>
    <x v="25"/>
    <s v="AMERICAN BRANDIES"/>
    <x v="1"/>
    <n v="57151"/>
    <n v="389278.20000000112"/>
    <m/>
    <n v="5117"/>
  </r>
  <r>
    <x v="2"/>
    <x v="25"/>
    <s v="AMERICAN DRY GINS"/>
    <x v="4"/>
    <n v="20154"/>
    <n v="236315.81999999969"/>
    <m/>
    <n v="1890"/>
  </r>
  <r>
    <x v="2"/>
    <x v="25"/>
    <s v="AMERICAN VODKAS"/>
    <x v="5"/>
    <n v="415989"/>
    <n v="4202208.8999999631"/>
    <m/>
    <n v="26374"/>
  </r>
  <r>
    <x v="2"/>
    <x v="25"/>
    <s v="BLENDED WHISKIES"/>
    <x v="6"/>
    <n v="68355"/>
    <n v="865435.30000000331"/>
    <m/>
    <n v="7477"/>
  </r>
  <r>
    <x v="2"/>
    <x v="25"/>
    <s v="CANADIAN WHISKIES"/>
    <x v="6"/>
    <n v="213188"/>
    <n v="3398065.6100000958"/>
    <m/>
    <n v="14924"/>
  </r>
  <r>
    <x v="2"/>
    <x v="25"/>
    <s v="COCKTAILS/RTD"/>
    <x v="3"/>
    <n v="44098"/>
    <n v="487017.23999998212"/>
    <m/>
    <n v="5002"/>
  </r>
  <r>
    <x v="2"/>
    <x v="25"/>
    <s v="COFFEE LIQUEURS"/>
    <x v="2"/>
    <n v="7757"/>
    <n v="144409.00000000084"/>
    <m/>
    <n v="980"/>
  </r>
  <r>
    <x v="2"/>
    <x v="25"/>
    <s v="CREAM LIQUEURS"/>
    <x v="2"/>
    <n v="31105"/>
    <n v="612771.72999999626"/>
    <m/>
    <n v="3753"/>
  </r>
  <r>
    <x v="2"/>
    <x v="25"/>
    <s v="FLAVORED RUM"/>
    <x v="0"/>
    <n v="37238"/>
    <n v="540827.81000000227"/>
    <m/>
    <n v="3803"/>
  </r>
  <r>
    <x v="2"/>
    <x v="25"/>
    <s v="GOLD RUM"/>
    <x v="0"/>
    <n v="5976"/>
    <n v="79004.5799999999"/>
    <m/>
    <n v="887"/>
  </r>
  <r>
    <x v="2"/>
    <x v="25"/>
    <s v="IMPORTED FLAVORED VODKA"/>
    <x v="5"/>
    <n v="19898"/>
    <n v="338924.99000000127"/>
    <m/>
    <n v="2638"/>
  </r>
  <r>
    <x v="2"/>
    <x v="25"/>
    <s v="IMPORTED VODKAS"/>
    <x v="5"/>
    <n v="47501"/>
    <n v="817438.11999998975"/>
    <m/>
    <n v="4434"/>
  </r>
  <r>
    <x v="2"/>
    <x v="25"/>
    <s v="SINGLE BARREL BOURBON WHISKIES"/>
    <x v="6"/>
    <n v="3120"/>
    <n v="107787.13"/>
    <m/>
    <n v="413"/>
  </r>
  <r>
    <x v="2"/>
    <x v="25"/>
    <s v="SPICED RUM"/>
    <x v="0"/>
    <n v="89388"/>
    <n v="1246141.5599999896"/>
    <m/>
    <n v="7687"/>
  </r>
  <r>
    <x v="2"/>
    <x v="25"/>
    <s v="STRAIGHT BOURBON WHISKIES"/>
    <x v="6"/>
    <n v="115614"/>
    <n v="2513463.8899999778"/>
    <m/>
    <n v="14182"/>
  </r>
  <r>
    <x v="2"/>
    <x v="25"/>
    <s v="TEMPORARY &amp; SPECIALTY PACKAGES"/>
    <x v="3"/>
    <n v="19465"/>
    <n v="391115.43999999709"/>
    <m/>
    <n v="2673"/>
  </r>
  <r>
    <x v="2"/>
    <x v="25"/>
    <s v="WHISKEY LIQUEUR"/>
    <x v="6"/>
    <n v="284186"/>
    <n v="1740647.0499999933"/>
    <m/>
    <n v="10098"/>
  </r>
  <r>
    <x v="2"/>
    <x v="25"/>
    <s v="WHITE RUM"/>
    <x v="0"/>
    <n v="39023"/>
    <n v="462083.70999999618"/>
    <m/>
    <n v="3494"/>
  </r>
  <r>
    <x v="2"/>
    <x v="25"/>
    <s v="AMERICAN CORDIALS &amp; LIQUEURSS"/>
    <x v="2"/>
    <n v="31470"/>
    <n v="276724.10000000021"/>
    <m/>
    <n v="3611"/>
  </r>
  <r>
    <x v="2"/>
    <x v="25"/>
    <s v="AMERICAN FLAVORED VODKA"/>
    <x v="5"/>
    <n v="66843"/>
    <n v="698515.26000002306"/>
    <m/>
    <n v="7794"/>
  </r>
  <r>
    <x v="2"/>
    <x v="25"/>
    <s v="AMERICAN SCHNAPPS"/>
    <x v="2"/>
    <n v="50838"/>
    <n v="384910.04999999539"/>
    <m/>
    <n v="5384"/>
  </r>
  <r>
    <x v="2"/>
    <x v="25"/>
    <s v="IMPORTED CORDIALS &amp; LIQUEURSS"/>
    <x v="2"/>
    <n v="45804"/>
    <n v="1046717.3700000059"/>
    <m/>
    <n v="4794"/>
  </r>
  <r>
    <x v="2"/>
    <x v="25"/>
    <s v="SCOTCH WHISKIES"/>
    <x v="6"/>
    <n v="14629"/>
    <n v="442927.93999999709"/>
    <m/>
    <n v="2667"/>
  </r>
  <r>
    <x v="2"/>
    <x v="25"/>
    <s v="SINGLE MALT SCOTCH"/>
    <x v="6"/>
    <n v="7036"/>
    <n v="322533.52000000043"/>
    <m/>
    <n v="1544"/>
  </r>
  <r>
    <x v="2"/>
    <x v="25"/>
    <s v="STRAIGHT RYE WHISKIES"/>
    <x v="6"/>
    <n v="10326"/>
    <n v="314093.5199999999"/>
    <m/>
    <n v="1730"/>
  </r>
  <r>
    <x v="2"/>
    <x v="25"/>
    <s v="IMPORTED BRANDIES"/>
    <x v="1"/>
    <n v="36951"/>
    <n v="958246.11999999406"/>
    <m/>
    <n v="3331"/>
  </r>
  <r>
    <x v="2"/>
    <x v="25"/>
    <s v="IMPORTED DRY GINS"/>
    <x v="4"/>
    <n v="15703"/>
    <n v="388173.12000000023"/>
    <m/>
    <n v="1855"/>
  </r>
  <r>
    <x v="2"/>
    <x v="25"/>
    <s v="IMPORTED SCHNAPPS"/>
    <x v="2"/>
    <n v="29182"/>
    <n v="500442.65999999887"/>
    <m/>
    <n v="2757"/>
  </r>
  <r>
    <x v="2"/>
    <x v="25"/>
    <s v="IRISH WHISKIES"/>
    <x v="6"/>
    <n v="37939"/>
    <n v="1046940.0699999809"/>
    <m/>
    <n v="2485"/>
  </r>
  <r>
    <x v="2"/>
    <x v="25"/>
    <s v="MIXTO TEQUILA"/>
    <x v="7"/>
    <n v="61030"/>
    <n v="802543.27999998804"/>
    <m/>
    <n v="3853"/>
  </r>
  <r>
    <x v="2"/>
    <x v="25"/>
    <s v="NEUTRAL GRAIN SPIRITS"/>
    <x v="3"/>
    <n v="3495"/>
    <n v="56213.14000000005"/>
    <m/>
    <n v="396"/>
  </r>
  <r>
    <x v="2"/>
    <x v="25"/>
    <s v="TENNESSEE WHISKIES"/>
    <x v="6"/>
    <n v="44865"/>
    <n v="1039877.8199999991"/>
    <m/>
    <n v="4547"/>
  </r>
  <r>
    <x v="2"/>
    <x v="25"/>
    <s v="AGED DARK RUM"/>
    <x v="0"/>
    <n v="3312"/>
    <n v="70901.630000000034"/>
    <m/>
    <n v="588"/>
  </r>
  <r>
    <x v="2"/>
    <x v="25"/>
    <s v="IMPORTED DISTILLED SPIRITS SPECIALTY"/>
    <x v="3"/>
    <n v="19715"/>
    <n v="158717.37000000008"/>
    <m/>
    <n v="338"/>
  </r>
  <r>
    <x v="2"/>
    <x v="25"/>
    <s v="SPECIAL ORDER ITEMS"/>
    <x v="3"/>
    <n v="2641"/>
    <n v="57638.830000000024"/>
    <m/>
    <n v="143"/>
  </r>
  <r>
    <x v="2"/>
    <x v="25"/>
    <s v="AMERICAN DISTILLED SPIRITS SPECIALTY"/>
    <x v="3"/>
    <n v="4365"/>
    <n v="81109.469999999768"/>
    <m/>
    <n v="679"/>
  </r>
  <r>
    <x v="2"/>
    <x v="25"/>
    <s v="NEUTRAL GRAIN SPIRITS FLAVORED"/>
    <x v="3"/>
    <n v="7857"/>
    <n v="134110.62999999998"/>
    <m/>
    <n v="1567"/>
  </r>
  <r>
    <x v="2"/>
    <x v="25"/>
    <s v="BOTTLED IN BOND BOURBON"/>
    <x v="6"/>
    <n v="2224"/>
    <n v="56581.900000000016"/>
    <m/>
    <n v="597"/>
  </r>
  <r>
    <x v="2"/>
    <x v="25"/>
    <s v="TRIPLE SEC"/>
    <x v="3"/>
    <n v="12612"/>
    <n v="52383.869999999959"/>
    <m/>
    <n v="485"/>
  </r>
  <r>
    <x v="2"/>
    <x v="25"/>
    <s v="AMERICAN SLOE GINS"/>
    <x v="4"/>
    <n v="215"/>
    <n v="1877.2500000000007"/>
    <m/>
    <n v="45"/>
  </r>
  <r>
    <x v="2"/>
    <x v="25"/>
    <s v="FLAVORED GIN"/>
    <x v="4"/>
    <n v="880"/>
    <n v="22290.639999999999"/>
    <m/>
    <n v="116"/>
  </r>
  <r>
    <x v="2"/>
    <x v="25"/>
    <s v="MEZCAL"/>
    <x v="7"/>
    <n v="1366"/>
    <n v="44560.209999999985"/>
    <m/>
    <n v="189"/>
  </r>
  <r>
    <x v="2"/>
    <x v="25"/>
    <s v="CORN WHISKIES"/>
    <x v="6"/>
    <n v="497"/>
    <n v="12649.970000000001"/>
    <m/>
    <n v="100"/>
  </r>
  <r>
    <x v="2"/>
    <x v="25"/>
    <s v="DISTILLED SPIRITS SPECIALTY"/>
    <x v="3"/>
    <n v="36"/>
    <n v="1260"/>
    <m/>
    <n v="13"/>
  </r>
  <r>
    <x v="2"/>
    <x v="25"/>
    <s v="IMPORTED WHISKIES"/>
    <x v="6"/>
    <n v="12"/>
    <n v="1150.56"/>
    <m/>
    <n v="2"/>
  </r>
  <r>
    <x v="2"/>
    <x v="26"/>
    <s v="AMERICAN VODKAS"/>
    <x v="5"/>
    <n v="432006"/>
    <n v="4164707.2700000177"/>
    <m/>
    <n v="28178"/>
  </r>
  <r>
    <x v="2"/>
    <x v="26"/>
    <s v="CANADIAN WHISKIES"/>
    <x v="6"/>
    <n v="194986"/>
    <n v="3011639.220000091"/>
    <m/>
    <n v="16114"/>
  </r>
  <r>
    <x v="2"/>
    <x v="26"/>
    <s v="FLAVORED RUM"/>
    <x v="0"/>
    <n v="37662"/>
    <n v="553458.20000000217"/>
    <m/>
    <n v="3968"/>
  </r>
  <r>
    <x v="2"/>
    <x v="26"/>
    <s v="SPICED RUM"/>
    <x v="0"/>
    <n v="124695"/>
    <n v="2201595.6300000008"/>
    <m/>
    <n v="7725"/>
  </r>
  <r>
    <x v="2"/>
    <x v="26"/>
    <s v="WHISKEY LIQUEUR"/>
    <x v="6"/>
    <n v="295280"/>
    <n v="1684796.1299999866"/>
    <m/>
    <n v="10472"/>
  </r>
  <r>
    <x v="2"/>
    <x v="26"/>
    <s v="100% AGAVE TEQUILA"/>
    <x v="7"/>
    <n v="62335"/>
    <n v="1883096.2899999514"/>
    <m/>
    <n v="7561"/>
  </r>
  <r>
    <x v="2"/>
    <x v="26"/>
    <s v="AMERICAN BRANDIES"/>
    <x v="1"/>
    <n v="54008"/>
    <n v="353741.18000000052"/>
    <m/>
    <n v="4656"/>
  </r>
  <r>
    <x v="2"/>
    <x v="26"/>
    <s v="AMERICAN CORDIALS &amp; LIQUEURSS"/>
    <x v="2"/>
    <n v="40184"/>
    <n v="348006.87000000355"/>
    <m/>
    <n v="4703"/>
  </r>
  <r>
    <x v="2"/>
    <x v="26"/>
    <s v="AMERICAN DISTILLED SPIRITS SPECIALTY"/>
    <x v="3"/>
    <n v="4050"/>
    <n v="78833.119999999879"/>
    <m/>
    <n v="659"/>
  </r>
  <r>
    <x v="2"/>
    <x v="26"/>
    <s v="AMERICAN DRY GINS"/>
    <x v="4"/>
    <n v="19287"/>
    <n v="196465.82999999958"/>
    <m/>
    <n v="2183"/>
  </r>
  <r>
    <x v="2"/>
    <x v="26"/>
    <s v="AMERICAN FLAVORED VODKA"/>
    <x v="5"/>
    <n v="81484"/>
    <n v="856616.92000003648"/>
    <m/>
    <n v="10066"/>
  </r>
  <r>
    <x v="2"/>
    <x v="26"/>
    <s v="AMERICAN SCHNAPPS"/>
    <x v="2"/>
    <n v="65790"/>
    <n v="529143.09999999451"/>
    <m/>
    <n v="6337"/>
  </r>
  <r>
    <x v="2"/>
    <x v="26"/>
    <s v="BLENDED WHISKIES"/>
    <x v="6"/>
    <n v="64857"/>
    <n v="807912.71000000462"/>
    <m/>
    <n v="7625"/>
  </r>
  <r>
    <x v="2"/>
    <x v="26"/>
    <s v="CREAM LIQUEURS"/>
    <x v="2"/>
    <n v="24268"/>
    <n v="491298.09999999712"/>
    <m/>
    <n v="3771"/>
  </r>
  <r>
    <x v="2"/>
    <x v="26"/>
    <s v="IMPORTED CORDIALS &amp; LIQUEURSS"/>
    <x v="2"/>
    <n v="44695"/>
    <n v="970302.6500000013"/>
    <m/>
    <n v="4527"/>
  </r>
  <r>
    <x v="2"/>
    <x v="26"/>
    <s v="IMPORTED DRY GINS"/>
    <x v="4"/>
    <n v="11776"/>
    <n v="289006.59000000037"/>
    <m/>
    <n v="1529"/>
  </r>
  <r>
    <x v="2"/>
    <x v="26"/>
    <s v="IMPORTED SCHNAPPS"/>
    <x v="2"/>
    <n v="28030"/>
    <n v="485730.77999999945"/>
    <m/>
    <n v="2745"/>
  </r>
  <r>
    <x v="2"/>
    <x v="26"/>
    <s v="IMPORTED VODKAS"/>
    <x v="5"/>
    <n v="47209"/>
    <n v="804429.23999998893"/>
    <m/>
    <n v="4842"/>
  </r>
  <r>
    <x v="2"/>
    <x v="26"/>
    <s v="NEUTRAL GRAIN SPIRITS FLAVORED"/>
    <x v="3"/>
    <n v="8382"/>
    <n v="141970.02999999982"/>
    <m/>
    <n v="1587"/>
  </r>
  <r>
    <x v="2"/>
    <x v="26"/>
    <s v="SINGLE MALT SCOTCH"/>
    <x v="6"/>
    <n v="5686"/>
    <n v="271969.38000000146"/>
    <m/>
    <n v="1285"/>
  </r>
  <r>
    <x v="2"/>
    <x v="26"/>
    <s v="STRAIGHT BOURBON WHISKIES"/>
    <x v="6"/>
    <n v="122644"/>
    <n v="2598771.6599999685"/>
    <m/>
    <n v="14386"/>
  </r>
  <r>
    <x v="2"/>
    <x v="26"/>
    <s v="TEMPORARY &amp; SPECIALTY PACKAGES"/>
    <x v="3"/>
    <n v="36272"/>
    <n v="962230.83999999985"/>
    <m/>
    <n v="4455"/>
  </r>
  <r>
    <x v="2"/>
    <x v="26"/>
    <s v="TENNESSEE WHISKIES"/>
    <x v="6"/>
    <n v="61682"/>
    <n v="1438881.8299999963"/>
    <m/>
    <n v="5773"/>
  </r>
  <r>
    <x v="2"/>
    <x v="26"/>
    <s v="TRIPLE SEC"/>
    <x v="3"/>
    <n v="16307"/>
    <n v="65947.580000000031"/>
    <m/>
    <n v="592"/>
  </r>
  <r>
    <x v="2"/>
    <x v="26"/>
    <s v="WHITE RUM"/>
    <x v="0"/>
    <n v="37382"/>
    <n v="418227.56999999634"/>
    <m/>
    <n v="3627"/>
  </r>
  <r>
    <x v="2"/>
    <x v="26"/>
    <s v="CORN WHISKIES"/>
    <x v="6"/>
    <n v="1116"/>
    <n v="44254.62"/>
    <m/>
    <n v="114"/>
  </r>
  <r>
    <x v="2"/>
    <x v="26"/>
    <s v="IMPORTED FLAVORED VODKA"/>
    <x v="5"/>
    <n v="21211"/>
    <n v="360083.10000000003"/>
    <m/>
    <n v="2764"/>
  </r>
  <r>
    <x v="2"/>
    <x v="26"/>
    <s v="AGED DARK RUM"/>
    <x v="0"/>
    <n v="3378"/>
    <n v="74772.640000000029"/>
    <m/>
    <n v="581"/>
  </r>
  <r>
    <x v="2"/>
    <x v="26"/>
    <s v="BOTTLED IN BOND BOURBON"/>
    <x v="6"/>
    <n v="2133"/>
    <n v="52176.349999999991"/>
    <m/>
    <n v="435"/>
  </r>
  <r>
    <x v="2"/>
    <x v="26"/>
    <s v="COCKTAILS/RTD"/>
    <x v="3"/>
    <n v="60111"/>
    <n v="720463.52000000176"/>
    <m/>
    <n v="6085"/>
  </r>
  <r>
    <x v="2"/>
    <x v="26"/>
    <s v="COFFEE LIQUEURS"/>
    <x v="2"/>
    <n v="6492"/>
    <n v="109189.49000000076"/>
    <m/>
    <n v="848"/>
  </r>
  <r>
    <x v="2"/>
    <x v="26"/>
    <s v="GOLD RUM"/>
    <x v="0"/>
    <n v="5616"/>
    <n v="72513.359999999884"/>
    <m/>
    <n v="851"/>
  </r>
  <r>
    <x v="2"/>
    <x v="26"/>
    <s v="IMPORTED BRANDIES"/>
    <x v="1"/>
    <n v="23520"/>
    <n v="546418.32000000321"/>
    <m/>
    <n v="1930"/>
  </r>
  <r>
    <x v="2"/>
    <x v="26"/>
    <s v="IRISH WHISKIES"/>
    <x v="6"/>
    <n v="25895"/>
    <n v="709980.40999999084"/>
    <m/>
    <n v="2690"/>
  </r>
  <r>
    <x v="2"/>
    <x v="26"/>
    <s v="MIXTO TEQUILA"/>
    <x v="7"/>
    <n v="56257"/>
    <n v="756630.1699999877"/>
    <m/>
    <n v="4113"/>
  </r>
  <r>
    <x v="2"/>
    <x v="26"/>
    <s v="SCOTCH WHISKIES"/>
    <x v="6"/>
    <n v="13590"/>
    <n v="362474.20999999944"/>
    <m/>
    <n v="2338"/>
  </r>
  <r>
    <x v="2"/>
    <x v="26"/>
    <s v="STRAIGHT RYE WHISKIES"/>
    <x v="6"/>
    <n v="10996"/>
    <n v="322669.2100000013"/>
    <m/>
    <n v="1736"/>
  </r>
  <r>
    <x v="2"/>
    <x v="26"/>
    <s v="NEUTRAL GRAIN SPIRITS"/>
    <x v="3"/>
    <n v="2860"/>
    <n v="42700.22"/>
    <m/>
    <n v="325"/>
  </r>
  <r>
    <x v="2"/>
    <x v="26"/>
    <s v="IMPORTED DISTILLED SPIRITS SPECIALTY"/>
    <x v="3"/>
    <n v="21309"/>
    <n v="171691.71"/>
    <m/>
    <n v="442"/>
  </r>
  <r>
    <x v="2"/>
    <x v="26"/>
    <s v="SINGLE BARREL BOURBON WHISKIES"/>
    <x v="6"/>
    <n v="2165"/>
    <n v="67390.809999999969"/>
    <m/>
    <n v="294"/>
  </r>
  <r>
    <x v="2"/>
    <x v="26"/>
    <s v="SPECIAL ORDER ITEMS"/>
    <x v="3"/>
    <n v="10011"/>
    <n v="123201.39999999997"/>
    <m/>
    <n v="130"/>
  </r>
  <r>
    <x v="2"/>
    <x v="26"/>
    <s v="MEZCAL"/>
    <x v="7"/>
    <n v="1071"/>
    <n v="35663.61"/>
    <m/>
    <n v="195"/>
  </r>
  <r>
    <x v="2"/>
    <x v="26"/>
    <s v="FLAVORED GIN"/>
    <x v="4"/>
    <n v="1718"/>
    <n v="42643.840000000004"/>
    <m/>
    <n v="208"/>
  </r>
  <r>
    <x v="2"/>
    <x v="26"/>
    <s v="AMERICAN SLOE GINS"/>
    <x v="4"/>
    <n v="268"/>
    <n v="2178.8400000000011"/>
    <m/>
    <n v="51"/>
  </r>
  <r>
    <x v="2"/>
    <x v="27"/>
    <s v="AMERICAN CORDIALS &amp; LIQUEURSS"/>
    <x v="2"/>
    <n v="38287"/>
    <n v="349467.17000000522"/>
    <m/>
    <n v="5268"/>
  </r>
  <r>
    <x v="2"/>
    <x v="27"/>
    <s v="AMERICAN DISTILLED SPIRITS SPECIALTY"/>
    <x v="3"/>
    <n v="5482"/>
    <n v="101147.63999999968"/>
    <m/>
    <n v="797"/>
  </r>
  <r>
    <x v="2"/>
    <x v="27"/>
    <s v="AMERICAN DRY GINS"/>
    <x v="4"/>
    <n v="31003"/>
    <n v="278041.24000000209"/>
    <m/>
    <n v="2940"/>
  </r>
  <r>
    <x v="2"/>
    <x v="27"/>
    <s v="AMERICAN FLAVORED VODKA"/>
    <x v="5"/>
    <n v="89306"/>
    <n v="975073.70000004279"/>
    <m/>
    <n v="11215"/>
  </r>
  <r>
    <x v="2"/>
    <x v="27"/>
    <s v="AMERICAN SCHNAPPS"/>
    <x v="2"/>
    <n v="62091"/>
    <n v="512917.55999999895"/>
    <m/>
    <n v="6586"/>
  </r>
  <r>
    <x v="2"/>
    <x v="27"/>
    <s v="AMERICAN VODKAS"/>
    <x v="5"/>
    <n v="498329"/>
    <n v="4920390.9299995378"/>
    <m/>
    <n v="33041"/>
  </r>
  <r>
    <x v="2"/>
    <x v="27"/>
    <s v="BLENDED WHISKIES"/>
    <x v="6"/>
    <n v="65598"/>
    <n v="829853.86999998603"/>
    <m/>
    <n v="7776"/>
  </r>
  <r>
    <x v="2"/>
    <x v="27"/>
    <s v="BOTTLED IN BOND BOURBON"/>
    <x v="6"/>
    <n v="2204"/>
    <n v="59615.21"/>
    <m/>
    <n v="667"/>
  </r>
  <r>
    <x v="2"/>
    <x v="27"/>
    <s v="CANADIAN WHISKIES"/>
    <x v="6"/>
    <n v="239524"/>
    <n v="3677821.9999999022"/>
    <m/>
    <n v="18463"/>
  </r>
  <r>
    <x v="2"/>
    <x v="27"/>
    <s v="COCKTAILS/RTD"/>
    <x v="3"/>
    <n v="47562"/>
    <n v="581406.44999998051"/>
    <m/>
    <n v="6605"/>
  </r>
  <r>
    <x v="2"/>
    <x v="27"/>
    <s v="COFFEE LIQUEURS"/>
    <x v="2"/>
    <n v="6279"/>
    <n v="117570.83000000085"/>
    <m/>
    <n v="807"/>
  </r>
  <r>
    <x v="2"/>
    <x v="27"/>
    <s v="CORN WHISKIES"/>
    <x v="6"/>
    <n v="898"/>
    <n v="22556.569999999992"/>
    <m/>
    <n v="117"/>
  </r>
  <r>
    <x v="2"/>
    <x v="27"/>
    <s v="CREAM LIQUEURS"/>
    <x v="2"/>
    <n v="19828"/>
    <n v="397991.97999999498"/>
    <m/>
    <n v="3404"/>
  </r>
  <r>
    <x v="2"/>
    <x v="27"/>
    <s v="FLAVORED RUM"/>
    <x v="0"/>
    <n v="56428"/>
    <n v="821428.41999998945"/>
    <m/>
    <n v="5222"/>
  </r>
  <r>
    <x v="2"/>
    <x v="27"/>
    <s v="GOLD RUM"/>
    <x v="0"/>
    <n v="5872"/>
    <n v="76788.08999999988"/>
    <m/>
    <n v="914"/>
  </r>
  <r>
    <x v="2"/>
    <x v="27"/>
    <s v="IMPORTED BRANDIES"/>
    <x v="1"/>
    <n v="60501"/>
    <n v="1397550.6399999696"/>
    <m/>
    <n v="4586"/>
  </r>
  <r>
    <x v="2"/>
    <x v="27"/>
    <s v="IMPORTED CORDIALS &amp; LIQUEURSS"/>
    <x v="2"/>
    <n v="45616"/>
    <n v="1079218.4000000071"/>
    <m/>
    <n v="4734"/>
  </r>
  <r>
    <x v="2"/>
    <x v="27"/>
    <s v="IMPORTED DRY GINS"/>
    <x v="4"/>
    <n v="21847"/>
    <n v="537879.52999999886"/>
    <m/>
    <n v="2683"/>
  </r>
  <r>
    <x v="2"/>
    <x v="27"/>
    <s v="IMPORTED FLAVORED VODKA"/>
    <x v="5"/>
    <n v="29690"/>
    <n v="501471.63000000187"/>
    <m/>
    <n v="3580"/>
  </r>
  <r>
    <x v="2"/>
    <x v="27"/>
    <s v="IMPORTED SCHNAPPS"/>
    <x v="2"/>
    <n v="28374"/>
    <n v="481038.84000000096"/>
    <m/>
    <n v="2994"/>
  </r>
  <r>
    <x v="2"/>
    <x v="27"/>
    <s v="IMPORTED VODKAS"/>
    <x v="5"/>
    <n v="59867"/>
    <n v="1020908.1299999838"/>
    <m/>
    <n v="5761"/>
  </r>
  <r>
    <x v="2"/>
    <x v="27"/>
    <s v="IRISH WHISKIES"/>
    <x v="6"/>
    <n v="27836"/>
    <n v="749527.40999999142"/>
    <m/>
    <n v="2513"/>
  </r>
  <r>
    <x v="2"/>
    <x v="27"/>
    <s v="MEZCAL"/>
    <x v="7"/>
    <n v="1524"/>
    <n v="48256.35000000002"/>
    <m/>
    <n v="262"/>
  </r>
  <r>
    <x v="2"/>
    <x v="27"/>
    <s v="MIXTO TEQUILA"/>
    <x v="7"/>
    <n v="68021"/>
    <n v="920070.89000000746"/>
    <m/>
    <n v="4955"/>
  </r>
  <r>
    <x v="2"/>
    <x v="27"/>
    <s v="NEUTRAL GRAIN SPIRITS"/>
    <x v="3"/>
    <n v="3857"/>
    <n v="56647.259999999995"/>
    <m/>
    <n v="387"/>
  </r>
  <r>
    <x v="2"/>
    <x v="27"/>
    <s v="NEUTRAL GRAIN SPIRITS FLAVORED"/>
    <x v="3"/>
    <n v="13855"/>
    <n v="233144.33000000191"/>
    <m/>
    <n v="2817"/>
  </r>
  <r>
    <x v="2"/>
    <x v="27"/>
    <s v="SCOTCH WHISKIES"/>
    <x v="6"/>
    <n v="13561"/>
    <n v="371681.41999999952"/>
    <m/>
    <n v="2443"/>
  </r>
  <r>
    <x v="2"/>
    <x v="27"/>
    <s v="SINGLE MALT SCOTCH"/>
    <x v="6"/>
    <n v="4833"/>
    <n v="238266.03000000067"/>
    <m/>
    <n v="1122"/>
  </r>
  <r>
    <x v="2"/>
    <x v="27"/>
    <s v="SPICED RUM"/>
    <x v="0"/>
    <n v="103972"/>
    <n v="1540578.2499999718"/>
    <m/>
    <n v="8542"/>
  </r>
  <r>
    <x v="2"/>
    <x v="27"/>
    <s v="STRAIGHT BOURBON WHISKIES"/>
    <x v="6"/>
    <n v="119400"/>
    <n v="2505587.399999992"/>
    <m/>
    <n v="14227"/>
  </r>
  <r>
    <x v="2"/>
    <x v="27"/>
    <s v="STRAIGHT RYE WHISKIES"/>
    <x v="6"/>
    <n v="9106"/>
    <n v="299203.07000000129"/>
    <m/>
    <n v="1479"/>
  </r>
  <r>
    <x v="2"/>
    <x v="27"/>
    <s v="TEMPORARY &amp; SPECIALTY PACKAGES"/>
    <x v="3"/>
    <n v="49706"/>
    <n v="1329612.9199999366"/>
    <m/>
    <n v="5763"/>
  </r>
  <r>
    <x v="2"/>
    <x v="27"/>
    <s v="TENNESSEE WHISKIES"/>
    <x v="6"/>
    <n v="52772"/>
    <n v="1225793.8999999769"/>
    <m/>
    <n v="5194"/>
  </r>
  <r>
    <x v="2"/>
    <x v="27"/>
    <s v="TRIPLE SEC"/>
    <x v="3"/>
    <n v="17249"/>
    <n v="69376.599999999919"/>
    <m/>
    <n v="753"/>
  </r>
  <r>
    <x v="2"/>
    <x v="27"/>
    <s v="WHISKEY LIQUEUR"/>
    <x v="6"/>
    <n v="301333"/>
    <n v="1870681.7699999979"/>
    <m/>
    <n v="11540"/>
  </r>
  <r>
    <x v="2"/>
    <x v="27"/>
    <s v="WHITE RUM"/>
    <x v="0"/>
    <n v="42653"/>
    <n v="498757.07999999524"/>
    <m/>
    <n v="4352"/>
  </r>
  <r>
    <x v="2"/>
    <x v="27"/>
    <s v="AMERICAN BRANDIES"/>
    <x v="1"/>
    <n v="47177"/>
    <n v="313327.48000000051"/>
    <m/>
    <n v="4278"/>
  </r>
  <r>
    <x v="2"/>
    <x v="27"/>
    <s v="100% AGAVE TEQUILA"/>
    <x v="7"/>
    <n v="73221"/>
    <n v="2243807.1599999499"/>
    <m/>
    <n v="8715"/>
  </r>
  <r>
    <x v="2"/>
    <x v="27"/>
    <s v="AGED DARK RUM"/>
    <x v="0"/>
    <n v="3617"/>
    <n v="80216.000000000073"/>
    <m/>
    <n v="660"/>
  </r>
  <r>
    <x v="2"/>
    <x v="27"/>
    <s v="IMPORTED DISTILLED SPIRITS SPECIALTY"/>
    <x v="3"/>
    <n v="25917"/>
    <n v="211149.91999999998"/>
    <m/>
    <n v="332"/>
  </r>
  <r>
    <x v="2"/>
    <x v="27"/>
    <s v="SINGLE BARREL BOURBON WHISKIES"/>
    <x v="6"/>
    <n v="2729"/>
    <n v="83280.21000000037"/>
    <m/>
    <n v="421"/>
  </r>
  <r>
    <x v="2"/>
    <x v="27"/>
    <s v="FLAVORED GIN"/>
    <x v="4"/>
    <n v="2578"/>
    <n v="53461.569999999971"/>
    <m/>
    <n v="338"/>
  </r>
  <r>
    <x v="2"/>
    <x v="27"/>
    <s v="AMERICAN SLOE GINS"/>
    <x v="4"/>
    <n v="234"/>
    <n v="1902.4200000000012"/>
    <m/>
    <n v="60"/>
  </r>
  <r>
    <x v="2"/>
    <x v="27"/>
    <s v="SPECIAL ORDER ITEMS"/>
    <x v="3"/>
    <n v="8341"/>
    <n v="108424.87000000001"/>
    <m/>
    <n v="221"/>
  </r>
  <r>
    <x v="2"/>
    <x v="28"/>
    <s v="100% AGAVE TEQUILA"/>
    <x v="7"/>
    <n v="97696"/>
    <n v="2897324.5899999361"/>
    <m/>
    <n v="10370"/>
  </r>
  <r>
    <x v="2"/>
    <x v="28"/>
    <s v="AMERICAN BRANDIES"/>
    <x v="1"/>
    <n v="69595"/>
    <n v="443698.07000000187"/>
    <m/>
    <n v="5318"/>
  </r>
  <r>
    <x v="2"/>
    <x v="28"/>
    <s v="AMERICAN CORDIALS &amp; LIQUEURSS"/>
    <x v="2"/>
    <n v="49941"/>
    <n v="429724.63000001071"/>
    <m/>
    <n v="6602"/>
  </r>
  <r>
    <x v="2"/>
    <x v="28"/>
    <s v="AMERICAN DRY GINS"/>
    <x v="4"/>
    <n v="41654"/>
    <n v="347201.66000000318"/>
    <m/>
    <n v="3455"/>
  </r>
  <r>
    <x v="2"/>
    <x v="28"/>
    <s v="AMERICAN FLAVORED VODKA"/>
    <x v="5"/>
    <n v="98428"/>
    <n v="1048855.9400000433"/>
    <m/>
    <n v="12030"/>
  </r>
  <r>
    <x v="2"/>
    <x v="28"/>
    <s v="AMERICAN SCHNAPPS"/>
    <x v="2"/>
    <n v="70801"/>
    <n v="567630.53000000305"/>
    <m/>
    <n v="7162"/>
  </r>
  <r>
    <x v="2"/>
    <x v="28"/>
    <s v="AMERICAN VODKAS"/>
    <x v="5"/>
    <n v="632688"/>
    <n v="6971393.6999990363"/>
    <m/>
    <n v="37389"/>
  </r>
  <r>
    <x v="2"/>
    <x v="28"/>
    <s v="BLENDED WHISKIES"/>
    <x v="6"/>
    <n v="83559"/>
    <n v="1143057.7099999997"/>
    <m/>
    <n v="8931"/>
  </r>
  <r>
    <x v="2"/>
    <x v="28"/>
    <s v="BOTTLED IN BOND BOURBON"/>
    <x v="6"/>
    <n v="3064"/>
    <n v="91339.000000000015"/>
    <m/>
    <n v="775"/>
  </r>
  <r>
    <x v="2"/>
    <x v="28"/>
    <s v="CANADIAN WHISKIES"/>
    <x v="6"/>
    <n v="239038"/>
    <n v="3703341.279999976"/>
    <m/>
    <n v="20387"/>
  </r>
  <r>
    <x v="2"/>
    <x v="28"/>
    <s v="COCKTAILS/RTD"/>
    <x v="3"/>
    <n v="55088"/>
    <n v="665030.68999998982"/>
    <m/>
    <n v="7138"/>
  </r>
  <r>
    <x v="2"/>
    <x v="28"/>
    <s v="IMPORTED CORDIALS &amp; LIQUEURSS"/>
    <x v="2"/>
    <n v="44491"/>
    <n v="1029161.220000006"/>
    <m/>
    <n v="4883"/>
  </r>
  <r>
    <x v="2"/>
    <x v="28"/>
    <s v="IMPORTED DRY GINS"/>
    <x v="4"/>
    <n v="23296"/>
    <n v="585312.63999999699"/>
    <m/>
    <n v="2535"/>
  </r>
  <r>
    <x v="2"/>
    <x v="28"/>
    <s v="IMPORTED SCHNAPPS"/>
    <x v="2"/>
    <n v="34031"/>
    <n v="582799.21999999683"/>
    <m/>
    <n v="3366"/>
  </r>
  <r>
    <x v="2"/>
    <x v="28"/>
    <s v="IMPORTED VODKAS"/>
    <x v="5"/>
    <n v="68177"/>
    <n v="1170821.4499999597"/>
    <m/>
    <n v="5779"/>
  </r>
  <r>
    <x v="2"/>
    <x v="28"/>
    <s v="IRISH WHISKIES"/>
    <x v="6"/>
    <n v="31534"/>
    <n v="876003.77999998885"/>
    <m/>
    <n v="2866"/>
  </r>
  <r>
    <x v="2"/>
    <x v="28"/>
    <s v="SCOTCH WHISKIES"/>
    <x v="6"/>
    <n v="17586"/>
    <n v="468528.63999999751"/>
    <m/>
    <n v="2832"/>
  </r>
  <r>
    <x v="2"/>
    <x v="28"/>
    <s v="SPICED RUM"/>
    <x v="0"/>
    <n v="113621"/>
    <n v="1620430.9699999543"/>
    <m/>
    <n v="9494"/>
  </r>
  <r>
    <x v="2"/>
    <x v="28"/>
    <s v="STRAIGHT BOURBON WHISKIES"/>
    <x v="6"/>
    <n v="155430"/>
    <n v="3515085.799999956"/>
    <m/>
    <n v="16907"/>
  </r>
  <r>
    <x v="2"/>
    <x v="28"/>
    <s v="STRAIGHT RYE WHISKIES"/>
    <x v="6"/>
    <n v="15489"/>
    <n v="519963.12000000721"/>
    <m/>
    <n v="1995"/>
  </r>
  <r>
    <x v="2"/>
    <x v="28"/>
    <s v="TEMPORARY &amp; SPECIALTY PACKAGES"/>
    <x v="3"/>
    <n v="51152"/>
    <n v="1433239.5599999472"/>
    <m/>
    <n v="6872"/>
  </r>
  <r>
    <x v="2"/>
    <x v="28"/>
    <s v="TENNESSEE WHISKIES"/>
    <x v="6"/>
    <n v="70651"/>
    <n v="1691812.6599999671"/>
    <m/>
    <n v="6350"/>
  </r>
  <r>
    <x v="2"/>
    <x v="28"/>
    <s v="WHISKEY LIQUEUR"/>
    <x v="6"/>
    <n v="378563"/>
    <n v="2300317.1099999673"/>
    <m/>
    <n v="13883"/>
  </r>
  <r>
    <x v="2"/>
    <x v="28"/>
    <s v="WHITE RUM"/>
    <x v="0"/>
    <n v="55148"/>
    <n v="653166.90000000736"/>
    <m/>
    <n v="4565"/>
  </r>
  <r>
    <x v="2"/>
    <x v="28"/>
    <s v="FLAVORED RUM"/>
    <x v="0"/>
    <n v="65389"/>
    <n v="977898.91999999434"/>
    <m/>
    <n v="5689"/>
  </r>
  <r>
    <x v="2"/>
    <x v="28"/>
    <s v="MIXTO TEQUILA"/>
    <x v="7"/>
    <n v="79872"/>
    <n v="1114833.1400000115"/>
    <m/>
    <n v="5555"/>
  </r>
  <r>
    <x v="2"/>
    <x v="28"/>
    <s v="NEUTRAL GRAIN SPIRITS FLAVORED"/>
    <x v="3"/>
    <n v="17031"/>
    <n v="283064.86000000295"/>
    <m/>
    <n v="3558"/>
  </r>
  <r>
    <x v="2"/>
    <x v="28"/>
    <s v="SPECIAL ORDER ITEMS"/>
    <x v="3"/>
    <n v="1538"/>
    <n v="39840.569999999971"/>
    <m/>
    <n v="170"/>
  </r>
  <r>
    <x v="2"/>
    <x v="28"/>
    <s v="IMPORTED BRANDIES"/>
    <x v="1"/>
    <n v="75662"/>
    <n v="1696956.2799999185"/>
    <m/>
    <n v="5340"/>
  </r>
  <r>
    <x v="2"/>
    <x v="28"/>
    <s v="IMPORTED FLAVORED VODKA"/>
    <x v="5"/>
    <n v="33697"/>
    <n v="566533.41999999795"/>
    <m/>
    <n v="3743"/>
  </r>
  <r>
    <x v="2"/>
    <x v="28"/>
    <s v="NEUTRAL GRAIN SPIRITS"/>
    <x v="3"/>
    <n v="3932"/>
    <n v="57811.250000000007"/>
    <m/>
    <n v="452"/>
  </r>
  <r>
    <x v="2"/>
    <x v="28"/>
    <s v="AMERICAN DISTILLED SPIRITS SPECIALTY"/>
    <x v="3"/>
    <n v="5471"/>
    <n v="94704.449999999735"/>
    <m/>
    <n v="742"/>
  </r>
  <r>
    <x v="2"/>
    <x v="28"/>
    <s v="GOLD RUM"/>
    <x v="0"/>
    <n v="7066"/>
    <n v="91206.579999999769"/>
    <m/>
    <n v="1035"/>
  </r>
  <r>
    <x v="2"/>
    <x v="28"/>
    <s v="IMPORTED DISTILLED SPIRITS SPECIALTY"/>
    <x v="3"/>
    <n v="20360"/>
    <n v="163440.71000000014"/>
    <m/>
    <n v="446"/>
  </r>
  <r>
    <x v="2"/>
    <x v="28"/>
    <s v="COFFEE LIQUEURS"/>
    <x v="2"/>
    <n v="8239"/>
    <n v="164773.82000000129"/>
    <m/>
    <n v="939"/>
  </r>
  <r>
    <x v="2"/>
    <x v="28"/>
    <s v="CREAM LIQUEURS"/>
    <x v="2"/>
    <n v="24780"/>
    <n v="491313.30999999394"/>
    <m/>
    <n v="3716"/>
  </r>
  <r>
    <x v="2"/>
    <x v="28"/>
    <s v="TRIPLE SEC"/>
    <x v="3"/>
    <n v="18752"/>
    <n v="74792.109999999797"/>
    <m/>
    <n v="790"/>
  </r>
  <r>
    <x v="2"/>
    <x v="28"/>
    <s v="AGED DARK RUM"/>
    <x v="0"/>
    <n v="3930"/>
    <n v="88854.040000000066"/>
    <m/>
    <n v="712"/>
  </r>
  <r>
    <x v="2"/>
    <x v="28"/>
    <s v="CORN WHISKIES"/>
    <x v="6"/>
    <n v="2598"/>
    <n v="93914.65"/>
    <m/>
    <n v="165"/>
  </r>
  <r>
    <x v="2"/>
    <x v="28"/>
    <s v="FLAVORED GIN"/>
    <x v="4"/>
    <n v="2782"/>
    <n v="72667.48"/>
    <m/>
    <n v="291"/>
  </r>
  <r>
    <x v="2"/>
    <x v="28"/>
    <s v="SINGLE MALT SCOTCH"/>
    <x v="6"/>
    <n v="6602"/>
    <n v="314233.98000000091"/>
    <m/>
    <n v="1446"/>
  </r>
  <r>
    <x v="2"/>
    <x v="28"/>
    <s v="MEZCAL"/>
    <x v="7"/>
    <n v="1459"/>
    <n v="48308.080000000024"/>
    <m/>
    <n v="293"/>
  </r>
  <r>
    <x v="2"/>
    <x v="28"/>
    <s v="SINGLE BARREL BOURBON WHISKIES"/>
    <x v="6"/>
    <n v="4825"/>
    <n v="181265.11000000019"/>
    <m/>
    <n v="372"/>
  </r>
  <r>
    <x v="2"/>
    <x v="28"/>
    <s v="AMERICAN SLOE GINS"/>
    <x v="4"/>
    <n v="297"/>
    <n v="2414.61"/>
    <m/>
    <n v="54"/>
  </r>
  <r>
    <x v="2"/>
    <x v="29"/>
    <s v="100% AGAVE TEQUILA"/>
    <x v="7"/>
    <n v="85371"/>
    <n v="2380436.33999995"/>
    <m/>
    <n v="8298"/>
  </r>
  <r>
    <x v="2"/>
    <x v="29"/>
    <s v="IMPORTED CORDIALS &amp; LIQUEURSS"/>
    <x v="2"/>
    <n v="42312"/>
    <n v="978538.88000000722"/>
    <m/>
    <n v="4899"/>
  </r>
  <r>
    <x v="2"/>
    <x v="29"/>
    <s v="MIXTO TEQUILA"/>
    <x v="7"/>
    <n v="75619"/>
    <n v="1034341.8299999771"/>
    <m/>
    <n v="4713"/>
  </r>
  <r>
    <x v="2"/>
    <x v="29"/>
    <s v="AMERICAN BRANDIES"/>
    <x v="1"/>
    <n v="62268"/>
    <n v="407782.56000000006"/>
    <m/>
    <n v="5203"/>
  </r>
  <r>
    <x v="2"/>
    <x v="29"/>
    <s v="AMERICAN CORDIALS &amp; LIQUEURSS"/>
    <x v="2"/>
    <n v="41406"/>
    <n v="369018.27000000729"/>
    <m/>
    <n v="5215"/>
  </r>
  <r>
    <x v="2"/>
    <x v="29"/>
    <s v="AMERICAN FLAVORED VODKA"/>
    <x v="5"/>
    <n v="103704"/>
    <n v="1124132.6600000449"/>
    <m/>
    <n v="12036"/>
  </r>
  <r>
    <x v="2"/>
    <x v="29"/>
    <s v="AMERICAN VODKAS"/>
    <x v="5"/>
    <n v="492997"/>
    <n v="4770434.8099997668"/>
    <m/>
    <n v="32347"/>
  </r>
  <r>
    <x v="2"/>
    <x v="29"/>
    <s v="BLENDED WHISKIES"/>
    <x v="6"/>
    <n v="78938"/>
    <n v="1053287.500000003"/>
    <m/>
    <n v="8676"/>
  </r>
  <r>
    <x v="2"/>
    <x v="29"/>
    <s v="CANADIAN WHISKIES"/>
    <x v="6"/>
    <n v="220984"/>
    <n v="3364633.1999998824"/>
    <m/>
    <n v="18600"/>
  </r>
  <r>
    <x v="2"/>
    <x v="29"/>
    <s v="COCKTAILS/RTD"/>
    <x v="3"/>
    <n v="97653"/>
    <n v="1165945.6900000004"/>
    <m/>
    <n v="7652"/>
  </r>
  <r>
    <x v="2"/>
    <x v="29"/>
    <s v="CREAM LIQUEURS"/>
    <x v="2"/>
    <n v="22827"/>
    <n v="459632.52999999688"/>
    <m/>
    <n v="3731"/>
  </r>
  <r>
    <x v="2"/>
    <x v="29"/>
    <s v="FLAVORED RUM"/>
    <x v="0"/>
    <n v="43030"/>
    <n v="631281.60000000324"/>
    <m/>
    <n v="3949"/>
  </r>
  <r>
    <x v="2"/>
    <x v="29"/>
    <s v="IMPORTED BRANDIES"/>
    <x v="1"/>
    <n v="47779"/>
    <n v="1056218.1200000069"/>
    <m/>
    <n v="3753"/>
  </r>
  <r>
    <x v="2"/>
    <x v="29"/>
    <s v="IMPORTED VODKAS"/>
    <x v="5"/>
    <n v="54140"/>
    <n v="941809.00999997533"/>
    <m/>
    <n v="4840"/>
  </r>
  <r>
    <x v="2"/>
    <x v="29"/>
    <s v="STRAIGHT BOURBON WHISKIES"/>
    <x v="6"/>
    <n v="134827"/>
    <n v="3006913.2499999646"/>
    <m/>
    <n v="16153"/>
  </r>
  <r>
    <x v="2"/>
    <x v="29"/>
    <s v="TEMPORARY &amp; SPECIALTY PACKAGES"/>
    <x v="3"/>
    <n v="48019"/>
    <n v="1278526.4599999406"/>
    <m/>
    <n v="5492"/>
  </r>
  <r>
    <x v="2"/>
    <x v="29"/>
    <s v="TENNESSEE WHISKIES"/>
    <x v="6"/>
    <n v="58036"/>
    <n v="1289837.4499999722"/>
    <m/>
    <n v="5538"/>
  </r>
  <r>
    <x v="2"/>
    <x v="29"/>
    <s v="WHISKEY LIQUEUR"/>
    <x v="6"/>
    <n v="368782"/>
    <n v="2280409.0999999726"/>
    <m/>
    <n v="12277"/>
  </r>
  <r>
    <x v="2"/>
    <x v="29"/>
    <s v="WHITE RUM"/>
    <x v="0"/>
    <n v="47546"/>
    <n v="531583.76999999676"/>
    <m/>
    <n v="4105"/>
  </r>
  <r>
    <x v="2"/>
    <x v="29"/>
    <s v="AMERICAN DISTILLED SPIRITS SPECIALTY"/>
    <x v="3"/>
    <n v="5074"/>
    <n v="97865.909999999625"/>
    <m/>
    <n v="863"/>
  </r>
  <r>
    <x v="2"/>
    <x v="29"/>
    <s v="AMERICAN DRY GINS"/>
    <x v="4"/>
    <n v="30054"/>
    <n v="245264.31999999948"/>
    <m/>
    <n v="2508"/>
  </r>
  <r>
    <x v="2"/>
    <x v="29"/>
    <s v="IRISH WHISKIES"/>
    <x v="6"/>
    <n v="20357"/>
    <n v="553591.07999999938"/>
    <m/>
    <n v="2369"/>
  </r>
  <r>
    <x v="2"/>
    <x v="29"/>
    <s v="SCOTCH WHISKIES"/>
    <x v="6"/>
    <n v="15028"/>
    <n v="435406.48999999801"/>
    <m/>
    <n v="2642"/>
  </r>
  <r>
    <x v="2"/>
    <x v="29"/>
    <s v="SPICED RUM"/>
    <x v="0"/>
    <n v="100046"/>
    <n v="1395660.0899999915"/>
    <m/>
    <n v="8492"/>
  </r>
  <r>
    <x v="2"/>
    <x v="29"/>
    <s v="NEUTRAL GRAIN SPIRITS FLAVORED"/>
    <x v="3"/>
    <n v="11176"/>
    <n v="189563.77000000118"/>
    <m/>
    <n v="2113"/>
  </r>
  <r>
    <x v="2"/>
    <x v="29"/>
    <s v="GOLD RUM"/>
    <x v="0"/>
    <n v="6790"/>
    <n v="86365.679999999717"/>
    <m/>
    <n v="990"/>
  </r>
  <r>
    <x v="2"/>
    <x v="29"/>
    <s v="STRAIGHT RYE WHISKIES"/>
    <x v="6"/>
    <n v="10867"/>
    <n v="330561.07000000164"/>
    <m/>
    <n v="2144"/>
  </r>
  <r>
    <x v="2"/>
    <x v="29"/>
    <s v="AMERICAN SCHNAPPS"/>
    <x v="2"/>
    <n v="66189"/>
    <n v="535320.12999999907"/>
    <m/>
    <n v="6948"/>
  </r>
  <r>
    <x v="2"/>
    <x v="29"/>
    <s v="COFFEE LIQUEURS"/>
    <x v="2"/>
    <n v="8671"/>
    <n v="173441.44000000117"/>
    <m/>
    <n v="961"/>
  </r>
  <r>
    <x v="2"/>
    <x v="29"/>
    <s v="IMPORTED DRY GINS"/>
    <x v="4"/>
    <n v="20236"/>
    <n v="492069.62999999977"/>
    <m/>
    <n v="2187"/>
  </r>
  <r>
    <x v="2"/>
    <x v="29"/>
    <s v="IMPORTED SCHNAPPS"/>
    <x v="2"/>
    <n v="27587"/>
    <n v="480570.58999999845"/>
    <m/>
    <n v="2841"/>
  </r>
  <r>
    <x v="2"/>
    <x v="29"/>
    <s v="NEUTRAL GRAIN SPIRITS"/>
    <x v="3"/>
    <n v="3219"/>
    <n v="49619.719999999994"/>
    <m/>
    <n v="338"/>
  </r>
  <r>
    <x v="2"/>
    <x v="29"/>
    <s v="SINGLE MALT SCOTCH"/>
    <x v="6"/>
    <n v="5544"/>
    <n v="262792.35000000114"/>
    <m/>
    <n v="1273"/>
  </r>
  <r>
    <x v="2"/>
    <x v="29"/>
    <s v="IMPORTED FLAVORED VODKA"/>
    <x v="5"/>
    <n v="23608"/>
    <n v="397987.65999999963"/>
    <m/>
    <n v="3008"/>
  </r>
  <r>
    <x v="2"/>
    <x v="29"/>
    <s v="TRIPLE SEC"/>
    <x v="3"/>
    <n v="16692"/>
    <n v="67413.759999999922"/>
    <m/>
    <n v="632"/>
  </r>
  <r>
    <x v="2"/>
    <x v="29"/>
    <s v="BOTTLED IN BOND BOURBON"/>
    <x v="6"/>
    <n v="3159"/>
    <n v="86400.020000000062"/>
    <m/>
    <n v="940"/>
  </r>
  <r>
    <x v="2"/>
    <x v="29"/>
    <s v="CORN WHISKIES"/>
    <x v="6"/>
    <n v="1153"/>
    <n v="32083.919999999998"/>
    <m/>
    <n v="193"/>
  </r>
  <r>
    <x v="2"/>
    <x v="29"/>
    <s v="FLAVORED GIN"/>
    <x v="4"/>
    <n v="2803"/>
    <n v="64976.349999999969"/>
    <m/>
    <n v="374"/>
  </r>
  <r>
    <x v="2"/>
    <x v="29"/>
    <s v="IMPORTED DISTILLED SPIRITS SPECIALTY"/>
    <x v="3"/>
    <n v="30840"/>
    <n v="240548.3899999999"/>
    <m/>
    <n v="417"/>
  </r>
  <r>
    <x v="2"/>
    <x v="29"/>
    <s v="AGED DARK RUM"/>
    <x v="0"/>
    <n v="3425"/>
    <n v="73454.830000000016"/>
    <m/>
    <n v="598"/>
  </r>
  <r>
    <x v="2"/>
    <x v="29"/>
    <s v="SINGLE BARREL BOURBON WHISKIES"/>
    <x v="6"/>
    <n v="3077"/>
    <n v="116814.31000000007"/>
    <m/>
    <n v="341"/>
  </r>
  <r>
    <x v="2"/>
    <x v="29"/>
    <s v="SPECIAL ORDER ITEMS"/>
    <x v="3"/>
    <n v="16722"/>
    <n v="205329.46000000008"/>
    <m/>
    <n v="167"/>
  </r>
  <r>
    <x v="2"/>
    <x v="29"/>
    <s v="MEZCAL"/>
    <x v="7"/>
    <n v="1210"/>
    <n v="40770.82999999998"/>
    <m/>
    <n v="255"/>
  </r>
  <r>
    <x v="2"/>
    <x v="29"/>
    <s v="AMERICAN SLOE GINS"/>
    <x v="4"/>
    <n v="270"/>
    <n v="2195.1000000000008"/>
    <m/>
    <n v="57"/>
  </r>
  <r>
    <x v="2"/>
    <x v="29"/>
    <s v="DISTILLED SPIRITS SPECIALTY"/>
    <x v="3"/>
    <n v="2"/>
    <n v="134.97999999999999"/>
    <m/>
    <n v="1"/>
  </r>
  <r>
    <x v="2"/>
    <x v="29"/>
    <s v="IMPORTED GINS"/>
    <x v="4"/>
    <n v="36"/>
    <n v="796.68000000000006"/>
    <m/>
    <n v="2"/>
  </r>
  <r>
    <x v="2"/>
    <x v="30"/>
    <s v="CANADIAN WHISKIES"/>
    <x v="6"/>
    <n v="261167"/>
    <n v="4026389.2199998754"/>
    <m/>
    <n v="18997"/>
  </r>
  <r>
    <x v="2"/>
    <x v="30"/>
    <s v="FLAVORED RUM"/>
    <x v="0"/>
    <n v="58003"/>
    <n v="850634.72999999556"/>
    <m/>
    <n v="5126"/>
  </r>
  <r>
    <x v="2"/>
    <x v="30"/>
    <s v="MIXTO TEQUILA"/>
    <x v="7"/>
    <n v="65251"/>
    <n v="854927.55999998003"/>
    <m/>
    <n v="4991"/>
  </r>
  <r>
    <x v="2"/>
    <x v="30"/>
    <s v="AMERICAN DRY GINS"/>
    <x v="4"/>
    <n v="32763"/>
    <n v="313519.24000000145"/>
    <m/>
    <n v="3037"/>
  </r>
  <r>
    <x v="2"/>
    <x v="30"/>
    <s v="100% AGAVE TEQUILA"/>
    <x v="7"/>
    <n v="85112"/>
    <n v="2447897.9099999387"/>
    <m/>
    <n v="9047"/>
  </r>
  <r>
    <x v="2"/>
    <x v="30"/>
    <s v="AMERICAN BRANDIES"/>
    <x v="1"/>
    <n v="58826"/>
    <n v="376050.57000000076"/>
    <m/>
    <n v="4943"/>
  </r>
  <r>
    <x v="2"/>
    <x v="30"/>
    <s v="AMERICAN FLAVORED VODKA"/>
    <x v="5"/>
    <n v="96680"/>
    <n v="1050058.0100000452"/>
    <m/>
    <n v="11803"/>
  </r>
  <r>
    <x v="2"/>
    <x v="30"/>
    <s v="AMERICAN SCHNAPPS"/>
    <x v="2"/>
    <n v="67707"/>
    <n v="547135.09000000206"/>
    <m/>
    <n v="7304"/>
  </r>
  <r>
    <x v="2"/>
    <x v="30"/>
    <s v="AMERICAN VODKAS"/>
    <x v="5"/>
    <n v="552059"/>
    <n v="5764813.9699996198"/>
    <m/>
    <n v="33404"/>
  </r>
  <r>
    <x v="2"/>
    <x v="30"/>
    <s v="BLENDED WHISKIES"/>
    <x v="6"/>
    <n v="71008"/>
    <n v="912966.2500000007"/>
    <m/>
    <n v="8127"/>
  </r>
  <r>
    <x v="2"/>
    <x v="30"/>
    <s v="COCKTAILS/RTD"/>
    <x v="3"/>
    <n v="70844"/>
    <n v="831073.83999999228"/>
    <m/>
    <n v="7789"/>
  </r>
  <r>
    <x v="2"/>
    <x v="30"/>
    <s v="COFFEE LIQUEURS"/>
    <x v="2"/>
    <n v="7090"/>
    <n v="134076.61000000115"/>
    <m/>
    <n v="872"/>
  </r>
  <r>
    <x v="2"/>
    <x v="30"/>
    <s v="CREAM LIQUEURS"/>
    <x v="2"/>
    <n v="23377"/>
    <n v="460523.41999999544"/>
    <m/>
    <n v="3546"/>
  </r>
  <r>
    <x v="2"/>
    <x v="30"/>
    <s v="GOLD RUM"/>
    <x v="0"/>
    <n v="6564"/>
    <n v="86789.559999999794"/>
    <m/>
    <n v="1001"/>
  </r>
  <r>
    <x v="2"/>
    <x v="30"/>
    <s v="IMPORTED FLAVORED VODKA"/>
    <x v="5"/>
    <n v="24547"/>
    <n v="422357.93999999954"/>
    <m/>
    <n v="3218"/>
  </r>
  <r>
    <x v="2"/>
    <x v="30"/>
    <s v="IMPORTED SCHNAPPS"/>
    <x v="2"/>
    <n v="27520"/>
    <n v="485614.0199999992"/>
    <m/>
    <n v="2700"/>
  </r>
  <r>
    <x v="2"/>
    <x v="30"/>
    <s v="IMPORTED VODKAS"/>
    <x v="5"/>
    <n v="59826"/>
    <n v="1008156.4899999801"/>
    <m/>
    <n v="5568"/>
  </r>
  <r>
    <x v="2"/>
    <x v="30"/>
    <s v="IRISH WHISKIES"/>
    <x v="6"/>
    <n v="23857"/>
    <n v="687746.73999999149"/>
    <m/>
    <n v="2478"/>
  </r>
  <r>
    <x v="2"/>
    <x v="30"/>
    <s v="NEUTRAL GRAIN SPIRITS FLAVORED"/>
    <x v="3"/>
    <n v="12296"/>
    <n v="205367.4900000015"/>
    <m/>
    <n v="2453"/>
  </r>
  <r>
    <x v="2"/>
    <x v="30"/>
    <s v="SCOTCH WHISKIES"/>
    <x v="6"/>
    <n v="16097"/>
    <n v="451669.95999999926"/>
    <m/>
    <n v="2607"/>
  </r>
  <r>
    <x v="2"/>
    <x v="30"/>
    <s v="SPICED RUM"/>
    <x v="0"/>
    <n v="112809"/>
    <n v="1619042.9499999948"/>
    <m/>
    <n v="9162"/>
  </r>
  <r>
    <x v="2"/>
    <x v="30"/>
    <s v="STRAIGHT BOURBON WHISKIES"/>
    <x v="6"/>
    <n v="133897"/>
    <n v="2824346.7599999658"/>
    <m/>
    <n v="15802"/>
  </r>
  <r>
    <x v="2"/>
    <x v="30"/>
    <s v="STRAIGHT RYE WHISKIES"/>
    <x v="6"/>
    <n v="10930"/>
    <n v="344469.35000000196"/>
    <m/>
    <n v="1609"/>
  </r>
  <r>
    <x v="2"/>
    <x v="30"/>
    <s v="TEMPORARY &amp; SPECIALTY PACKAGES"/>
    <x v="3"/>
    <n v="26696"/>
    <n v="765901.22999998124"/>
    <m/>
    <n v="4510"/>
  </r>
  <r>
    <x v="2"/>
    <x v="30"/>
    <s v="WHISKEY LIQUEUR"/>
    <x v="6"/>
    <n v="353186"/>
    <n v="2055037.4399999795"/>
    <m/>
    <n v="12517"/>
  </r>
  <r>
    <x v="2"/>
    <x v="30"/>
    <s v="IMPORTED CORDIALS &amp; LIQUEURSS"/>
    <x v="2"/>
    <n v="45053"/>
    <n v="1031886.9400000088"/>
    <m/>
    <n v="4887"/>
  </r>
  <r>
    <x v="2"/>
    <x v="30"/>
    <s v="IMPORTED DISTILLED SPIRITS SPECIALTY"/>
    <x v="3"/>
    <n v="18760"/>
    <n v="151858.5499999999"/>
    <m/>
    <n v="405"/>
  </r>
  <r>
    <x v="2"/>
    <x v="30"/>
    <s v="TENNESSEE WHISKIES"/>
    <x v="6"/>
    <n v="58327"/>
    <n v="1286925.4299999645"/>
    <m/>
    <n v="6706"/>
  </r>
  <r>
    <x v="2"/>
    <x v="30"/>
    <s v="WHITE RUM"/>
    <x v="0"/>
    <n v="49683"/>
    <n v="562973.24000000057"/>
    <m/>
    <n v="4237"/>
  </r>
  <r>
    <x v="2"/>
    <x v="30"/>
    <s v="SINGLE BARREL BOURBON WHISKIES"/>
    <x v="6"/>
    <n v="3538"/>
    <n v="132191.33000000025"/>
    <m/>
    <n v="489"/>
  </r>
  <r>
    <x v="2"/>
    <x v="30"/>
    <s v="AMERICAN CORDIALS &amp; LIQUEURSS"/>
    <x v="2"/>
    <n v="42546"/>
    <n v="406634.01000000682"/>
    <m/>
    <n v="5471"/>
  </r>
  <r>
    <x v="2"/>
    <x v="30"/>
    <s v="AMERICAN DISTILLED SPIRITS SPECIALTY"/>
    <x v="3"/>
    <n v="5162"/>
    <n v="101771.86999999973"/>
    <m/>
    <n v="787"/>
  </r>
  <r>
    <x v="2"/>
    <x v="30"/>
    <s v="BOTTLED IN BOND BOURBON"/>
    <x v="6"/>
    <n v="3077"/>
    <n v="111467.96"/>
    <m/>
    <n v="747"/>
  </r>
  <r>
    <x v="2"/>
    <x v="30"/>
    <s v="FLAVORED GIN"/>
    <x v="4"/>
    <n v="2970"/>
    <n v="64868.149999999958"/>
    <m/>
    <n v="347"/>
  </r>
  <r>
    <x v="2"/>
    <x v="30"/>
    <s v="IMPORTED BRANDIES"/>
    <x v="1"/>
    <n v="60185"/>
    <n v="1376945.1899999231"/>
    <m/>
    <n v="5050"/>
  </r>
  <r>
    <x v="2"/>
    <x v="30"/>
    <s v="IMPORTED DRY GINS"/>
    <x v="4"/>
    <n v="16857"/>
    <n v="417574.16000000021"/>
    <m/>
    <n v="2126"/>
  </r>
  <r>
    <x v="2"/>
    <x v="30"/>
    <s v="NEUTRAL GRAIN SPIRITS"/>
    <x v="3"/>
    <n v="3076"/>
    <n v="46202.249999999985"/>
    <m/>
    <n v="337"/>
  </r>
  <r>
    <x v="2"/>
    <x v="30"/>
    <s v="SINGLE MALT SCOTCH"/>
    <x v="6"/>
    <n v="7426"/>
    <n v="344207.29000000033"/>
    <m/>
    <n v="1433"/>
  </r>
  <r>
    <x v="2"/>
    <x v="30"/>
    <s v="SPECIAL ORDER ITEMS"/>
    <x v="3"/>
    <n v="9369"/>
    <n v="125490.27000000005"/>
    <m/>
    <n v="200"/>
  </r>
  <r>
    <x v="2"/>
    <x v="30"/>
    <s v="TRIPLE SEC"/>
    <x v="3"/>
    <n v="19210"/>
    <n v="77349.699999999866"/>
    <m/>
    <n v="730"/>
  </r>
  <r>
    <x v="2"/>
    <x v="30"/>
    <s v="CORN WHISKIES"/>
    <x v="6"/>
    <n v="1724"/>
    <n v="45231.579999999994"/>
    <m/>
    <n v="193"/>
  </r>
  <r>
    <x v="2"/>
    <x v="30"/>
    <s v="MEZCAL"/>
    <x v="7"/>
    <n v="1608"/>
    <n v="56160.560000000041"/>
    <m/>
    <n v="326"/>
  </r>
  <r>
    <x v="2"/>
    <x v="30"/>
    <s v="AGED DARK RUM"/>
    <x v="0"/>
    <n v="3758"/>
    <n v="79328.680000000109"/>
    <m/>
    <n v="679"/>
  </r>
  <r>
    <x v="2"/>
    <x v="30"/>
    <s v="AMERICAN SLOE GINS"/>
    <x v="4"/>
    <n v="279"/>
    <n v="2268.2700000000013"/>
    <m/>
    <n v="58"/>
  </r>
  <r>
    <x v="2"/>
    <x v="30"/>
    <s v="IMPORTED GINS"/>
    <x v="4"/>
    <n v="12"/>
    <n v="265.56"/>
    <m/>
    <n v="1"/>
  </r>
  <r>
    <x v="2"/>
    <x v="31"/>
    <s v="AMERICAN FLAVORED VODKA"/>
    <x v="5"/>
    <n v="108446"/>
    <n v="1177283.4200000523"/>
    <m/>
    <n v="12879"/>
  </r>
  <r>
    <x v="2"/>
    <x v="31"/>
    <s v="AMERICAN VODKAS"/>
    <x v="5"/>
    <n v="587643"/>
    <n v="6129111.659999568"/>
    <m/>
    <n v="36286"/>
  </r>
  <r>
    <x v="2"/>
    <x v="31"/>
    <s v="CANADIAN WHISKIES"/>
    <x v="6"/>
    <n v="245707"/>
    <n v="3786675.2399999271"/>
    <m/>
    <n v="20179"/>
  </r>
  <r>
    <x v="2"/>
    <x v="31"/>
    <s v="COCKTAILS/RTD"/>
    <x v="3"/>
    <n v="68813"/>
    <n v="823278.78999999189"/>
    <m/>
    <n v="7968"/>
  </r>
  <r>
    <x v="2"/>
    <x v="31"/>
    <s v="IMPORTED SCHNAPPS"/>
    <x v="2"/>
    <n v="32665"/>
    <n v="549580.99999999709"/>
    <m/>
    <n v="3460"/>
  </r>
  <r>
    <x v="2"/>
    <x v="31"/>
    <s v="SPICED RUM"/>
    <x v="0"/>
    <n v="121422"/>
    <n v="1732713.5900000017"/>
    <m/>
    <n v="9666"/>
  </r>
  <r>
    <x v="2"/>
    <x v="31"/>
    <s v="100% AGAVE TEQUILA"/>
    <x v="7"/>
    <n v="85275"/>
    <n v="2558184.0399999227"/>
    <m/>
    <n v="10030"/>
  </r>
  <r>
    <x v="2"/>
    <x v="31"/>
    <s v="AMERICAN BRANDIES"/>
    <x v="1"/>
    <n v="61710"/>
    <n v="391596.4800000008"/>
    <m/>
    <n v="5182"/>
  </r>
  <r>
    <x v="2"/>
    <x v="31"/>
    <s v="AMERICAN DISTILLED SPIRITS SPECIALTY"/>
    <x v="3"/>
    <n v="5843"/>
    <n v="109231.67999999959"/>
    <m/>
    <n v="957"/>
  </r>
  <r>
    <x v="2"/>
    <x v="31"/>
    <s v="AMERICAN DRY GINS"/>
    <x v="4"/>
    <n v="40700"/>
    <n v="329745.60000000248"/>
    <m/>
    <n v="3295"/>
  </r>
  <r>
    <x v="2"/>
    <x v="31"/>
    <s v="AMERICAN SCHNAPPS"/>
    <x v="2"/>
    <n v="72099"/>
    <n v="580126.74000000174"/>
    <m/>
    <n v="7622"/>
  </r>
  <r>
    <x v="2"/>
    <x v="31"/>
    <s v="BLENDED WHISKIES"/>
    <x v="6"/>
    <n v="80092"/>
    <n v="1100083.2500000019"/>
    <m/>
    <n v="9082"/>
  </r>
  <r>
    <x v="2"/>
    <x v="31"/>
    <s v="COFFEE LIQUEURS"/>
    <x v="2"/>
    <n v="7205"/>
    <n v="131771.29000000106"/>
    <m/>
    <n v="1004"/>
  </r>
  <r>
    <x v="2"/>
    <x v="31"/>
    <s v="CREAM LIQUEURS"/>
    <x v="2"/>
    <n v="25936"/>
    <n v="506719.10999999591"/>
    <m/>
    <n v="3874"/>
  </r>
  <r>
    <x v="2"/>
    <x v="31"/>
    <s v="FLAVORED RUM"/>
    <x v="0"/>
    <n v="61501"/>
    <n v="925129.38000000094"/>
    <m/>
    <n v="5434"/>
  </r>
  <r>
    <x v="2"/>
    <x v="31"/>
    <s v="IMPORTED DRY GINS"/>
    <x v="4"/>
    <n v="21808"/>
    <n v="563581.69999999925"/>
    <m/>
    <n v="2496"/>
  </r>
  <r>
    <x v="2"/>
    <x v="31"/>
    <s v="IMPORTED FLAVORED VODKA"/>
    <x v="5"/>
    <n v="30459"/>
    <n v="526460.2299999987"/>
    <m/>
    <n v="3917"/>
  </r>
  <r>
    <x v="2"/>
    <x v="31"/>
    <s v="IMPORTED VODKAS"/>
    <x v="5"/>
    <n v="75146"/>
    <n v="1281958.5499999449"/>
    <m/>
    <n v="6039"/>
  </r>
  <r>
    <x v="2"/>
    <x v="31"/>
    <s v="IRISH WHISKIES"/>
    <x v="6"/>
    <n v="34522"/>
    <n v="879482.85999998834"/>
    <m/>
    <n v="2987"/>
  </r>
  <r>
    <x v="2"/>
    <x v="31"/>
    <s v="MIXTO TEQUILA"/>
    <x v="7"/>
    <n v="75637"/>
    <n v="1048744.9599999727"/>
    <m/>
    <n v="5364"/>
  </r>
  <r>
    <x v="2"/>
    <x v="31"/>
    <s v="NEUTRAL GRAIN SPIRITS"/>
    <x v="3"/>
    <n v="3641"/>
    <n v="55185.490000000005"/>
    <m/>
    <n v="415"/>
  </r>
  <r>
    <x v="2"/>
    <x v="31"/>
    <s v="NEUTRAL GRAIN SPIRITS FLAVORED"/>
    <x v="3"/>
    <n v="15814"/>
    <n v="262375.11000000255"/>
    <m/>
    <n v="2901"/>
  </r>
  <r>
    <x v="2"/>
    <x v="31"/>
    <s v="SCOTCH WHISKIES"/>
    <x v="6"/>
    <n v="20607"/>
    <n v="584123.50999999896"/>
    <m/>
    <n v="3157"/>
  </r>
  <r>
    <x v="2"/>
    <x v="31"/>
    <s v="STRAIGHT BOURBON WHISKIES"/>
    <x v="6"/>
    <n v="136738"/>
    <n v="2884289.7099999753"/>
    <m/>
    <n v="16006"/>
  </r>
  <r>
    <x v="2"/>
    <x v="31"/>
    <s v="TENNESSEE WHISKIES"/>
    <x v="6"/>
    <n v="69008"/>
    <n v="1590296.4099999652"/>
    <m/>
    <n v="6782"/>
  </r>
  <r>
    <x v="2"/>
    <x v="31"/>
    <s v="WHISKEY LIQUEUR"/>
    <x v="6"/>
    <n v="377610"/>
    <n v="2315103.5899999724"/>
    <m/>
    <n v="14191"/>
  </r>
  <r>
    <x v="2"/>
    <x v="31"/>
    <s v="WHITE RUM"/>
    <x v="0"/>
    <n v="53455"/>
    <n v="632980.21000000357"/>
    <m/>
    <n v="4912"/>
  </r>
  <r>
    <x v="2"/>
    <x v="31"/>
    <s v="AMERICAN CORDIALS &amp; LIQUEURSS"/>
    <x v="2"/>
    <n v="45569"/>
    <n v="413719.26000000979"/>
    <m/>
    <n v="6214"/>
  </r>
  <r>
    <x v="2"/>
    <x v="31"/>
    <s v="GOLD RUM"/>
    <x v="0"/>
    <n v="7994"/>
    <n v="102593.42999999975"/>
    <m/>
    <n v="1124"/>
  </r>
  <r>
    <x v="2"/>
    <x v="31"/>
    <s v="IMPORTED BRANDIES"/>
    <x v="1"/>
    <n v="44267"/>
    <n v="1203501.2099999727"/>
    <m/>
    <n v="3918"/>
  </r>
  <r>
    <x v="2"/>
    <x v="31"/>
    <s v="IMPORTED CORDIALS &amp; LIQUEURSS"/>
    <x v="2"/>
    <n v="54444"/>
    <n v="1225205.1400000053"/>
    <m/>
    <n v="5586"/>
  </r>
  <r>
    <x v="2"/>
    <x v="31"/>
    <s v="SINGLE MALT SCOTCH"/>
    <x v="6"/>
    <n v="7492"/>
    <n v="363454.41999999981"/>
    <m/>
    <n v="1660"/>
  </r>
  <r>
    <x v="2"/>
    <x v="31"/>
    <s v="TEMPORARY &amp; SPECIALTY PACKAGES"/>
    <x v="3"/>
    <n v="22493"/>
    <n v="682053.69999998854"/>
    <m/>
    <n v="6081"/>
  </r>
  <r>
    <x v="2"/>
    <x v="31"/>
    <s v="BOTTLED IN BOND BOURBON"/>
    <x v="6"/>
    <n v="2824"/>
    <n v="80109.090000000011"/>
    <m/>
    <n v="785"/>
  </r>
  <r>
    <x v="2"/>
    <x v="31"/>
    <s v="STRAIGHT RYE WHISKIES"/>
    <x v="6"/>
    <n v="10354"/>
    <n v="319895.66000000201"/>
    <m/>
    <n v="1751"/>
  </r>
  <r>
    <x v="2"/>
    <x v="31"/>
    <s v="AGED DARK RUM"/>
    <x v="0"/>
    <n v="4819"/>
    <n v="102839.30000000019"/>
    <m/>
    <n v="834"/>
  </r>
  <r>
    <x v="2"/>
    <x v="31"/>
    <s v="IMPORTED DISTILLED SPIRITS SPECIALTY"/>
    <x v="3"/>
    <n v="24951"/>
    <n v="221119.19000000003"/>
    <m/>
    <n v="548"/>
  </r>
  <r>
    <x v="2"/>
    <x v="31"/>
    <s v="SPECIAL ORDER ITEMS"/>
    <x v="3"/>
    <n v="12093"/>
    <n v="149376.04000000004"/>
    <m/>
    <n v="161"/>
  </r>
  <r>
    <x v="2"/>
    <x v="31"/>
    <s v="TRIPLE SEC"/>
    <x v="3"/>
    <n v="19660"/>
    <n v="79240.399999999732"/>
    <m/>
    <n v="774"/>
  </r>
  <r>
    <x v="2"/>
    <x v="31"/>
    <s v="SINGLE BARREL BOURBON WHISKIES"/>
    <x v="6"/>
    <n v="2440"/>
    <n v="84474.39000000029"/>
    <m/>
    <n v="367"/>
  </r>
  <r>
    <x v="2"/>
    <x v="31"/>
    <s v="CORN WHISKIES"/>
    <x v="6"/>
    <n v="932"/>
    <n v="22735.559999999994"/>
    <m/>
    <n v="153"/>
  </r>
  <r>
    <x v="2"/>
    <x v="31"/>
    <s v="FLAVORED GIN"/>
    <x v="4"/>
    <n v="2279"/>
    <n v="59352.289999999979"/>
    <m/>
    <n v="262"/>
  </r>
  <r>
    <x v="2"/>
    <x v="31"/>
    <s v="MEZCAL"/>
    <x v="7"/>
    <n v="1385"/>
    <n v="46799.829999999994"/>
    <m/>
    <n v="267"/>
  </r>
  <r>
    <x v="2"/>
    <x v="31"/>
    <s v="AMERICAN SLOE GINS"/>
    <x v="4"/>
    <n v="230"/>
    <n v="1869.900000000001"/>
    <m/>
    <n v="50"/>
  </r>
  <r>
    <x v="2"/>
    <x v="32"/>
    <s v="WHISKEY LIQUEUR"/>
    <x v="6"/>
    <n v="367559"/>
    <n v="2407284.139999955"/>
    <m/>
    <n v="13327"/>
  </r>
  <r>
    <x v="2"/>
    <x v="32"/>
    <s v="WHITE RUM"/>
    <x v="0"/>
    <n v="45197"/>
    <n v="526352.63999999594"/>
    <m/>
    <n v="3934"/>
  </r>
  <r>
    <x v="2"/>
    <x v="32"/>
    <s v="AMERICAN VODKAS"/>
    <x v="5"/>
    <n v="549147"/>
    <n v="5670613.5699994583"/>
    <m/>
    <n v="33336"/>
  </r>
  <r>
    <x v="2"/>
    <x v="32"/>
    <s v="100% AGAVE TEQUILA"/>
    <x v="7"/>
    <n v="87222"/>
    <n v="2593701.0299999509"/>
    <m/>
    <n v="8735"/>
  </r>
  <r>
    <x v="2"/>
    <x v="32"/>
    <s v="AMERICAN CORDIALS &amp; LIQUEURSS"/>
    <x v="2"/>
    <n v="46535"/>
    <n v="381202.40000000567"/>
    <m/>
    <n v="5741"/>
  </r>
  <r>
    <x v="2"/>
    <x v="32"/>
    <s v="AMERICAN SCHNAPPS"/>
    <x v="2"/>
    <n v="66538"/>
    <n v="532783.76000000199"/>
    <m/>
    <n v="6814"/>
  </r>
  <r>
    <x v="2"/>
    <x v="32"/>
    <s v="BLENDED WHISKIES"/>
    <x v="6"/>
    <n v="71057"/>
    <n v="900202.41000000236"/>
    <m/>
    <n v="7352"/>
  </r>
  <r>
    <x v="2"/>
    <x v="32"/>
    <s v="CANADIAN WHISKIES"/>
    <x v="6"/>
    <n v="252349"/>
    <n v="4003084.0599999623"/>
    <m/>
    <n v="19305"/>
  </r>
  <r>
    <x v="2"/>
    <x v="32"/>
    <s v="CREAM LIQUEURS"/>
    <x v="2"/>
    <n v="45511"/>
    <n v="903456.31000000052"/>
    <m/>
    <n v="4135"/>
  </r>
  <r>
    <x v="2"/>
    <x v="32"/>
    <s v="IMPORTED FLAVORED VODKA"/>
    <x v="5"/>
    <n v="30155"/>
    <n v="506047.51000000042"/>
    <m/>
    <n v="2683"/>
  </r>
  <r>
    <x v="2"/>
    <x v="32"/>
    <s v="IMPORTED SCHNAPPS"/>
    <x v="2"/>
    <n v="30517"/>
    <n v="521541.98000000039"/>
    <m/>
    <n v="2983"/>
  </r>
  <r>
    <x v="2"/>
    <x v="32"/>
    <s v="IMPORTED VODKAS"/>
    <x v="5"/>
    <n v="74089"/>
    <n v="1198938.1299999626"/>
    <m/>
    <n v="4777"/>
  </r>
  <r>
    <x v="2"/>
    <x v="32"/>
    <s v="MIXTO TEQUILA"/>
    <x v="7"/>
    <n v="72293"/>
    <n v="1036839.2100000051"/>
    <m/>
    <n v="4520"/>
  </r>
  <r>
    <x v="2"/>
    <x v="32"/>
    <s v="SPICED RUM"/>
    <x v="0"/>
    <n v="111122"/>
    <n v="1507207.2399999674"/>
    <m/>
    <n v="8644"/>
  </r>
  <r>
    <x v="2"/>
    <x v="32"/>
    <s v="TENNESSEE WHISKIES"/>
    <x v="6"/>
    <n v="64582"/>
    <n v="1523239.0299999681"/>
    <m/>
    <n v="6018"/>
  </r>
  <r>
    <x v="2"/>
    <x v="32"/>
    <s v="AMERICAN BRANDIES"/>
    <x v="1"/>
    <n v="62647"/>
    <n v="410919.45000000112"/>
    <m/>
    <n v="5053"/>
  </r>
  <r>
    <x v="2"/>
    <x v="32"/>
    <s v="AMERICAN DISTILLED SPIRITS SPECIALTY"/>
    <x v="3"/>
    <n v="9073"/>
    <n v="195510.17999999996"/>
    <m/>
    <n v="894"/>
  </r>
  <r>
    <x v="2"/>
    <x v="32"/>
    <s v="AMERICAN DRY GINS"/>
    <x v="4"/>
    <n v="29627"/>
    <n v="276120.50000000128"/>
    <m/>
    <n v="2726"/>
  </r>
  <r>
    <x v="2"/>
    <x v="32"/>
    <s v="AMERICAN FLAVORED VODKA"/>
    <x v="5"/>
    <n v="85605"/>
    <n v="916580.55000003742"/>
    <m/>
    <n v="9477"/>
  </r>
  <r>
    <x v="2"/>
    <x v="32"/>
    <s v="FLAVORED RUM"/>
    <x v="0"/>
    <n v="43770"/>
    <n v="647561.20000000123"/>
    <m/>
    <n v="3976"/>
  </r>
  <r>
    <x v="2"/>
    <x v="32"/>
    <s v="IMPORTED CORDIALS &amp; LIQUEURSS"/>
    <x v="2"/>
    <n v="42365"/>
    <n v="987321.35000000789"/>
    <m/>
    <n v="4341"/>
  </r>
  <r>
    <x v="2"/>
    <x v="32"/>
    <s v="IMPORTED DISTILLED SPIRITS SPECIALTY"/>
    <x v="3"/>
    <n v="29099"/>
    <n v="228147.93999999986"/>
    <m/>
    <n v="416"/>
  </r>
  <r>
    <x v="2"/>
    <x v="32"/>
    <s v="IRISH WHISKIES"/>
    <x v="6"/>
    <n v="38612"/>
    <n v="1040879.5099999884"/>
    <m/>
    <n v="2386"/>
  </r>
  <r>
    <x v="2"/>
    <x v="32"/>
    <s v="NEUTRAL GRAIN SPIRITS"/>
    <x v="3"/>
    <n v="5043"/>
    <n v="72723.22000000003"/>
    <m/>
    <n v="550"/>
  </r>
  <r>
    <x v="2"/>
    <x v="32"/>
    <s v="STRAIGHT BOURBON WHISKIES"/>
    <x v="6"/>
    <n v="173751"/>
    <n v="3967385.0299999882"/>
    <m/>
    <n v="15916"/>
  </r>
  <r>
    <x v="2"/>
    <x v="32"/>
    <s v="STRAIGHT RYE WHISKIES"/>
    <x v="6"/>
    <n v="16732"/>
    <n v="551299.89000000153"/>
    <m/>
    <n v="1743"/>
  </r>
  <r>
    <x v="2"/>
    <x v="32"/>
    <s v="TEMPORARY &amp; SPECIALTY PACKAGES"/>
    <x v="3"/>
    <n v="83219"/>
    <n v="2186893.2699998897"/>
    <m/>
    <n v="10265"/>
  </r>
  <r>
    <x v="2"/>
    <x v="32"/>
    <s v="TRIPLE SEC"/>
    <x v="3"/>
    <n v="16037"/>
    <n v="64035.179999999942"/>
    <m/>
    <n v="525"/>
  </r>
  <r>
    <x v="2"/>
    <x v="32"/>
    <s v="NEUTRAL GRAIN SPIRITS FLAVORED"/>
    <x v="3"/>
    <n v="16640"/>
    <n v="277797.9500000031"/>
    <m/>
    <n v="3163"/>
  </r>
  <r>
    <x v="2"/>
    <x v="32"/>
    <s v="COCKTAILS/RTD"/>
    <x v="3"/>
    <n v="39515"/>
    <n v="490054.94999998581"/>
    <m/>
    <n v="5596"/>
  </r>
  <r>
    <x v="2"/>
    <x v="32"/>
    <s v="SCOTCH WHISKIES"/>
    <x v="6"/>
    <n v="16784"/>
    <n v="480378.70999999874"/>
    <m/>
    <n v="2581"/>
  </r>
  <r>
    <x v="2"/>
    <x v="32"/>
    <s v="AGED DARK RUM"/>
    <x v="0"/>
    <n v="3476"/>
    <n v="74309.96000000005"/>
    <m/>
    <n v="588"/>
  </r>
  <r>
    <x v="2"/>
    <x v="32"/>
    <s v="COFFEE LIQUEURS"/>
    <x v="2"/>
    <n v="10691"/>
    <n v="231876.21000000124"/>
    <m/>
    <n v="891"/>
  </r>
  <r>
    <x v="2"/>
    <x v="32"/>
    <s v="FLAVORED GIN"/>
    <x v="4"/>
    <n v="2937"/>
    <n v="71920.86000000003"/>
    <m/>
    <n v="293"/>
  </r>
  <r>
    <x v="2"/>
    <x v="32"/>
    <s v="IMPORTED DRY GINS"/>
    <x v="4"/>
    <n v="15617"/>
    <n v="421743.17000000068"/>
    <m/>
    <n v="1553"/>
  </r>
  <r>
    <x v="2"/>
    <x v="32"/>
    <s v="AMERICAN SLOE GINS"/>
    <x v="4"/>
    <n v="278"/>
    <n v="2260.1399999999994"/>
    <m/>
    <n v="54"/>
  </r>
  <r>
    <x v="2"/>
    <x v="32"/>
    <s v="BOTTLED IN BOND BOURBON"/>
    <x v="6"/>
    <n v="2808"/>
    <n v="81643.260000000024"/>
    <m/>
    <n v="813"/>
  </r>
  <r>
    <x v="2"/>
    <x v="32"/>
    <s v="GOLD RUM"/>
    <x v="0"/>
    <n v="6709"/>
    <n v="88476.669999999693"/>
    <m/>
    <n v="977"/>
  </r>
  <r>
    <x v="2"/>
    <x v="32"/>
    <s v="IMPORTED BRANDIES"/>
    <x v="1"/>
    <n v="40665"/>
    <n v="980935.67000000086"/>
    <m/>
    <n v="3441"/>
  </r>
  <r>
    <x v="2"/>
    <x v="32"/>
    <s v="MEZCAL"/>
    <x v="7"/>
    <n v="1269"/>
    <n v="42119.389999999978"/>
    <m/>
    <n v="247"/>
  </r>
  <r>
    <x v="2"/>
    <x v="32"/>
    <s v="SINGLE BARREL BOURBON WHISKIES"/>
    <x v="6"/>
    <n v="3226"/>
    <n v="115979.84000000008"/>
    <m/>
    <n v="535"/>
  </r>
  <r>
    <x v="2"/>
    <x v="32"/>
    <s v="SINGLE MALT SCOTCH"/>
    <x v="6"/>
    <n v="8318"/>
    <n v="424489.92999999993"/>
    <m/>
    <n v="1316"/>
  </r>
  <r>
    <x v="2"/>
    <x v="32"/>
    <s v="SPECIAL ORDER ITEMS"/>
    <x v="3"/>
    <n v="8674"/>
    <n v="120854.11999999994"/>
    <m/>
    <n v="274"/>
  </r>
  <r>
    <x v="2"/>
    <x v="32"/>
    <s v="CORN WHISKIES"/>
    <x v="6"/>
    <n v="1002"/>
    <n v="25921.059999999998"/>
    <m/>
    <n v="120"/>
  </r>
  <r>
    <x v="2"/>
    <x v="33"/>
    <s v="100% AGAVE TEQUILA"/>
    <x v="7"/>
    <n v="73987"/>
    <n v="2237785.2199999476"/>
    <m/>
    <n v="9021"/>
  </r>
  <r>
    <x v="2"/>
    <x v="33"/>
    <s v="AMERICAN BRANDIES"/>
    <x v="1"/>
    <n v="67101"/>
    <n v="445791.50000000116"/>
    <m/>
    <n v="5903"/>
  </r>
  <r>
    <x v="2"/>
    <x v="33"/>
    <s v="AMERICAN DISTILLED SPIRITS SPECIALTY"/>
    <x v="3"/>
    <n v="8754"/>
    <n v="184609.83999999997"/>
    <m/>
    <n v="1073"/>
  </r>
  <r>
    <x v="2"/>
    <x v="33"/>
    <s v="AMERICAN FLAVORED VODKA"/>
    <x v="5"/>
    <n v="74352"/>
    <n v="795971.61000002665"/>
    <m/>
    <n v="9456"/>
  </r>
  <r>
    <x v="2"/>
    <x v="33"/>
    <s v="AMERICAN SCHNAPPS"/>
    <x v="2"/>
    <n v="71080"/>
    <n v="556648.65000000421"/>
    <m/>
    <n v="7494"/>
  </r>
  <r>
    <x v="2"/>
    <x v="33"/>
    <s v="AMERICAN VODKAS"/>
    <x v="5"/>
    <n v="530329"/>
    <n v="5596745.9399993103"/>
    <m/>
    <n v="34274"/>
  </r>
  <r>
    <x v="2"/>
    <x v="33"/>
    <s v="BLENDED WHISKIES"/>
    <x v="6"/>
    <n v="71864"/>
    <n v="906270.86000000348"/>
    <m/>
    <n v="7875"/>
  </r>
  <r>
    <x v="2"/>
    <x v="33"/>
    <s v="CANADIAN WHISKIES"/>
    <x v="6"/>
    <n v="233268"/>
    <n v="3706616.5299999956"/>
    <m/>
    <n v="21340"/>
  </r>
  <r>
    <x v="2"/>
    <x v="33"/>
    <s v="COCKTAILS/RTD"/>
    <x v="3"/>
    <n v="35598"/>
    <n v="445934.5699999822"/>
    <m/>
    <n v="5585"/>
  </r>
  <r>
    <x v="2"/>
    <x v="33"/>
    <s v="FLAVORED RUM"/>
    <x v="0"/>
    <n v="41213"/>
    <n v="623387.52999999723"/>
    <m/>
    <n v="4373"/>
  </r>
  <r>
    <x v="2"/>
    <x v="33"/>
    <s v="GOLD RUM"/>
    <x v="0"/>
    <n v="6993"/>
    <n v="98834.429999999644"/>
    <m/>
    <n v="1037"/>
  </r>
  <r>
    <x v="2"/>
    <x v="33"/>
    <s v="IMPORTED DRY GINS"/>
    <x v="4"/>
    <n v="17480"/>
    <n v="465787.92999999982"/>
    <m/>
    <n v="1957"/>
  </r>
  <r>
    <x v="2"/>
    <x v="33"/>
    <s v="IMPORTED SCHNAPPS"/>
    <x v="2"/>
    <n v="29882"/>
    <n v="511835.74999999994"/>
    <m/>
    <n v="3360"/>
  </r>
  <r>
    <x v="2"/>
    <x v="33"/>
    <s v="IMPORTED VODKAS"/>
    <x v="5"/>
    <n v="56075"/>
    <n v="968547.42999998189"/>
    <m/>
    <n v="5113"/>
  </r>
  <r>
    <x v="2"/>
    <x v="33"/>
    <s v="IRISH WHISKIES"/>
    <x v="6"/>
    <n v="27726"/>
    <n v="732702.6299999929"/>
    <m/>
    <n v="2790"/>
  </r>
  <r>
    <x v="2"/>
    <x v="33"/>
    <s v="MIXTO TEQUILA"/>
    <x v="7"/>
    <n v="59225"/>
    <n v="772282.20000000438"/>
    <m/>
    <n v="4599"/>
  </r>
  <r>
    <x v="2"/>
    <x v="33"/>
    <s v="NEUTRAL GRAIN SPIRITS"/>
    <x v="3"/>
    <n v="5509"/>
    <n v="79963.589999999967"/>
    <m/>
    <n v="637"/>
  </r>
  <r>
    <x v="2"/>
    <x v="33"/>
    <s v="NEUTRAL GRAIN SPIRITS FLAVORED"/>
    <x v="3"/>
    <n v="18174"/>
    <n v="305346.5000000018"/>
    <m/>
    <n v="3265"/>
  </r>
  <r>
    <x v="2"/>
    <x v="33"/>
    <s v="SCOTCH WHISKIES"/>
    <x v="6"/>
    <n v="16873"/>
    <n v="503827.40999999858"/>
    <m/>
    <n v="2851"/>
  </r>
  <r>
    <x v="2"/>
    <x v="33"/>
    <s v="SPICED RUM"/>
    <x v="0"/>
    <n v="154234"/>
    <n v="2735294.0699999528"/>
    <m/>
    <n v="9610"/>
  </r>
  <r>
    <x v="2"/>
    <x v="33"/>
    <s v="STRAIGHT BOURBON WHISKIES"/>
    <x v="6"/>
    <n v="129855"/>
    <n v="2785303.7199999965"/>
    <m/>
    <n v="16422"/>
  </r>
  <r>
    <x v="2"/>
    <x v="33"/>
    <s v="TEMPORARY &amp; SPECIALTY PACKAGES"/>
    <x v="3"/>
    <n v="75721"/>
    <n v="2051624.5899999295"/>
    <m/>
    <n v="9540"/>
  </r>
  <r>
    <x v="2"/>
    <x v="33"/>
    <s v="TENNESSEE WHISKIES"/>
    <x v="6"/>
    <n v="60486"/>
    <n v="1394345.5299999635"/>
    <m/>
    <n v="6599"/>
  </r>
  <r>
    <x v="2"/>
    <x v="33"/>
    <s v="WHISKEY LIQUEUR"/>
    <x v="6"/>
    <n v="360310"/>
    <n v="2186455.1999999615"/>
    <m/>
    <n v="14372"/>
  </r>
  <r>
    <x v="2"/>
    <x v="33"/>
    <s v="WHITE RUM"/>
    <x v="0"/>
    <n v="41838"/>
    <n v="513322.73999999545"/>
    <m/>
    <n v="4046"/>
  </r>
  <r>
    <x v="2"/>
    <x v="33"/>
    <s v="AMERICAN CORDIALS &amp; LIQUEURSS"/>
    <x v="2"/>
    <n v="49892"/>
    <n v="404215.79000000755"/>
    <m/>
    <n v="6316"/>
  </r>
  <r>
    <x v="2"/>
    <x v="33"/>
    <s v="COFFEE LIQUEURS"/>
    <x v="2"/>
    <n v="13463"/>
    <n v="265972.14000000089"/>
    <m/>
    <n v="1367"/>
  </r>
  <r>
    <x v="2"/>
    <x v="33"/>
    <s v="CREAM LIQUEURS"/>
    <x v="2"/>
    <n v="60679"/>
    <n v="1257428.0499999919"/>
    <m/>
    <n v="5154"/>
  </r>
  <r>
    <x v="2"/>
    <x v="33"/>
    <s v="FLAVORED GIN"/>
    <x v="4"/>
    <n v="2409"/>
    <n v="60459.609999999957"/>
    <m/>
    <n v="300"/>
  </r>
  <r>
    <x v="2"/>
    <x v="33"/>
    <s v="IMPORTED CORDIALS &amp; LIQUEURSS"/>
    <x v="2"/>
    <n v="40185"/>
    <n v="929386.23000000359"/>
    <m/>
    <n v="4960"/>
  </r>
  <r>
    <x v="2"/>
    <x v="33"/>
    <s v="SINGLE MALT SCOTCH"/>
    <x v="6"/>
    <n v="7967"/>
    <n v="379354.01999999909"/>
    <m/>
    <n v="1677"/>
  </r>
  <r>
    <x v="2"/>
    <x v="33"/>
    <s v="IMPORTED FLAVORED VODKA"/>
    <x v="5"/>
    <n v="20801"/>
    <n v="354089.32000000111"/>
    <m/>
    <n v="2753"/>
  </r>
  <r>
    <x v="2"/>
    <x v="33"/>
    <s v="STRAIGHT RYE WHISKIES"/>
    <x v="6"/>
    <n v="10829"/>
    <n v="346789.38000000181"/>
    <m/>
    <n v="1907"/>
  </r>
  <r>
    <x v="2"/>
    <x v="33"/>
    <s v="AGED DARK RUM"/>
    <x v="0"/>
    <n v="3372"/>
    <n v="73384.560000000041"/>
    <m/>
    <n v="606"/>
  </r>
  <r>
    <x v="2"/>
    <x v="33"/>
    <s v="AMERICAN DRY GINS"/>
    <x v="4"/>
    <n v="29386"/>
    <n v="268451.94000000152"/>
    <m/>
    <n v="2826"/>
  </r>
  <r>
    <x v="2"/>
    <x v="33"/>
    <s v="BOTTLED IN BOND BOURBON"/>
    <x v="6"/>
    <n v="3364"/>
    <n v="98044.820000000051"/>
    <m/>
    <n v="645"/>
  </r>
  <r>
    <x v="2"/>
    <x v="33"/>
    <s v="IMPORTED BRANDIES"/>
    <x v="1"/>
    <n v="40841"/>
    <n v="962439.68999999901"/>
    <m/>
    <n v="3680"/>
  </r>
  <r>
    <x v="2"/>
    <x v="33"/>
    <s v="IMPORTED DISTILLED SPIRITS SPECIALTY"/>
    <x v="3"/>
    <n v="22808"/>
    <n v="178261.61999999953"/>
    <m/>
    <n v="477"/>
  </r>
  <r>
    <x v="2"/>
    <x v="33"/>
    <s v="SPECIAL ORDER ITEMS"/>
    <x v="3"/>
    <n v="2275"/>
    <n v="43243.040000000008"/>
    <m/>
    <n v="204"/>
  </r>
  <r>
    <x v="2"/>
    <x v="33"/>
    <s v="TRIPLE SEC"/>
    <x v="3"/>
    <n v="16755"/>
    <n v="67302.709999999948"/>
    <m/>
    <n v="738"/>
  </r>
  <r>
    <x v="2"/>
    <x v="33"/>
    <s v="SINGLE BARREL BOURBON WHISKIES"/>
    <x v="6"/>
    <n v="3594"/>
    <n v="147098.72000000003"/>
    <m/>
    <n v="454"/>
  </r>
  <r>
    <x v="2"/>
    <x v="33"/>
    <s v="MEZCAL"/>
    <x v="7"/>
    <n v="1267"/>
    <n v="41249.119999999988"/>
    <m/>
    <n v="280"/>
  </r>
  <r>
    <x v="2"/>
    <x v="33"/>
    <s v="AMERICAN SLOE GINS"/>
    <x v="4"/>
    <n v="260"/>
    <n v="2113.8000000000011"/>
    <m/>
    <n v="61"/>
  </r>
  <r>
    <x v="2"/>
    <x v="33"/>
    <s v="CORN WHISKIES"/>
    <x v="6"/>
    <n v="1069"/>
    <n v="28918.099999999991"/>
    <m/>
    <n v="141"/>
  </r>
  <r>
    <x v="2"/>
    <x v="34"/>
    <s v="100% AGAVE TEQUILA"/>
    <x v="7"/>
    <n v="85869"/>
    <n v="2606785.1899999734"/>
    <m/>
    <n v="10308"/>
  </r>
  <r>
    <x v="2"/>
    <x v="34"/>
    <s v="AGED DARK RUM"/>
    <x v="0"/>
    <n v="4524"/>
    <n v="104676.73000000024"/>
    <m/>
    <n v="787"/>
  </r>
  <r>
    <x v="2"/>
    <x v="34"/>
    <s v="AMERICAN BRANDIES"/>
    <x v="1"/>
    <n v="72155"/>
    <n v="515085.90999999992"/>
    <m/>
    <n v="6711"/>
  </r>
  <r>
    <x v="2"/>
    <x v="34"/>
    <s v="AMERICAN CORDIALS &amp; LIQUEURSS"/>
    <x v="2"/>
    <n v="44807"/>
    <n v="445732.28000000771"/>
    <m/>
    <n v="6950"/>
  </r>
  <r>
    <x v="2"/>
    <x v="34"/>
    <s v="AMERICAN DISTILLED SPIRITS SPECIALTY"/>
    <x v="3"/>
    <n v="11262"/>
    <n v="250157.82000000053"/>
    <m/>
    <n v="1224"/>
  </r>
  <r>
    <x v="2"/>
    <x v="34"/>
    <s v="AMERICAN DRY GINS"/>
    <x v="4"/>
    <n v="31373"/>
    <n v="289801.12000000151"/>
    <m/>
    <n v="3078"/>
  </r>
  <r>
    <x v="2"/>
    <x v="34"/>
    <s v="AMERICAN FLAVORED VODKA"/>
    <x v="5"/>
    <n v="81935"/>
    <n v="908830.89000004192"/>
    <m/>
    <n v="9825"/>
  </r>
  <r>
    <x v="2"/>
    <x v="34"/>
    <s v="AMERICAN SCHNAPPS"/>
    <x v="2"/>
    <n v="90509"/>
    <n v="654220.76000001351"/>
    <m/>
    <n v="8880"/>
  </r>
  <r>
    <x v="2"/>
    <x v="34"/>
    <s v="AMERICAN VODKAS"/>
    <x v="5"/>
    <n v="515066"/>
    <n v="5076083.3099994296"/>
    <m/>
    <n v="34049"/>
  </r>
  <r>
    <x v="2"/>
    <x v="34"/>
    <s v="BLENDED WHISKIES"/>
    <x v="6"/>
    <n v="77654"/>
    <n v="1015139.1400000025"/>
    <m/>
    <n v="8283"/>
  </r>
  <r>
    <x v="2"/>
    <x v="34"/>
    <s v="BOTTLED IN BOND BOURBON"/>
    <x v="6"/>
    <n v="3626"/>
    <n v="106726.38000000008"/>
    <m/>
    <n v="1158"/>
  </r>
  <r>
    <x v="2"/>
    <x v="34"/>
    <s v="CANADIAN WHISKIES"/>
    <x v="6"/>
    <n v="361705"/>
    <n v="6385310.6000004271"/>
    <m/>
    <n v="22516"/>
  </r>
  <r>
    <x v="2"/>
    <x v="34"/>
    <s v="COCKTAILS/RTD"/>
    <x v="3"/>
    <n v="43228"/>
    <n v="557695.95999998366"/>
    <m/>
    <n v="6074"/>
  </r>
  <r>
    <x v="2"/>
    <x v="34"/>
    <s v="COFFEE LIQUEURS"/>
    <x v="2"/>
    <n v="14371"/>
    <n v="297490.64000000252"/>
    <m/>
    <n v="1408"/>
  </r>
  <r>
    <x v="2"/>
    <x v="34"/>
    <s v="CORN WHISKIES"/>
    <x v="6"/>
    <n v="1685"/>
    <n v="48237.169999999991"/>
    <m/>
    <n v="161"/>
  </r>
  <r>
    <x v="2"/>
    <x v="34"/>
    <s v="CREAM LIQUEURS"/>
    <x v="2"/>
    <n v="63902"/>
    <n v="1338721.8499999996"/>
    <m/>
    <n v="7496"/>
  </r>
  <r>
    <x v="2"/>
    <x v="34"/>
    <s v="FLAVORED GIN"/>
    <x v="4"/>
    <n v="3471"/>
    <n v="90614.01999999999"/>
    <m/>
    <n v="328"/>
  </r>
  <r>
    <x v="2"/>
    <x v="34"/>
    <s v="FLAVORED RUM"/>
    <x v="0"/>
    <n v="41548"/>
    <n v="628646.05999999924"/>
    <m/>
    <n v="4585"/>
  </r>
  <r>
    <x v="2"/>
    <x v="34"/>
    <s v="GOLD RUM"/>
    <x v="0"/>
    <n v="7792"/>
    <n v="103171.37999999963"/>
    <m/>
    <n v="1190"/>
  </r>
  <r>
    <x v="2"/>
    <x v="34"/>
    <s v="IMPORTED BRANDIES"/>
    <x v="1"/>
    <n v="48837"/>
    <n v="1241226.5099999669"/>
    <m/>
    <n v="4109"/>
  </r>
  <r>
    <x v="2"/>
    <x v="34"/>
    <s v="IMPORTED CORDIALS &amp; LIQUEURSS"/>
    <x v="2"/>
    <n v="46199"/>
    <n v="1107210.1700000083"/>
    <m/>
    <n v="5408"/>
  </r>
  <r>
    <x v="2"/>
    <x v="34"/>
    <s v="IMPORTED DISTILLED SPIRITS SPECIALTY"/>
    <x v="3"/>
    <n v="23749"/>
    <n v="187497.78999999975"/>
    <m/>
    <n v="443"/>
  </r>
  <r>
    <x v="2"/>
    <x v="34"/>
    <s v="IMPORTED DRY GINS"/>
    <x v="4"/>
    <n v="15376"/>
    <n v="391101.90000000113"/>
    <m/>
    <n v="2123"/>
  </r>
  <r>
    <x v="2"/>
    <x v="34"/>
    <s v="IMPORTED FLAVORED VODKA"/>
    <x v="5"/>
    <n v="24620"/>
    <n v="406881.30999999988"/>
    <m/>
    <n v="3009"/>
  </r>
  <r>
    <x v="2"/>
    <x v="34"/>
    <s v="IMPORTED SCHNAPPS"/>
    <x v="2"/>
    <n v="32144"/>
    <n v="551063.37999999872"/>
    <m/>
    <n v="3595"/>
  </r>
  <r>
    <x v="2"/>
    <x v="34"/>
    <s v="IMPORTED VODKAS"/>
    <x v="5"/>
    <n v="72848"/>
    <n v="1221355.7699999535"/>
    <m/>
    <n v="6043"/>
  </r>
  <r>
    <x v="2"/>
    <x v="34"/>
    <s v="IRISH WHISKIES"/>
    <x v="6"/>
    <n v="30551"/>
    <n v="866035.87999998592"/>
    <m/>
    <n v="3173"/>
  </r>
  <r>
    <x v="2"/>
    <x v="34"/>
    <s v="MEZCAL"/>
    <x v="7"/>
    <n v="1284"/>
    <n v="40080.109999999971"/>
    <m/>
    <n v="278"/>
  </r>
  <r>
    <x v="2"/>
    <x v="34"/>
    <s v="MIXTO TEQUILA"/>
    <x v="7"/>
    <n v="61642"/>
    <n v="857562.60000000894"/>
    <m/>
    <n v="4952"/>
  </r>
  <r>
    <x v="2"/>
    <x v="34"/>
    <s v="NEUTRAL GRAIN SPIRITS"/>
    <x v="3"/>
    <n v="6176"/>
    <n v="89230.469999999856"/>
    <m/>
    <n v="714"/>
  </r>
  <r>
    <x v="2"/>
    <x v="34"/>
    <s v="NEUTRAL GRAIN SPIRITS FLAVORED"/>
    <x v="3"/>
    <n v="21311"/>
    <n v="357342.77000000147"/>
    <m/>
    <n v="4088"/>
  </r>
  <r>
    <x v="2"/>
    <x v="34"/>
    <s v="SCOTCH WHISKIES"/>
    <x v="6"/>
    <n v="21276"/>
    <n v="745238.29999999073"/>
    <m/>
    <n v="3528"/>
  </r>
  <r>
    <x v="2"/>
    <x v="34"/>
    <s v="SINGLE BARREL BOURBON WHISKIES"/>
    <x v="6"/>
    <n v="4374"/>
    <n v="166914.75000000015"/>
    <m/>
    <n v="621"/>
  </r>
  <r>
    <x v="2"/>
    <x v="34"/>
    <s v="SINGLE MALT SCOTCH"/>
    <x v="6"/>
    <n v="10273"/>
    <n v="491458.05999999848"/>
    <m/>
    <n v="2153"/>
  </r>
  <r>
    <x v="2"/>
    <x v="34"/>
    <s v="SPECIAL ORDER ITEMS"/>
    <x v="3"/>
    <n v="7592"/>
    <n v="105914.27000000005"/>
    <m/>
    <n v="241"/>
  </r>
  <r>
    <x v="2"/>
    <x v="34"/>
    <s v="SPICED RUM"/>
    <x v="0"/>
    <n v="134771"/>
    <n v="2087776.6499999557"/>
    <m/>
    <n v="9204"/>
  </r>
  <r>
    <x v="2"/>
    <x v="34"/>
    <s v="STRAIGHT BOURBON WHISKIES"/>
    <x v="6"/>
    <n v="168917"/>
    <n v="3995399.8200000725"/>
    <m/>
    <n v="20724"/>
  </r>
  <r>
    <x v="2"/>
    <x v="34"/>
    <s v="STRAIGHT RYE WHISKIES"/>
    <x v="6"/>
    <n v="15717"/>
    <n v="539109.61000000616"/>
    <m/>
    <n v="2590"/>
  </r>
  <r>
    <x v="2"/>
    <x v="34"/>
    <s v="TEMPORARY &amp; SPECIALTY PACKAGES"/>
    <x v="3"/>
    <n v="63049"/>
    <n v="1686907.8199999304"/>
    <m/>
    <n v="9089"/>
  </r>
  <r>
    <x v="2"/>
    <x v="34"/>
    <s v="TENNESSEE WHISKIES"/>
    <x v="6"/>
    <n v="70115"/>
    <n v="1631767.8199999579"/>
    <m/>
    <n v="7854"/>
  </r>
  <r>
    <x v="2"/>
    <x v="34"/>
    <s v="TRIPLE SEC"/>
    <x v="3"/>
    <n v="15425"/>
    <n v="62703.659999999938"/>
    <m/>
    <n v="770"/>
  </r>
  <r>
    <x v="2"/>
    <x v="34"/>
    <s v="WHISKEY LIQUEUR"/>
    <x v="6"/>
    <n v="387116"/>
    <n v="2362127.9899999406"/>
    <m/>
    <n v="15043"/>
  </r>
  <r>
    <x v="2"/>
    <x v="34"/>
    <s v="WHITE RUM"/>
    <x v="0"/>
    <n v="42989"/>
    <n v="528981.63999999629"/>
    <m/>
    <n v="4354"/>
  </r>
  <r>
    <x v="2"/>
    <x v="34"/>
    <s v="AMERICAN SLOE GINS"/>
    <x v="4"/>
    <n v="307"/>
    <n v="2495.9100000000017"/>
    <m/>
    <n v="65"/>
  </r>
  <r>
    <x v="2"/>
    <x v="35"/>
    <s v="AMERICAN SCHNAPPS"/>
    <x v="2"/>
    <n v="68654"/>
    <n v="539070.61000000534"/>
    <m/>
    <n v="6985"/>
  </r>
  <r>
    <x v="2"/>
    <x v="35"/>
    <s v="AMERICAN VODKAS"/>
    <x v="5"/>
    <n v="535947"/>
    <n v="5157507.3999994453"/>
    <m/>
    <n v="34869"/>
  </r>
  <r>
    <x v="2"/>
    <x v="35"/>
    <s v="CANADIAN WHISKIES"/>
    <x v="6"/>
    <n v="246279"/>
    <n v="3784639.5499999435"/>
    <m/>
    <n v="18900"/>
  </r>
  <r>
    <x v="2"/>
    <x v="35"/>
    <s v="COCKTAILS/RTD"/>
    <x v="3"/>
    <n v="59306"/>
    <n v="668961.65999999642"/>
    <m/>
    <n v="6650"/>
  </r>
  <r>
    <x v="2"/>
    <x v="35"/>
    <s v="FLAVORED RUM"/>
    <x v="0"/>
    <n v="42981"/>
    <n v="630761.08000000089"/>
    <m/>
    <n v="4285"/>
  </r>
  <r>
    <x v="2"/>
    <x v="35"/>
    <s v="IMPORTED DRY GINS"/>
    <x v="4"/>
    <n v="17459"/>
    <n v="426430.03000000026"/>
    <m/>
    <n v="2171"/>
  </r>
  <r>
    <x v="2"/>
    <x v="35"/>
    <s v="IMPORTED SCHNAPPS"/>
    <x v="2"/>
    <n v="33887"/>
    <n v="578905.60999999719"/>
    <m/>
    <n v="3094"/>
  </r>
  <r>
    <x v="2"/>
    <x v="35"/>
    <s v="STRAIGHT BOURBON WHISKIES"/>
    <x v="6"/>
    <n v="137007"/>
    <n v="2940567.7400000114"/>
    <m/>
    <n v="15632"/>
  </r>
  <r>
    <x v="2"/>
    <x v="35"/>
    <s v="100% AGAVE TEQUILA"/>
    <x v="7"/>
    <n v="75575"/>
    <n v="2224035.7799999835"/>
    <m/>
    <n v="9245"/>
  </r>
  <r>
    <x v="2"/>
    <x v="35"/>
    <s v="AMERICAN CORDIALS &amp; LIQUEURSS"/>
    <x v="2"/>
    <n v="46981"/>
    <n v="428656.51000000985"/>
    <m/>
    <n v="6165"/>
  </r>
  <r>
    <x v="2"/>
    <x v="35"/>
    <s v="AMERICAN FLAVORED VODKA"/>
    <x v="5"/>
    <n v="88632"/>
    <n v="938697.01000004367"/>
    <m/>
    <n v="10985"/>
  </r>
  <r>
    <x v="2"/>
    <x v="35"/>
    <s v="CREAM LIQUEURS"/>
    <x v="2"/>
    <n v="28679"/>
    <n v="610676.38999999547"/>
    <m/>
    <n v="4042"/>
  </r>
  <r>
    <x v="2"/>
    <x v="35"/>
    <s v="IMPORTED CORDIALS &amp; LIQUEURSS"/>
    <x v="2"/>
    <n v="39773"/>
    <n v="944275.79000000597"/>
    <m/>
    <n v="4548"/>
  </r>
  <r>
    <x v="2"/>
    <x v="35"/>
    <s v="IMPORTED FLAVORED VODKA"/>
    <x v="5"/>
    <n v="22899"/>
    <n v="384810.78000000119"/>
    <m/>
    <n v="2927"/>
  </r>
  <r>
    <x v="2"/>
    <x v="35"/>
    <s v="IRISH WHISKIES"/>
    <x v="6"/>
    <n v="28878"/>
    <n v="769735.73999998765"/>
    <m/>
    <n v="2433"/>
  </r>
  <r>
    <x v="2"/>
    <x v="35"/>
    <s v="SPICED RUM"/>
    <x v="0"/>
    <n v="132076"/>
    <n v="2144187.6599999531"/>
    <m/>
    <n v="9251"/>
  </r>
  <r>
    <x v="2"/>
    <x v="35"/>
    <s v="TENNESSEE WHISKIES"/>
    <x v="6"/>
    <n v="60124"/>
    <n v="1331816.8899999664"/>
    <m/>
    <n v="6152"/>
  </r>
  <r>
    <x v="2"/>
    <x v="35"/>
    <s v="TRIPLE SEC"/>
    <x v="3"/>
    <n v="16954"/>
    <n v="68934.009999999893"/>
    <m/>
    <n v="603"/>
  </r>
  <r>
    <x v="2"/>
    <x v="35"/>
    <s v="WHISKEY LIQUEUR"/>
    <x v="6"/>
    <n v="365170"/>
    <n v="2266768.7499999739"/>
    <m/>
    <n v="13576"/>
  </r>
  <r>
    <x v="2"/>
    <x v="35"/>
    <s v="WHITE RUM"/>
    <x v="0"/>
    <n v="44585"/>
    <n v="526295.19999999565"/>
    <m/>
    <n v="3983"/>
  </r>
  <r>
    <x v="2"/>
    <x v="35"/>
    <s v="AGED DARK RUM"/>
    <x v="0"/>
    <n v="3434"/>
    <n v="77426.720000000103"/>
    <m/>
    <n v="643"/>
  </r>
  <r>
    <x v="2"/>
    <x v="35"/>
    <s v="AMERICAN BRANDIES"/>
    <x v="1"/>
    <n v="60327"/>
    <n v="387878.16000000079"/>
    <m/>
    <n v="4998"/>
  </r>
  <r>
    <x v="2"/>
    <x v="35"/>
    <s v="AMERICAN DISTILLED SPIRITS SPECIALTY"/>
    <x v="3"/>
    <n v="7508"/>
    <n v="134349.35999999969"/>
    <m/>
    <n v="726"/>
  </r>
  <r>
    <x v="2"/>
    <x v="35"/>
    <s v="AMERICAN DRY GINS"/>
    <x v="4"/>
    <n v="29274"/>
    <n v="277158.00000000151"/>
    <m/>
    <n v="2873"/>
  </r>
  <r>
    <x v="2"/>
    <x v="35"/>
    <s v="BLENDED WHISKIES"/>
    <x v="6"/>
    <n v="75497"/>
    <n v="959142.54999999912"/>
    <m/>
    <n v="8151"/>
  </r>
  <r>
    <x v="2"/>
    <x v="35"/>
    <s v="BOTTLED IN BOND BOURBON"/>
    <x v="6"/>
    <n v="2795"/>
    <n v="77503.839999999997"/>
    <m/>
    <n v="784"/>
  </r>
  <r>
    <x v="2"/>
    <x v="35"/>
    <s v="COFFEE LIQUEURS"/>
    <x v="2"/>
    <n v="9646"/>
    <n v="199871.69000000096"/>
    <m/>
    <n v="836"/>
  </r>
  <r>
    <x v="2"/>
    <x v="35"/>
    <s v="FLAVORED GIN"/>
    <x v="4"/>
    <n v="2584"/>
    <n v="58063.229999999981"/>
    <m/>
    <n v="325"/>
  </r>
  <r>
    <x v="2"/>
    <x v="35"/>
    <s v="GOLD RUM"/>
    <x v="0"/>
    <n v="5863"/>
    <n v="78933.149999999805"/>
    <m/>
    <n v="843"/>
  </r>
  <r>
    <x v="2"/>
    <x v="35"/>
    <s v="IMPORTED BRANDIES"/>
    <x v="1"/>
    <n v="51321"/>
    <n v="1249875.0099999758"/>
    <m/>
    <n v="4047"/>
  </r>
  <r>
    <x v="2"/>
    <x v="35"/>
    <s v="IMPORTED DISTILLED SPIRITS SPECIALTY"/>
    <x v="3"/>
    <n v="32367"/>
    <n v="258710.54999999984"/>
    <m/>
    <n v="428"/>
  </r>
  <r>
    <x v="2"/>
    <x v="35"/>
    <s v="IMPORTED VODKAS"/>
    <x v="5"/>
    <n v="58069"/>
    <n v="985796.79999998095"/>
    <m/>
    <n v="5559"/>
  </r>
  <r>
    <x v="2"/>
    <x v="35"/>
    <s v="MEZCAL"/>
    <x v="7"/>
    <n v="1282"/>
    <n v="41776.340000000004"/>
    <m/>
    <n v="279"/>
  </r>
  <r>
    <x v="2"/>
    <x v="35"/>
    <s v="MIXTO TEQUILA"/>
    <x v="7"/>
    <n v="61578"/>
    <n v="831599.08000000741"/>
    <m/>
    <n v="4799"/>
  </r>
  <r>
    <x v="2"/>
    <x v="35"/>
    <s v="NEUTRAL GRAIN SPIRITS FLAVORED"/>
    <x v="3"/>
    <n v="18390"/>
    <n v="310584.0800000024"/>
    <m/>
    <n v="3350"/>
  </r>
  <r>
    <x v="2"/>
    <x v="35"/>
    <s v="SCOTCH WHISKIES"/>
    <x v="6"/>
    <n v="16210"/>
    <n v="416706.64000000025"/>
    <m/>
    <n v="2702"/>
  </r>
  <r>
    <x v="2"/>
    <x v="35"/>
    <s v="SINGLE BARREL BOURBON WHISKIES"/>
    <x v="6"/>
    <n v="2334"/>
    <n v="70804.740000000005"/>
    <m/>
    <n v="260"/>
  </r>
  <r>
    <x v="2"/>
    <x v="35"/>
    <s v="SINGLE MALT SCOTCH"/>
    <x v="6"/>
    <n v="9651"/>
    <n v="449932.71000000049"/>
    <m/>
    <n v="1496"/>
  </r>
  <r>
    <x v="2"/>
    <x v="35"/>
    <s v="SPECIAL ORDER ITEMS"/>
    <x v="3"/>
    <n v="2538"/>
    <n v="54202.550000000032"/>
    <m/>
    <n v="210"/>
  </r>
  <r>
    <x v="2"/>
    <x v="35"/>
    <s v="STRAIGHT RYE WHISKIES"/>
    <x v="6"/>
    <n v="11765"/>
    <n v="381739.82000000303"/>
    <m/>
    <n v="1638"/>
  </r>
  <r>
    <x v="2"/>
    <x v="35"/>
    <s v="TEMPORARY &amp; SPECIALTY PACKAGES"/>
    <x v="3"/>
    <n v="65633"/>
    <n v="1854811.4699998742"/>
    <m/>
    <n v="8319"/>
  </r>
  <r>
    <x v="2"/>
    <x v="35"/>
    <s v="AMERICAN SLOE GINS"/>
    <x v="4"/>
    <n v="393"/>
    <n v="3195.0900000000011"/>
    <m/>
    <n v="51"/>
  </r>
  <r>
    <x v="2"/>
    <x v="35"/>
    <s v="NEUTRAL GRAIN SPIRITS"/>
    <x v="3"/>
    <n v="5075"/>
    <n v="72818.430000000008"/>
    <m/>
    <n v="432"/>
  </r>
  <r>
    <x v="2"/>
    <x v="35"/>
    <s v="CORN WHISKIES"/>
    <x v="6"/>
    <n v="739"/>
    <n v="24079.41"/>
    <m/>
    <n v="114"/>
  </r>
  <r>
    <x v="3"/>
    <x v="36"/>
    <s v="COCKTAILS/RTD"/>
    <x v="3"/>
    <n v="78224"/>
    <n v="982620.29000000388"/>
    <m/>
    <n v="6938"/>
  </r>
  <r>
    <x v="3"/>
    <x v="36"/>
    <s v="COFFEE LIQUEURS"/>
    <x v="2"/>
    <n v="7052"/>
    <n v="154923.80000000057"/>
    <m/>
    <n v="766"/>
  </r>
  <r>
    <x v="3"/>
    <x v="36"/>
    <s v="CORN WHISKIES"/>
    <x v="6"/>
    <n v="908"/>
    <n v="27958.720000000001"/>
    <m/>
    <n v="203"/>
  </r>
  <r>
    <x v="3"/>
    <x v="36"/>
    <s v="CREAM LIQUEURS"/>
    <x v="2"/>
    <n v="21734"/>
    <n v="433759.95999999187"/>
    <m/>
    <n v="3272"/>
  </r>
  <r>
    <x v="3"/>
    <x v="36"/>
    <s v="FLAVORED GIN"/>
    <x v="4"/>
    <n v="3024"/>
    <n v="77443.349999999991"/>
    <m/>
    <n v="324"/>
  </r>
  <r>
    <x v="3"/>
    <x v="36"/>
    <s v="FLAVORED RUM"/>
    <x v="0"/>
    <n v="47422"/>
    <n v="736860.78999999678"/>
    <m/>
    <n v="4511"/>
  </r>
  <r>
    <x v="3"/>
    <x v="36"/>
    <s v="GOLD RUM"/>
    <x v="0"/>
    <n v="5863"/>
    <n v="82358.919999999765"/>
    <m/>
    <n v="869"/>
  </r>
  <r>
    <x v="3"/>
    <x v="36"/>
    <s v="IMPORTED BRANDIES"/>
    <x v="1"/>
    <n v="36871"/>
    <n v="842593.33999999205"/>
    <m/>
    <n v="3122"/>
  </r>
  <r>
    <x v="3"/>
    <x v="36"/>
    <s v="IMPORTED CORDIALS &amp; LIQUEURSS"/>
    <x v="2"/>
    <n v="39474"/>
    <n v="921196.75000000279"/>
    <m/>
    <n v="4311"/>
  </r>
  <r>
    <x v="3"/>
    <x v="36"/>
    <s v="IMPORTED DISTILLED SPIRITS SPECIALTY"/>
    <x v="3"/>
    <n v="28186"/>
    <n v="219833.63999999972"/>
    <m/>
    <n v="506"/>
  </r>
  <r>
    <x v="3"/>
    <x v="36"/>
    <s v="IMPORTED DRY GINS"/>
    <x v="4"/>
    <n v="18227"/>
    <n v="471549.92999999947"/>
    <m/>
    <n v="1979"/>
  </r>
  <r>
    <x v="3"/>
    <x v="36"/>
    <s v="IMPORTED FLAVORED VODKA"/>
    <x v="5"/>
    <n v="21007"/>
    <n v="367191.72000000073"/>
    <m/>
    <n v="2635"/>
  </r>
  <r>
    <x v="3"/>
    <x v="36"/>
    <s v="IMPORTED SCHNAPPS"/>
    <x v="2"/>
    <n v="25982"/>
    <n v="453283.76999999897"/>
    <m/>
    <n v="2674"/>
  </r>
  <r>
    <x v="3"/>
    <x v="36"/>
    <s v="IMPORTED VODKAS"/>
    <x v="5"/>
    <n v="53814"/>
    <n v="920800.24999998824"/>
    <m/>
    <n v="4545"/>
  </r>
  <r>
    <x v="3"/>
    <x v="36"/>
    <s v="IRISH WHISKIES"/>
    <x v="6"/>
    <n v="22957"/>
    <n v="635022.96999999613"/>
    <m/>
    <n v="2282"/>
  </r>
  <r>
    <x v="3"/>
    <x v="36"/>
    <s v="MEZCAL"/>
    <x v="7"/>
    <n v="1290"/>
    <n v="44447.250000000007"/>
    <m/>
    <n v="280"/>
  </r>
  <r>
    <x v="3"/>
    <x v="36"/>
    <s v="MIXTO TEQUILA"/>
    <x v="7"/>
    <n v="67855"/>
    <n v="1013679.9599999931"/>
    <m/>
    <n v="4618"/>
  </r>
  <r>
    <x v="3"/>
    <x v="36"/>
    <s v="NEUTRAL GRAIN SPIRITS"/>
    <x v="3"/>
    <n v="2270"/>
    <n v="32999.899999999994"/>
    <m/>
    <n v="312"/>
  </r>
  <r>
    <x v="3"/>
    <x v="36"/>
    <s v="NEUTRAL GRAIN SPIRITS FLAVORED"/>
    <x v="3"/>
    <n v="18493"/>
    <n v="309957.81000000233"/>
    <m/>
    <n v="3444"/>
  </r>
  <r>
    <x v="3"/>
    <x v="36"/>
    <s v="SCOTCH WHISKIES"/>
    <x v="6"/>
    <n v="17846"/>
    <n v="521294.42999999993"/>
    <m/>
    <n v="2640"/>
  </r>
  <r>
    <x v="3"/>
    <x v="36"/>
    <s v="SINGLE BARREL BOURBON WHISKIES"/>
    <x v="6"/>
    <n v="2302"/>
    <n v="89136.75999999998"/>
    <m/>
    <n v="373"/>
  </r>
  <r>
    <x v="3"/>
    <x v="36"/>
    <s v="SINGLE MALT SCOTCH"/>
    <x v="6"/>
    <n v="5349"/>
    <n v="296842.03000000055"/>
    <m/>
    <n v="1210"/>
  </r>
  <r>
    <x v="3"/>
    <x v="36"/>
    <s v="SPICED RUM"/>
    <x v="0"/>
    <n v="95954"/>
    <n v="1342465.5099999956"/>
    <m/>
    <n v="7700"/>
  </r>
  <r>
    <x v="3"/>
    <x v="36"/>
    <s v="STRAIGHT BOURBON WHISKIES"/>
    <x v="6"/>
    <n v="125463"/>
    <n v="2785813.9399999776"/>
    <m/>
    <n v="14612"/>
  </r>
  <r>
    <x v="3"/>
    <x v="36"/>
    <s v="STRAIGHT RYE WHISKIES"/>
    <x v="6"/>
    <n v="10376"/>
    <n v="341547.30000000197"/>
    <m/>
    <n v="1378"/>
  </r>
  <r>
    <x v="3"/>
    <x v="36"/>
    <s v="TEMPORARY &amp; SPECIALTY PACKAGES"/>
    <x v="3"/>
    <n v="8296"/>
    <n v="313012.12000000133"/>
    <m/>
    <n v="2556"/>
  </r>
  <r>
    <x v="3"/>
    <x v="36"/>
    <s v="TENNESSEE WHISKIES"/>
    <x v="6"/>
    <n v="58618"/>
    <n v="1330656.7799999726"/>
    <m/>
    <n v="6081"/>
  </r>
  <r>
    <x v="3"/>
    <x v="36"/>
    <s v="TRIPLE SEC"/>
    <x v="3"/>
    <n v="17122"/>
    <n v="71108.719999999928"/>
    <m/>
    <n v="642"/>
  </r>
  <r>
    <x v="3"/>
    <x v="36"/>
    <s v="WHISKEY LIQUEUR"/>
    <x v="6"/>
    <n v="341008"/>
    <n v="2039340.0299999511"/>
    <m/>
    <n v="12961"/>
  </r>
  <r>
    <x v="3"/>
    <x v="36"/>
    <s v="WHITE RUM"/>
    <x v="0"/>
    <n v="38498"/>
    <n v="440245.3699999972"/>
    <m/>
    <n v="3496"/>
  </r>
  <r>
    <x v="3"/>
    <x v="36"/>
    <s v="100% AGAVE TEQUILA"/>
    <x v="7"/>
    <n v="90883"/>
    <n v="2604835.7699999786"/>
    <m/>
    <n v="9524"/>
  </r>
  <r>
    <x v="3"/>
    <x v="36"/>
    <s v="AGED DARK RUM"/>
    <x v="0"/>
    <n v="3354"/>
    <n v="70998.300000000076"/>
    <m/>
    <n v="541"/>
  </r>
  <r>
    <x v="3"/>
    <x v="36"/>
    <s v="AMERICAN BRANDIES"/>
    <x v="1"/>
    <n v="57077"/>
    <n v="363751.69000000152"/>
    <m/>
    <n v="4434"/>
  </r>
  <r>
    <x v="3"/>
    <x v="36"/>
    <s v="AMERICAN CORDIALS &amp; LIQUEURSS"/>
    <x v="2"/>
    <n v="32574"/>
    <n v="304616.39000000036"/>
    <m/>
    <n v="4870"/>
  </r>
  <r>
    <x v="3"/>
    <x v="36"/>
    <s v="AMERICAN DISTILLED SPIRITS SPECIALTY"/>
    <x v="3"/>
    <n v="7489"/>
    <n v="162560.84999999971"/>
    <m/>
    <n v="754"/>
  </r>
  <r>
    <x v="3"/>
    <x v="36"/>
    <s v="AMERICAN DRY GINS"/>
    <x v="4"/>
    <n v="30920"/>
    <n v="284655.84000000189"/>
    <m/>
    <n v="2691"/>
  </r>
  <r>
    <x v="3"/>
    <x v="36"/>
    <s v="AMERICAN FLAVORED VODKA"/>
    <x v="5"/>
    <n v="83185"/>
    <n v="913696.59000003571"/>
    <m/>
    <n v="10075"/>
  </r>
  <r>
    <x v="3"/>
    <x v="36"/>
    <s v="AMERICAN SCHNAPPS"/>
    <x v="2"/>
    <n v="81862"/>
    <n v="535277.72000001103"/>
    <m/>
    <n v="6845"/>
  </r>
  <r>
    <x v="3"/>
    <x v="36"/>
    <s v="AMERICAN SLOE GINS"/>
    <x v="4"/>
    <n v="260"/>
    <n v="2220.3999999999992"/>
    <m/>
    <n v="50"/>
  </r>
  <r>
    <x v="3"/>
    <x v="36"/>
    <s v="AMERICAN VODKAS"/>
    <x v="5"/>
    <n v="498043"/>
    <n v="4969675.5799998557"/>
    <m/>
    <n v="30982"/>
  </r>
  <r>
    <x v="3"/>
    <x v="36"/>
    <s v="BLENDED WHISKIES"/>
    <x v="6"/>
    <n v="61860"/>
    <n v="760052.04999999399"/>
    <m/>
    <n v="6779"/>
  </r>
  <r>
    <x v="3"/>
    <x v="36"/>
    <s v="BOTTLED IN BOND BOURBON"/>
    <x v="6"/>
    <n v="3321"/>
    <n v="110676.66000000006"/>
    <m/>
    <n v="713"/>
  </r>
  <r>
    <x v="3"/>
    <x v="36"/>
    <s v="CANADIAN WHISKIES"/>
    <x v="6"/>
    <n v="210121"/>
    <n v="3392091.3499997989"/>
    <m/>
    <n v="18953"/>
  </r>
  <r>
    <x v="3"/>
    <x v="36"/>
    <s v="SPECIAL ORDER ITEMS"/>
    <x v="3"/>
    <n v="8957"/>
    <n v="109289.07000000015"/>
    <m/>
    <n v="189"/>
  </r>
  <r>
    <x v="3"/>
    <x v="37"/>
    <s v="100% AGAVE TEQUILA"/>
    <x v="7"/>
    <n v="108043"/>
    <n v="3161765.8899999759"/>
    <m/>
    <n v="12246"/>
  </r>
  <r>
    <x v="3"/>
    <x v="37"/>
    <s v="AGED DARK RUM"/>
    <x v="0"/>
    <n v="3860"/>
    <n v="83054.260000000053"/>
    <m/>
    <n v="639"/>
  </r>
  <r>
    <x v="3"/>
    <x v="37"/>
    <s v="AMERICAN BRANDIES"/>
    <x v="1"/>
    <n v="63814"/>
    <n v="403504.9000000013"/>
    <m/>
    <n v="4995"/>
  </r>
  <r>
    <x v="3"/>
    <x v="37"/>
    <s v="AMERICAN CORDIALS &amp; LIQUEURSS"/>
    <x v="2"/>
    <n v="38829"/>
    <n v="408482.9400000163"/>
    <m/>
    <n v="6079"/>
  </r>
  <r>
    <x v="3"/>
    <x v="37"/>
    <s v="AMERICAN DISTILLED SPIRITS SPECIALTY"/>
    <x v="3"/>
    <n v="6720"/>
    <n v="151276.65999999963"/>
    <m/>
    <n v="941"/>
  </r>
  <r>
    <x v="3"/>
    <x v="37"/>
    <s v="AMERICAN DRY GINS"/>
    <x v="4"/>
    <n v="30073"/>
    <n v="282167.58000000211"/>
    <m/>
    <n v="2994"/>
  </r>
  <r>
    <x v="3"/>
    <x v="37"/>
    <s v="AMERICAN FLAVORED VODKA"/>
    <x v="5"/>
    <n v="93880"/>
    <n v="1055024.8400000529"/>
    <m/>
    <n v="11994"/>
  </r>
  <r>
    <x v="3"/>
    <x v="37"/>
    <s v="AMERICAN SCHNAPPS"/>
    <x v="2"/>
    <n v="77376"/>
    <n v="575970.74000001908"/>
    <m/>
    <n v="6371"/>
  </r>
  <r>
    <x v="3"/>
    <x v="37"/>
    <s v="AMERICAN VODKAS"/>
    <x v="5"/>
    <n v="590981"/>
    <n v="6452465.6199997226"/>
    <m/>
    <n v="36270"/>
  </r>
  <r>
    <x v="3"/>
    <x v="37"/>
    <s v="BLENDED WHISKIES"/>
    <x v="6"/>
    <n v="73600"/>
    <n v="928306.94999999064"/>
    <m/>
    <n v="7620"/>
  </r>
  <r>
    <x v="3"/>
    <x v="37"/>
    <s v="BOTTLED IN BOND BOURBON"/>
    <x v="6"/>
    <n v="4208"/>
    <n v="132188.82"/>
    <m/>
    <n v="1041"/>
  </r>
  <r>
    <x v="3"/>
    <x v="37"/>
    <s v="CANADIAN WHISKIES"/>
    <x v="6"/>
    <n v="297233"/>
    <n v="4952549.9399999427"/>
    <m/>
    <n v="23309"/>
  </r>
  <r>
    <x v="3"/>
    <x v="37"/>
    <s v="COCKTAILS/RTD"/>
    <x v="3"/>
    <n v="70029"/>
    <n v="826878.79999999271"/>
    <m/>
    <n v="8645"/>
  </r>
  <r>
    <x v="3"/>
    <x v="37"/>
    <s v="COFFEE LIQUEURS"/>
    <x v="2"/>
    <n v="8000"/>
    <n v="174638.67000000106"/>
    <m/>
    <n v="1003"/>
  </r>
  <r>
    <x v="3"/>
    <x v="37"/>
    <s v="CREAM LIQUEURS"/>
    <x v="2"/>
    <n v="25287"/>
    <n v="511245.57999999565"/>
    <m/>
    <n v="3722"/>
  </r>
  <r>
    <x v="3"/>
    <x v="37"/>
    <s v="FLAVORED GIN"/>
    <x v="4"/>
    <n v="2994"/>
    <n v="75264.23000000001"/>
    <m/>
    <n v="416"/>
  </r>
  <r>
    <x v="3"/>
    <x v="37"/>
    <s v="FLAVORED RUM"/>
    <x v="0"/>
    <n v="51932"/>
    <n v="811697.25999999302"/>
    <m/>
    <n v="5180"/>
  </r>
  <r>
    <x v="3"/>
    <x v="37"/>
    <s v="IMPORTED BRANDIES"/>
    <x v="1"/>
    <n v="45984"/>
    <n v="1063594.0799999861"/>
    <m/>
    <n v="3767"/>
  </r>
  <r>
    <x v="3"/>
    <x v="37"/>
    <s v="IMPORTED CORDIALS &amp; LIQUEURSS"/>
    <x v="2"/>
    <n v="48342"/>
    <n v="1137103.6000000061"/>
    <m/>
    <n v="5323"/>
  </r>
  <r>
    <x v="3"/>
    <x v="37"/>
    <s v="IMPORTED DRY GINS"/>
    <x v="4"/>
    <n v="20722"/>
    <n v="537206.60999999824"/>
    <m/>
    <n v="2461"/>
  </r>
  <r>
    <x v="3"/>
    <x v="37"/>
    <s v="IMPORTED FLAVORED VODKA"/>
    <x v="5"/>
    <n v="24315"/>
    <n v="434247.71999999945"/>
    <m/>
    <n v="3063"/>
  </r>
  <r>
    <x v="3"/>
    <x v="37"/>
    <s v="IMPORTED SCHNAPPS"/>
    <x v="2"/>
    <n v="29648"/>
    <n v="509023.81999999908"/>
    <m/>
    <n v="3110"/>
  </r>
  <r>
    <x v="3"/>
    <x v="37"/>
    <s v="IMPORTED VODKAS"/>
    <x v="5"/>
    <n v="66161"/>
    <n v="1137409.7099999678"/>
    <m/>
    <n v="5351"/>
  </r>
  <r>
    <x v="3"/>
    <x v="37"/>
    <s v="IRISH WHISKIES"/>
    <x v="6"/>
    <n v="26379"/>
    <n v="735249.96999998915"/>
    <m/>
    <n v="2866"/>
  </r>
  <r>
    <x v="3"/>
    <x v="37"/>
    <s v="MIXTO TEQUILA"/>
    <x v="7"/>
    <n v="76620"/>
    <n v="1074350.8999999908"/>
    <m/>
    <n v="5485"/>
  </r>
  <r>
    <x v="3"/>
    <x v="37"/>
    <s v="NEUTRAL GRAIN SPIRITS FLAVORED"/>
    <x v="3"/>
    <n v="18520"/>
    <n v="315144.67000000313"/>
    <m/>
    <n v="3989"/>
  </r>
  <r>
    <x v="3"/>
    <x v="37"/>
    <s v="SCOTCH WHISKIES"/>
    <x v="6"/>
    <n v="16755"/>
    <n v="487277.70999999903"/>
    <m/>
    <n v="2798"/>
  </r>
  <r>
    <x v="3"/>
    <x v="37"/>
    <s v="SINGLE BARREL BOURBON WHISKIES"/>
    <x v="6"/>
    <n v="3270"/>
    <n v="133752.47999999998"/>
    <m/>
    <n v="514"/>
  </r>
  <r>
    <x v="3"/>
    <x v="37"/>
    <s v="SINGLE MALT SCOTCH"/>
    <x v="6"/>
    <n v="6878"/>
    <n v="346870.94999999925"/>
    <m/>
    <n v="1471"/>
  </r>
  <r>
    <x v="3"/>
    <x v="37"/>
    <s v="SPICED RUM"/>
    <x v="0"/>
    <n v="122097"/>
    <n v="1814039.4699999799"/>
    <m/>
    <n v="8697"/>
  </r>
  <r>
    <x v="3"/>
    <x v="37"/>
    <s v="STRAIGHT BOURBON WHISKIES"/>
    <x v="6"/>
    <n v="144173"/>
    <n v="3306687.9099999946"/>
    <m/>
    <n v="17166"/>
  </r>
  <r>
    <x v="3"/>
    <x v="37"/>
    <s v="TEMPORARY &amp; SPECIALTY PACKAGES"/>
    <x v="3"/>
    <n v="9332"/>
    <n v="314669.9499999999"/>
    <m/>
    <n v="2483"/>
  </r>
  <r>
    <x v="3"/>
    <x v="37"/>
    <s v="TENNESSEE WHISKIES"/>
    <x v="6"/>
    <n v="59934"/>
    <n v="1376273.6899999597"/>
    <m/>
    <n v="6748"/>
  </r>
  <r>
    <x v="3"/>
    <x v="37"/>
    <s v="TRIPLE SEC"/>
    <x v="3"/>
    <n v="22405"/>
    <n v="93275.389999999505"/>
    <m/>
    <n v="833"/>
  </r>
  <r>
    <x v="3"/>
    <x v="37"/>
    <s v="WHISKEY LIQUEUR"/>
    <x v="6"/>
    <n v="386088"/>
    <n v="2370438.0299999318"/>
    <m/>
    <n v="14934"/>
  </r>
  <r>
    <x v="3"/>
    <x v="37"/>
    <s v="WHITE RUM"/>
    <x v="0"/>
    <n v="46850"/>
    <n v="587648.21000000439"/>
    <m/>
    <n v="4044"/>
  </r>
  <r>
    <x v="3"/>
    <x v="37"/>
    <s v="STRAIGHT RYE WHISKIES"/>
    <x v="6"/>
    <n v="10131"/>
    <n v="354964.30000000325"/>
    <m/>
    <n v="2025"/>
  </r>
  <r>
    <x v="3"/>
    <x v="37"/>
    <s v="GOLD RUM"/>
    <x v="0"/>
    <n v="7161"/>
    <n v="96799.969999999725"/>
    <m/>
    <n v="999"/>
  </r>
  <r>
    <x v="3"/>
    <x v="37"/>
    <s v="IMPORTED DISTILLED SPIRITS SPECIALTY"/>
    <x v="3"/>
    <n v="32820"/>
    <n v="260882.47999999954"/>
    <m/>
    <n v="588"/>
  </r>
  <r>
    <x v="3"/>
    <x v="37"/>
    <s v="CORN WHISKIES"/>
    <x v="6"/>
    <n v="922"/>
    <n v="21402.579999999998"/>
    <m/>
    <n v="138"/>
  </r>
  <r>
    <x v="3"/>
    <x v="37"/>
    <s v="AMERICAN SLOE GINS"/>
    <x v="4"/>
    <n v="249"/>
    <n v="2126.4599999999987"/>
    <m/>
    <n v="47"/>
  </r>
  <r>
    <x v="3"/>
    <x v="37"/>
    <s v="NEUTRAL GRAIN SPIRITS"/>
    <x v="3"/>
    <n v="2951"/>
    <n v="41342.18"/>
    <m/>
    <n v="390"/>
  </r>
  <r>
    <x v="3"/>
    <x v="37"/>
    <s v="MEZCAL"/>
    <x v="7"/>
    <n v="1555"/>
    <n v="51873.299999999988"/>
    <m/>
    <n v="319"/>
  </r>
  <r>
    <x v="3"/>
    <x v="37"/>
    <s v="SPECIAL ORDER ITEMS"/>
    <x v="3"/>
    <n v="6595"/>
    <n v="94794.150000000009"/>
    <m/>
    <n v="234"/>
  </r>
  <r>
    <x v="3"/>
    <x v="38"/>
    <s v="100% AGAVE TEQUILA"/>
    <x v="7"/>
    <n v="108652"/>
    <n v="3179775.4399999548"/>
    <m/>
    <n v="12735"/>
  </r>
  <r>
    <x v="3"/>
    <x v="38"/>
    <s v="AGED DARK RUM"/>
    <x v="0"/>
    <n v="4076"/>
    <n v="84269.180000000109"/>
    <m/>
    <n v="663"/>
  </r>
  <r>
    <x v="3"/>
    <x v="38"/>
    <s v="AMERICAN BRANDIES"/>
    <x v="1"/>
    <n v="61686"/>
    <n v="399933.73000000161"/>
    <m/>
    <n v="5004"/>
  </r>
  <r>
    <x v="3"/>
    <x v="38"/>
    <s v="AMERICAN CORDIALS &amp; LIQUEURSS"/>
    <x v="2"/>
    <n v="36651"/>
    <n v="419490.04000001558"/>
    <m/>
    <n v="5894"/>
  </r>
  <r>
    <x v="3"/>
    <x v="38"/>
    <s v="AMERICAN DISTILLED SPIRITS SPECIALTY"/>
    <x v="3"/>
    <n v="8268"/>
    <n v="183837.90999999986"/>
    <m/>
    <n v="1033"/>
  </r>
  <r>
    <x v="3"/>
    <x v="38"/>
    <s v="AMERICAN DRY GINS"/>
    <x v="4"/>
    <n v="33105"/>
    <n v="331399.31000000297"/>
    <m/>
    <n v="3211"/>
  </r>
  <r>
    <x v="3"/>
    <x v="38"/>
    <s v="AMERICAN FLAVORED VODKA"/>
    <x v="5"/>
    <n v="110167"/>
    <n v="1289929.4800000594"/>
    <m/>
    <n v="13563"/>
  </r>
  <r>
    <x v="3"/>
    <x v="38"/>
    <s v="AMERICAN SCHNAPPS"/>
    <x v="2"/>
    <n v="81825"/>
    <n v="763748.8500000427"/>
    <m/>
    <n v="7994"/>
  </r>
  <r>
    <x v="3"/>
    <x v="38"/>
    <s v="AMERICAN VODKAS"/>
    <x v="5"/>
    <n v="630970"/>
    <n v="6611987.2099997755"/>
    <m/>
    <n v="39087"/>
  </r>
  <r>
    <x v="3"/>
    <x v="38"/>
    <s v="BLENDED WHISKIES"/>
    <x v="6"/>
    <n v="76662"/>
    <n v="1074459.169999992"/>
    <m/>
    <n v="8526"/>
  </r>
  <r>
    <x v="3"/>
    <x v="38"/>
    <s v="BOTTLED IN BOND BOURBON"/>
    <x v="6"/>
    <n v="3111"/>
    <n v="87377.700000000012"/>
    <m/>
    <n v="697"/>
  </r>
  <r>
    <x v="3"/>
    <x v="38"/>
    <s v="CANADIAN WHISKIES"/>
    <x v="6"/>
    <n v="256713"/>
    <n v="4171570.6599997603"/>
    <m/>
    <n v="22991"/>
  </r>
  <r>
    <x v="3"/>
    <x v="38"/>
    <s v="COCKTAILS/RTD"/>
    <x v="3"/>
    <n v="78847"/>
    <n v="930170.10000000044"/>
    <m/>
    <n v="9026"/>
  </r>
  <r>
    <x v="3"/>
    <x v="38"/>
    <s v="COFFEE LIQUEURS"/>
    <x v="2"/>
    <n v="6718"/>
    <n v="135652.14000000051"/>
    <m/>
    <n v="907"/>
  </r>
  <r>
    <x v="3"/>
    <x v="38"/>
    <s v="CREAM LIQUEURS"/>
    <x v="2"/>
    <n v="24537"/>
    <n v="490286.34999999451"/>
    <m/>
    <n v="3675"/>
  </r>
  <r>
    <x v="3"/>
    <x v="38"/>
    <s v="FLAVORED GIN"/>
    <x v="4"/>
    <n v="4318"/>
    <n v="108807.16000000008"/>
    <m/>
    <n v="484"/>
  </r>
  <r>
    <x v="3"/>
    <x v="38"/>
    <s v="FLAVORED RUM"/>
    <x v="0"/>
    <n v="61108"/>
    <n v="953131.02999999549"/>
    <m/>
    <n v="5961"/>
  </r>
  <r>
    <x v="3"/>
    <x v="38"/>
    <s v="IMPORTED BRANDIES"/>
    <x v="1"/>
    <n v="38899"/>
    <n v="897381.49999999034"/>
    <m/>
    <n v="3269"/>
  </r>
  <r>
    <x v="3"/>
    <x v="38"/>
    <s v="IMPORTED CORDIALS &amp; LIQUEURSS"/>
    <x v="2"/>
    <n v="49519"/>
    <n v="1153114.6900000053"/>
    <m/>
    <n v="5400"/>
  </r>
  <r>
    <x v="3"/>
    <x v="38"/>
    <s v="IMPORTED DISTILLED SPIRITS SPECIALTY"/>
    <x v="3"/>
    <n v="25608"/>
    <n v="217640.62000000017"/>
    <m/>
    <n v="570"/>
  </r>
  <r>
    <x v="3"/>
    <x v="38"/>
    <s v="IMPORTED DRY GINS"/>
    <x v="4"/>
    <n v="23008"/>
    <n v="596184.93999999505"/>
    <m/>
    <n v="2709"/>
  </r>
  <r>
    <x v="3"/>
    <x v="38"/>
    <s v="IMPORTED FLAVORED VODKA"/>
    <x v="5"/>
    <n v="27306"/>
    <n v="473123.4999999993"/>
    <m/>
    <n v="3515"/>
  </r>
  <r>
    <x v="3"/>
    <x v="38"/>
    <s v="IMPORTED SCHNAPPS"/>
    <x v="2"/>
    <n v="32419"/>
    <n v="557295.7499999979"/>
    <m/>
    <n v="3377"/>
  </r>
  <r>
    <x v="3"/>
    <x v="38"/>
    <s v="IMPORTED VODKAS"/>
    <x v="5"/>
    <n v="76021"/>
    <n v="1188231.0499999612"/>
    <m/>
    <n v="5501"/>
  </r>
  <r>
    <x v="3"/>
    <x v="38"/>
    <s v="IRISH WHISKIES"/>
    <x v="6"/>
    <n v="30181"/>
    <n v="841651.76999998663"/>
    <m/>
    <n v="2908"/>
  </r>
  <r>
    <x v="3"/>
    <x v="38"/>
    <s v="MEZCAL"/>
    <x v="7"/>
    <n v="1299"/>
    <n v="43745.78"/>
    <m/>
    <n v="271"/>
  </r>
  <r>
    <x v="3"/>
    <x v="38"/>
    <s v="MIXTO TEQUILA"/>
    <x v="7"/>
    <n v="80860"/>
    <n v="1153206.2199999948"/>
    <m/>
    <n v="5641"/>
  </r>
  <r>
    <x v="3"/>
    <x v="38"/>
    <s v="NEUTRAL GRAIN SPIRITS FLAVORED"/>
    <x v="3"/>
    <n v="21748"/>
    <n v="363957.98000000173"/>
    <m/>
    <n v="4208"/>
  </r>
  <r>
    <x v="3"/>
    <x v="38"/>
    <s v="SCOTCH WHISKIES"/>
    <x v="6"/>
    <n v="17692"/>
    <n v="494957.45999999868"/>
    <m/>
    <n v="2922"/>
  </r>
  <r>
    <x v="3"/>
    <x v="38"/>
    <s v="SINGLE MALT SCOTCH"/>
    <x v="6"/>
    <n v="6527"/>
    <n v="326016.3899999999"/>
    <m/>
    <n v="1544"/>
  </r>
  <r>
    <x v="3"/>
    <x v="38"/>
    <s v="SPICED RUM"/>
    <x v="0"/>
    <n v="136206"/>
    <n v="2006004.6599999876"/>
    <m/>
    <n v="9552"/>
  </r>
  <r>
    <x v="3"/>
    <x v="38"/>
    <s v="STRAIGHT BOURBON WHISKIES"/>
    <x v="6"/>
    <n v="153756"/>
    <n v="3385187.1200000145"/>
    <m/>
    <n v="18151"/>
  </r>
  <r>
    <x v="3"/>
    <x v="38"/>
    <s v="STRAIGHT RYE WHISKIES"/>
    <x v="6"/>
    <n v="13113"/>
    <n v="433126.76000000455"/>
    <m/>
    <n v="1925"/>
  </r>
  <r>
    <x v="3"/>
    <x v="38"/>
    <s v="TEMPORARY &amp; SPECIALTY PACKAGES"/>
    <x v="3"/>
    <n v="14691"/>
    <n v="524628.05999999656"/>
    <m/>
    <n v="4565"/>
  </r>
  <r>
    <x v="3"/>
    <x v="38"/>
    <s v="TENNESSEE WHISKIES"/>
    <x v="6"/>
    <n v="68958"/>
    <n v="1593273.1999999902"/>
    <m/>
    <n v="6990"/>
  </r>
  <r>
    <x v="3"/>
    <x v="38"/>
    <s v="TRIPLE SEC"/>
    <x v="3"/>
    <n v="23525"/>
    <n v="96462.509999999675"/>
    <m/>
    <n v="942"/>
  </r>
  <r>
    <x v="3"/>
    <x v="38"/>
    <s v="WHISKEY LIQUEUR"/>
    <x v="6"/>
    <n v="404196"/>
    <n v="2547117.7599999164"/>
    <m/>
    <n v="15371"/>
  </r>
  <r>
    <x v="3"/>
    <x v="38"/>
    <s v="WHITE RUM"/>
    <x v="0"/>
    <n v="50845"/>
    <n v="640575.64000000886"/>
    <m/>
    <n v="4660"/>
  </r>
  <r>
    <x v="3"/>
    <x v="38"/>
    <s v="GOLD RUM"/>
    <x v="0"/>
    <n v="7371"/>
    <n v="99576.939999999653"/>
    <m/>
    <n v="1032"/>
  </r>
  <r>
    <x v="3"/>
    <x v="38"/>
    <s v="NEUTRAL GRAIN SPIRITS"/>
    <x v="3"/>
    <n v="3387"/>
    <n v="47168.649999999958"/>
    <m/>
    <n v="491"/>
  </r>
  <r>
    <x v="3"/>
    <x v="38"/>
    <s v="SPECIAL ORDER ITEMS"/>
    <x v="3"/>
    <n v="10884"/>
    <n v="128192.50000000004"/>
    <m/>
    <n v="180"/>
  </r>
  <r>
    <x v="3"/>
    <x v="38"/>
    <s v="SINGLE BARREL BOURBON WHISKIES"/>
    <x v="6"/>
    <n v="3715"/>
    <n v="151698.64999999994"/>
    <m/>
    <n v="719"/>
  </r>
  <r>
    <x v="3"/>
    <x v="38"/>
    <s v="AMERICAN SLOE GINS"/>
    <x v="4"/>
    <n v="241"/>
    <n v="2024.1299999999994"/>
    <m/>
    <n v="54"/>
  </r>
  <r>
    <x v="3"/>
    <x v="38"/>
    <s v="CORN WHISKIES"/>
    <x v="6"/>
    <n v="741"/>
    <n v="17379.439999999999"/>
    <m/>
    <n v="140"/>
  </r>
  <r>
    <x v="3"/>
    <x v="39"/>
    <s v="AMERICAN BRANDIES"/>
    <x v="1"/>
    <n v="52351"/>
    <n v="327218.46000000305"/>
    <m/>
    <n v="4141"/>
  </r>
  <r>
    <x v="3"/>
    <x v="39"/>
    <s v="AMERICAN CORDIALS &amp; LIQUEURSS"/>
    <x v="2"/>
    <n v="33550"/>
    <n v="373704.71000000893"/>
    <m/>
    <n v="5396"/>
  </r>
  <r>
    <x v="3"/>
    <x v="39"/>
    <s v="AMERICAN DRY GINS"/>
    <x v="4"/>
    <n v="28800"/>
    <n v="277925.52000000176"/>
    <m/>
    <n v="2760"/>
  </r>
  <r>
    <x v="3"/>
    <x v="39"/>
    <s v="AMERICAN FLAVORED VODKA"/>
    <x v="5"/>
    <n v="89828"/>
    <n v="1013981.8100000503"/>
    <m/>
    <n v="11103"/>
  </r>
  <r>
    <x v="3"/>
    <x v="39"/>
    <s v="AMERICAN SCHNAPPS"/>
    <x v="2"/>
    <n v="72820"/>
    <n v="604340.09000002604"/>
    <m/>
    <n v="6641"/>
  </r>
  <r>
    <x v="3"/>
    <x v="39"/>
    <s v="AMERICAN VODKAS"/>
    <x v="5"/>
    <n v="521181"/>
    <n v="5381817.8399998071"/>
    <m/>
    <n v="33130"/>
  </r>
  <r>
    <x v="3"/>
    <x v="39"/>
    <s v="BLENDED WHISKIES"/>
    <x v="6"/>
    <n v="64473"/>
    <n v="926957.45999998972"/>
    <m/>
    <n v="7055"/>
  </r>
  <r>
    <x v="3"/>
    <x v="39"/>
    <s v="BOTTLED IN BOND BOURBON"/>
    <x v="6"/>
    <n v="4982"/>
    <n v="153073.31000000003"/>
    <m/>
    <n v="1033"/>
  </r>
  <r>
    <x v="3"/>
    <x v="39"/>
    <s v="CANADIAN WHISKIES"/>
    <x v="6"/>
    <n v="277431"/>
    <n v="5123706.1399998944"/>
    <m/>
    <n v="19456"/>
  </r>
  <r>
    <x v="3"/>
    <x v="39"/>
    <s v="CREAM LIQUEURS"/>
    <x v="2"/>
    <n v="25195"/>
    <n v="494112.10999999032"/>
    <m/>
    <n v="4034"/>
  </r>
  <r>
    <x v="3"/>
    <x v="39"/>
    <s v="FLAVORED RUM"/>
    <x v="0"/>
    <n v="52951"/>
    <n v="823510.40999999736"/>
    <m/>
    <n v="4952"/>
  </r>
  <r>
    <x v="3"/>
    <x v="39"/>
    <s v="GOLD RUM"/>
    <x v="0"/>
    <n v="5740"/>
    <n v="80933.459999999715"/>
    <m/>
    <n v="872"/>
  </r>
  <r>
    <x v="3"/>
    <x v="39"/>
    <s v="IMPORTED CORDIALS &amp; LIQUEURSS"/>
    <x v="2"/>
    <n v="44304"/>
    <n v="1024196.8000000062"/>
    <m/>
    <n v="4647"/>
  </r>
  <r>
    <x v="3"/>
    <x v="39"/>
    <s v="IMPORTED DRY GINS"/>
    <x v="4"/>
    <n v="17156"/>
    <n v="435231.54"/>
    <m/>
    <n v="2225"/>
  </r>
  <r>
    <x v="3"/>
    <x v="39"/>
    <s v="IMPORTED FLAVORED VODKA"/>
    <x v="5"/>
    <n v="27777"/>
    <n v="490757.00000000105"/>
    <m/>
    <n v="3024"/>
  </r>
  <r>
    <x v="3"/>
    <x v="39"/>
    <s v="IMPORTED SCHNAPPS"/>
    <x v="2"/>
    <n v="28357"/>
    <n v="488815.2300000008"/>
    <m/>
    <n v="2891"/>
  </r>
  <r>
    <x v="3"/>
    <x v="39"/>
    <s v="IMPORTED VODKAS"/>
    <x v="5"/>
    <n v="55921"/>
    <n v="969916.1699999898"/>
    <m/>
    <n v="4806"/>
  </r>
  <r>
    <x v="3"/>
    <x v="39"/>
    <s v="IRISH WHISKIES"/>
    <x v="6"/>
    <n v="25044"/>
    <n v="679422.55999999645"/>
    <m/>
    <n v="2356"/>
  </r>
  <r>
    <x v="3"/>
    <x v="39"/>
    <s v="MIXTO TEQUILA"/>
    <x v="7"/>
    <n v="66443"/>
    <n v="908129.18999999203"/>
    <m/>
    <n v="4817"/>
  </r>
  <r>
    <x v="3"/>
    <x v="39"/>
    <s v="NEUTRAL GRAIN SPIRITS FLAVORED"/>
    <x v="3"/>
    <n v="18387"/>
    <n v="302826.12000000267"/>
    <m/>
    <n v="3749"/>
  </r>
  <r>
    <x v="3"/>
    <x v="39"/>
    <s v="SCOTCH WHISKIES"/>
    <x v="6"/>
    <n v="14135"/>
    <n v="397228.57000000018"/>
    <m/>
    <n v="2315"/>
  </r>
  <r>
    <x v="3"/>
    <x v="39"/>
    <s v="SINGLE BARREL BOURBON WHISKIES"/>
    <x v="6"/>
    <n v="4140"/>
    <n v="178159.57"/>
    <m/>
    <n v="588"/>
  </r>
  <r>
    <x v="3"/>
    <x v="39"/>
    <s v="SPICED RUM"/>
    <x v="0"/>
    <n v="108102"/>
    <n v="1703148.2499999364"/>
    <m/>
    <n v="7767"/>
  </r>
  <r>
    <x v="3"/>
    <x v="39"/>
    <s v="STRAIGHT BOURBON WHISKIES"/>
    <x v="6"/>
    <n v="127425"/>
    <n v="2759876.6400000108"/>
    <m/>
    <n v="14870"/>
  </r>
  <r>
    <x v="3"/>
    <x v="39"/>
    <s v="STRAIGHT RYE WHISKIES"/>
    <x v="6"/>
    <n v="9505"/>
    <n v="309541.10000000108"/>
    <m/>
    <n v="1546"/>
  </r>
  <r>
    <x v="3"/>
    <x v="39"/>
    <s v="TEMPORARY &amp; SPECIALTY PACKAGES"/>
    <x v="3"/>
    <n v="10698"/>
    <n v="357662.77999999671"/>
    <m/>
    <n v="2950"/>
  </r>
  <r>
    <x v="3"/>
    <x v="39"/>
    <s v="TENNESSEE WHISKIES"/>
    <x v="6"/>
    <n v="53091"/>
    <n v="1223886.919999996"/>
    <m/>
    <n v="5721"/>
  </r>
  <r>
    <x v="3"/>
    <x v="39"/>
    <s v="WHISKEY LIQUEUR"/>
    <x v="6"/>
    <n v="337654"/>
    <n v="1987795.6199999561"/>
    <m/>
    <n v="12757"/>
  </r>
  <r>
    <x v="3"/>
    <x v="39"/>
    <s v="100% AGAVE TEQUILA"/>
    <x v="7"/>
    <n v="92205"/>
    <n v="2736266.3299999512"/>
    <m/>
    <n v="11123"/>
  </r>
  <r>
    <x v="3"/>
    <x v="39"/>
    <s v="AGED DARK RUM"/>
    <x v="0"/>
    <n v="3909"/>
    <n v="84070.52"/>
    <m/>
    <n v="627"/>
  </r>
  <r>
    <x v="3"/>
    <x v="39"/>
    <s v="AMERICAN DISTILLED SPIRITS SPECIALTY"/>
    <x v="3"/>
    <n v="9511"/>
    <n v="174481.58999999982"/>
    <m/>
    <n v="855"/>
  </r>
  <r>
    <x v="3"/>
    <x v="39"/>
    <s v="COCKTAILS/RTD"/>
    <x v="3"/>
    <n v="52822"/>
    <n v="624898.50999998546"/>
    <m/>
    <n v="6933"/>
  </r>
  <r>
    <x v="3"/>
    <x v="39"/>
    <s v="COFFEE LIQUEURS"/>
    <x v="2"/>
    <n v="5516"/>
    <n v="118383.77000000041"/>
    <m/>
    <n v="746"/>
  </r>
  <r>
    <x v="3"/>
    <x v="39"/>
    <s v="IMPORTED BRANDIES"/>
    <x v="1"/>
    <n v="41315"/>
    <n v="921443.61999999348"/>
    <m/>
    <n v="3259"/>
  </r>
  <r>
    <x v="3"/>
    <x v="39"/>
    <s v="IMPORTED DISTILLED SPIRITS SPECIALTY"/>
    <x v="3"/>
    <n v="24209"/>
    <n v="186990.31999999995"/>
    <m/>
    <n v="624"/>
  </r>
  <r>
    <x v="3"/>
    <x v="39"/>
    <s v="NEUTRAL GRAIN SPIRITS"/>
    <x v="3"/>
    <n v="3270"/>
    <n v="46708.790000000008"/>
    <m/>
    <n v="457"/>
  </r>
  <r>
    <x v="3"/>
    <x v="39"/>
    <s v="SINGLE MALT SCOTCH"/>
    <x v="6"/>
    <n v="5183"/>
    <n v="271330.27000000101"/>
    <m/>
    <n v="1238"/>
  </r>
  <r>
    <x v="3"/>
    <x v="39"/>
    <s v="TRIPLE SEC"/>
    <x v="3"/>
    <n v="18893"/>
    <n v="78270.399999999892"/>
    <m/>
    <n v="761"/>
  </r>
  <r>
    <x v="3"/>
    <x v="39"/>
    <s v="WHITE RUM"/>
    <x v="0"/>
    <n v="42135"/>
    <n v="514135.0099999957"/>
    <m/>
    <n v="3938"/>
  </r>
  <r>
    <x v="3"/>
    <x v="39"/>
    <s v="FLAVORED GIN"/>
    <x v="4"/>
    <n v="3182"/>
    <n v="79020.86000000003"/>
    <m/>
    <n v="433"/>
  </r>
  <r>
    <x v="3"/>
    <x v="39"/>
    <s v="MEZCAL"/>
    <x v="7"/>
    <n v="1425"/>
    <n v="50191.23000000001"/>
    <m/>
    <n v="280"/>
  </r>
  <r>
    <x v="3"/>
    <x v="39"/>
    <s v="CORN WHISKIES"/>
    <x v="6"/>
    <n v="1296"/>
    <n v="49762.93"/>
    <m/>
    <n v="101"/>
  </r>
  <r>
    <x v="3"/>
    <x v="39"/>
    <s v="SPECIAL ORDER ITEMS"/>
    <x v="3"/>
    <n v="7371"/>
    <n v="102549.37999999999"/>
    <m/>
    <n v="190"/>
  </r>
  <r>
    <x v="3"/>
    <x v="39"/>
    <s v="AMERICAN SLOE GINS"/>
    <x v="4"/>
    <n v="309"/>
    <n v="2620.9599999999991"/>
    <m/>
    <n v="55"/>
  </r>
  <r>
    <x v="3"/>
    <x v="40"/>
    <s v="100% AGAVE TEQUILA"/>
    <x v="7"/>
    <n v="74090"/>
    <n v="2207050.8799999496"/>
    <m/>
    <n v="9017"/>
  </r>
  <r>
    <x v="3"/>
    <x v="40"/>
    <s v="AMERICAN SCHNAPPS"/>
    <x v="2"/>
    <n v="79014"/>
    <n v="568292.32000000821"/>
    <m/>
    <n v="7689"/>
  </r>
  <r>
    <x v="3"/>
    <x v="40"/>
    <s v="AMERICAN VODKAS"/>
    <x v="5"/>
    <n v="478925"/>
    <n v="4663670.5399998352"/>
    <m/>
    <n v="32416"/>
  </r>
  <r>
    <x v="3"/>
    <x v="40"/>
    <s v="BLENDED WHISKIES"/>
    <x v="6"/>
    <n v="71808"/>
    <n v="848811.01999999944"/>
    <m/>
    <n v="7720"/>
  </r>
  <r>
    <x v="3"/>
    <x v="40"/>
    <s v="CANADIAN WHISKIES"/>
    <x v="6"/>
    <n v="220804"/>
    <n v="3503367.5999999265"/>
    <m/>
    <n v="20372"/>
  </r>
  <r>
    <x v="3"/>
    <x v="40"/>
    <s v="IMPORTED BRANDIES"/>
    <x v="1"/>
    <n v="33606"/>
    <n v="797935.36000000045"/>
    <m/>
    <n v="2974"/>
  </r>
  <r>
    <x v="3"/>
    <x v="40"/>
    <s v="SPICED RUM"/>
    <x v="0"/>
    <n v="115351"/>
    <n v="1698137.589999961"/>
    <m/>
    <n v="8638"/>
  </r>
  <r>
    <x v="3"/>
    <x v="40"/>
    <s v="TEMPORARY &amp; SPECIALTY PACKAGES"/>
    <x v="3"/>
    <n v="18451"/>
    <n v="605951.17999999924"/>
    <m/>
    <n v="3458"/>
  </r>
  <r>
    <x v="3"/>
    <x v="40"/>
    <s v="WHISKEY LIQUEUR"/>
    <x v="6"/>
    <n v="351632"/>
    <n v="2140959.1899999697"/>
    <m/>
    <n v="13284"/>
  </r>
  <r>
    <x v="3"/>
    <x v="40"/>
    <s v="AGED DARK RUM"/>
    <x v="0"/>
    <n v="4251"/>
    <n v="95459.460000000065"/>
    <m/>
    <n v="722"/>
  </r>
  <r>
    <x v="3"/>
    <x v="40"/>
    <s v="AMERICAN BRANDIES"/>
    <x v="1"/>
    <n v="60892"/>
    <n v="405269.33000000153"/>
    <m/>
    <n v="5347"/>
  </r>
  <r>
    <x v="3"/>
    <x v="40"/>
    <s v="AMERICAN CORDIALS &amp; LIQUEURSS"/>
    <x v="2"/>
    <n v="33625"/>
    <n v="334471.91000000417"/>
    <m/>
    <n v="5412"/>
  </r>
  <r>
    <x v="3"/>
    <x v="40"/>
    <s v="AMERICAN DRY GINS"/>
    <x v="4"/>
    <n v="25862"/>
    <n v="248187.44000000105"/>
    <m/>
    <n v="2578"/>
  </r>
  <r>
    <x v="3"/>
    <x v="40"/>
    <s v="AMERICAN FLAVORED VODKA"/>
    <x v="5"/>
    <n v="76792"/>
    <n v="844525.27000002959"/>
    <m/>
    <n v="10068"/>
  </r>
  <r>
    <x v="3"/>
    <x v="40"/>
    <s v="COCKTAILS/RTD"/>
    <x v="3"/>
    <n v="41910"/>
    <n v="524783.67999998177"/>
    <m/>
    <n v="5774"/>
  </r>
  <r>
    <x v="3"/>
    <x v="40"/>
    <s v="CREAM LIQUEURS"/>
    <x v="2"/>
    <n v="34143"/>
    <n v="685461.48999998032"/>
    <m/>
    <n v="5353"/>
  </r>
  <r>
    <x v="3"/>
    <x v="40"/>
    <s v="FLAVORED RUM"/>
    <x v="0"/>
    <n v="40799"/>
    <n v="620444.16999999969"/>
    <m/>
    <n v="4350"/>
  </r>
  <r>
    <x v="3"/>
    <x v="40"/>
    <s v="IMPORTED SCHNAPPS"/>
    <x v="2"/>
    <n v="29372"/>
    <n v="497644.45000000019"/>
    <m/>
    <n v="3338"/>
  </r>
  <r>
    <x v="3"/>
    <x v="40"/>
    <s v="IRISH WHISKIES"/>
    <x v="6"/>
    <n v="28110"/>
    <n v="771387.14999998838"/>
    <m/>
    <n v="2636"/>
  </r>
  <r>
    <x v="3"/>
    <x v="40"/>
    <s v="STRAIGHT BOURBON WHISKIES"/>
    <x v="6"/>
    <n v="131378"/>
    <n v="2983065.8600000073"/>
    <m/>
    <n v="17079"/>
  </r>
  <r>
    <x v="3"/>
    <x v="40"/>
    <s v="TENNESSEE WHISKIES"/>
    <x v="6"/>
    <n v="51369"/>
    <n v="1127447.5199999707"/>
    <m/>
    <n v="6136"/>
  </r>
  <r>
    <x v="3"/>
    <x v="40"/>
    <s v="WHITE RUM"/>
    <x v="0"/>
    <n v="34595"/>
    <n v="395171.37999999808"/>
    <m/>
    <n v="3433"/>
  </r>
  <r>
    <x v="3"/>
    <x v="40"/>
    <s v="BOTTLED IN BOND BOURBON"/>
    <x v="6"/>
    <n v="3202"/>
    <n v="91714.320000000051"/>
    <m/>
    <n v="1200"/>
  </r>
  <r>
    <x v="3"/>
    <x v="40"/>
    <s v="IMPORTED CORDIALS &amp; LIQUEURSS"/>
    <x v="2"/>
    <n v="40486"/>
    <n v="938392.26000000548"/>
    <m/>
    <n v="4812"/>
  </r>
  <r>
    <x v="3"/>
    <x v="40"/>
    <s v="IMPORTED DRY GINS"/>
    <x v="4"/>
    <n v="15112"/>
    <n v="379335.54000000068"/>
    <m/>
    <n v="1842"/>
  </r>
  <r>
    <x v="3"/>
    <x v="40"/>
    <s v="IMPORTED FLAVORED VODKA"/>
    <x v="5"/>
    <n v="21026"/>
    <n v="356780.96000000078"/>
    <m/>
    <n v="2719"/>
  </r>
  <r>
    <x v="3"/>
    <x v="40"/>
    <s v="IMPORTED VODKAS"/>
    <x v="5"/>
    <n v="52533"/>
    <n v="864347.9599999839"/>
    <m/>
    <n v="4993"/>
  </r>
  <r>
    <x v="3"/>
    <x v="40"/>
    <s v="MEZCAL"/>
    <x v="7"/>
    <n v="1145"/>
    <n v="37747.179999999957"/>
    <m/>
    <n v="240"/>
  </r>
  <r>
    <x v="3"/>
    <x v="40"/>
    <s v="MIXTO TEQUILA"/>
    <x v="7"/>
    <n v="57237"/>
    <n v="780211.5599999933"/>
    <m/>
    <n v="4570"/>
  </r>
  <r>
    <x v="3"/>
    <x v="40"/>
    <s v="NEUTRAL GRAIN SPIRITS FLAVORED"/>
    <x v="3"/>
    <n v="15912"/>
    <n v="267197.15000000299"/>
    <m/>
    <n v="3142"/>
  </r>
  <r>
    <x v="3"/>
    <x v="40"/>
    <s v="SCOTCH WHISKIES"/>
    <x v="6"/>
    <n v="14447"/>
    <n v="423972.05999999953"/>
    <m/>
    <n v="2537"/>
  </r>
  <r>
    <x v="3"/>
    <x v="40"/>
    <s v="SINGLE BARREL BOURBON WHISKIES"/>
    <x v="6"/>
    <n v="3444"/>
    <n v="113135.91"/>
    <m/>
    <n v="557"/>
  </r>
  <r>
    <x v="3"/>
    <x v="40"/>
    <s v="STRAIGHT RYE WHISKIES"/>
    <x v="6"/>
    <n v="9954"/>
    <n v="343950.73000000149"/>
    <m/>
    <n v="1794"/>
  </r>
  <r>
    <x v="3"/>
    <x v="40"/>
    <s v="AMERICAN DISTILLED SPIRITS SPECIALTY"/>
    <x v="3"/>
    <n v="9560"/>
    <n v="220281.74999999988"/>
    <m/>
    <n v="1149"/>
  </r>
  <r>
    <x v="3"/>
    <x v="40"/>
    <s v="TRIPLE SEC"/>
    <x v="3"/>
    <n v="14810"/>
    <n v="62104.189999999995"/>
    <m/>
    <n v="640"/>
  </r>
  <r>
    <x v="3"/>
    <x v="40"/>
    <s v="GOLD RUM"/>
    <x v="0"/>
    <n v="5925"/>
    <n v="83223.589999999866"/>
    <m/>
    <n v="951"/>
  </r>
  <r>
    <x v="3"/>
    <x v="40"/>
    <s v="IMPORTED DISTILLED SPIRITS SPECIALTY"/>
    <x v="3"/>
    <n v="18034"/>
    <n v="159357.0999999998"/>
    <m/>
    <n v="396"/>
  </r>
  <r>
    <x v="3"/>
    <x v="40"/>
    <s v="NEUTRAL GRAIN SPIRITS"/>
    <x v="3"/>
    <n v="2958"/>
    <n v="44266.590000000018"/>
    <m/>
    <n v="372"/>
  </r>
  <r>
    <x v="3"/>
    <x v="40"/>
    <s v="SINGLE MALT SCOTCH"/>
    <x v="6"/>
    <n v="6188"/>
    <n v="338822.14999999967"/>
    <m/>
    <n v="1410"/>
  </r>
  <r>
    <x v="3"/>
    <x v="40"/>
    <s v="COFFEE LIQUEURS"/>
    <x v="2"/>
    <n v="12119"/>
    <n v="249897.51000000027"/>
    <m/>
    <n v="1241"/>
  </r>
  <r>
    <x v="3"/>
    <x v="40"/>
    <s v="SPECIAL ORDER ITEMS"/>
    <x v="3"/>
    <n v="12005"/>
    <n v="153038.27000000005"/>
    <m/>
    <n v="242"/>
  </r>
  <r>
    <x v="3"/>
    <x v="40"/>
    <s v="AMERICAN SLOE GINS"/>
    <x v="4"/>
    <n v="301"/>
    <n v="2570.5399999999991"/>
    <m/>
    <n v="60"/>
  </r>
  <r>
    <x v="3"/>
    <x v="40"/>
    <s v="CORN WHISKIES"/>
    <x v="6"/>
    <n v="900"/>
    <n v="21455.09"/>
    <m/>
    <n v="152"/>
  </r>
  <r>
    <x v="3"/>
    <x v="40"/>
    <s v="FLAVORED GIN"/>
    <x v="4"/>
    <n v="2071"/>
    <n v="48487.689999999995"/>
    <m/>
    <n v="296"/>
  </r>
  <r>
    <x v="3"/>
    <x v="41"/>
    <s v="AMERICAN VODKAS"/>
    <x v="5"/>
    <n v="462349"/>
    <n v="4806111.8299998278"/>
    <m/>
    <n v="30050"/>
  </r>
  <r>
    <x v="3"/>
    <x v="41"/>
    <s v="CANADIAN WHISKIES"/>
    <x v="6"/>
    <n v="268103"/>
    <n v="4243081.8299999963"/>
    <m/>
    <n v="19231"/>
  </r>
  <r>
    <x v="3"/>
    <x v="41"/>
    <s v="100% AGAVE TEQUILA"/>
    <x v="7"/>
    <n v="76657"/>
    <n v="2251125.0199999614"/>
    <m/>
    <n v="8280"/>
  </r>
  <r>
    <x v="3"/>
    <x v="41"/>
    <s v="AMERICAN CORDIALS &amp; LIQUEURSS"/>
    <x v="2"/>
    <n v="29743"/>
    <n v="289337.06000000035"/>
    <m/>
    <n v="4638"/>
  </r>
  <r>
    <x v="3"/>
    <x v="41"/>
    <s v="AMERICAN SCHNAPPS"/>
    <x v="2"/>
    <n v="72205"/>
    <n v="502818.17000000464"/>
    <m/>
    <n v="6713"/>
  </r>
  <r>
    <x v="3"/>
    <x v="41"/>
    <s v="BLENDED WHISKIES"/>
    <x v="6"/>
    <n v="59866"/>
    <n v="746628.41000000015"/>
    <m/>
    <n v="6827"/>
  </r>
  <r>
    <x v="3"/>
    <x v="41"/>
    <s v="IMPORTED DRY GINS"/>
    <x v="4"/>
    <n v="11468"/>
    <n v="308658.53000000003"/>
    <m/>
    <n v="1303"/>
  </r>
  <r>
    <x v="3"/>
    <x v="41"/>
    <s v="IMPORTED SCHNAPPS"/>
    <x v="2"/>
    <n v="26479"/>
    <n v="458898.54000000079"/>
    <m/>
    <n v="2799"/>
  </r>
  <r>
    <x v="3"/>
    <x v="41"/>
    <s v="IMPORTED VODKAS"/>
    <x v="5"/>
    <n v="52900"/>
    <n v="900885.32999998925"/>
    <m/>
    <n v="4199"/>
  </r>
  <r>
    <x v="3"/>
    <x v="41"/>
    <s v="MIXTO TEQUILA"/>
    <x v="7"/>
    <n v="59766"/>
    <n v="818722.27999999386"/>
    <m/>
    <n v="4267"/>
  </r>
  <r>
    <x v="3"/>
    <x v="41"/>
    <s v="STRAIGHT RYE WHISKIES"/>
    <x v="6"/>
    <n v="10316"/>
    <n v="314858.86000000063"/>
    <m/>
    <n v="1538"/>
  </r>
  <r>
    <x v="3"/>
    <x v="41"/>
    <s v="TENNESSEE WHISKIES"/>
    <x v="6"/>
    <n v="54617"/>
    <n v="1270101.9799999744"/>
    <m/>
    <n v="5441"/>
  </r>
  <r>
    <x v="3"/>
    <x v="41"/>
    <s v="WHISKEY LIQUEUR"/>
    <x v="6"/>
    <n v="318059"/>
    <n v="1815364.809999971"/>
    <m/>
    <n v="11897"/>
  </r>
  <r>
    <x v="3"/>
    <x v="41"/>
    <s v="AGED DARK RUM"/>
    <x v="0"/>
    <n v="3233"/>
    <n v="71489.560000000085"/>
    <m/>
    <n v="526"/>
  </r>
  <r>
    <x v="3"/>
    <x v="41"/>
    <s v="AMERICAN BRANDIES"/>
    <x v="1"/>
    <n v="54270"/>
    <n v="361528.89000000217"/>
    <m/>
    <n v="4812"/>
  </r>
  <r>
    <x v="3"/>
    <x v="41"/>
    <s v="AMERICAN DISTILLED SPIRITS SPECIALTY"/>
    <x v="3"/>
    <n v="7455"/>
    <n v="186747.15999999995"/>
    <m/>
    <n v="787"/>
  </r>
  <r>
    <x v="3"/>
    <x v="41"/>
    <s v="AMERICAN DRY GINS"/>
    <x v="4"/>
    <n v="26173"/>
    <n v="262494.76000000112"/>
    <m/>
    <n v="2352"/>
  </r>
  <r>
    <x v="3"/>
    <x v="41"/>
    <s v="AMERICAN FLAVORED VODKA"/>
    <x v="5"/>
    <n v="78547"/>
    <n v="874793.09000003175"/>
    <m/>
    <n v="9651"/>
  </r>
  <r>
    <x v="3"/>
    <x v="41"/>
    <s v="BOTTLED IN BOND BOURBON"/>
    <x v="6"/>
    <n v="2950"/>
    <n v="87956.600000000079"/>
    <m/>
    <n v="706"/>
  </r>
  <r>
    <x v="3"/>
    <x v="41"/>
    <s v="COCKTAILS/RTD"/>
    <x v="3"/>
    <n v="40283"/>
    <n v="471514.11999997852"/>
    <m/>
    <n v="5137"/>
  </r>
  <r>
    <x v="3"/>
    <x v="41"/>
    <s v="COFFEE LIQUEURS"/>
    <x v="2"/>
    <n v="6552"/>
    <n v="138577.0800000008"/>
    <m/>
    <n v="739"/>
  </r>
  <r>
    <x v="3"/>
    <x v="41"/>
    <s v="CREAM LIQUEURS"/>
    <x v="2"/>
    <n v="26477"/>
    <n v="550974.55999999284"/>
    <m/>
    <n v="3766"/>
  </r>
  <r>
    <x v="3"/>
    <x v="41"/>
    <s v="FLAVORED RUM"/>
    <x v="0"/>
    <n v="36189"/>
    <n v="549682.86000000057"/>
    <m/>
    <n v="3832"/>
  </r>
  <r>
    <x v="3"/>
    <x v="41"/>
    <s v="IMPORTED BRANDIES"/>
    <x v="1"/>
    <n v="40541"/>
    <n v="938698.77999999886"/>
    <m/>
    <n v="3382"/>
  </r>
  <r>
    <x v="3"/>
    <x v="41"/>
    <s v="IMPORTED CORDIALS &amp; LIQUEURSS"/>
    <x v="2"/>
    <n v="35643"/>
    <n v="841957.66000000446"/>
    <m/>
    <n v="4110"/>
  </r>
  <r>
    <x v="3"/>
    <x v="41"/>
    <s v="IMPORTED DISTILLED SPIRITS SPECIALTY"/>
    <x v="3"/>
    <n v="25862"/>
    <n v="201567.38999999981"/>
    <m/>
    <n v="429"/>
  </r>
  <r>
    <x v="3"/>
    <x v="41"/>
    <s v="IMPORTED FLAVORED VODKA"/>
    <x v="5"/>
    <n v="18751"/>
    <n v="324360.10000000132"/>
    <m/>
    <n v="2292"/>
  </r>
  <r>
    <x v="3"/>
    <x v="41"/>
    <s v="IRISH WHISKIES"/>
    <x v="6"/>
    <n v="37506"/>
    <n v="1007097.1599999859"/>
    <m/>
    <n v="2812"/>
  </r>
  <r>
    <x v="3"/>
    <x v="41"/>
    <s v="NEUTRAL GRAIN SPIRITS"/>
    <x v="3"/>
    <n v="2375"/>
    <n v="36334.46"/>
    <m/>
    <n v="333"/>
  </r>
  <r>
    <x v="3"/>
    <x v="41"/>
    <s v="NEUTRAL GRAIN SPIRITS FLAVORED"/>
    <x v="3"/>
    <n v="14712"/>
    <n v="243278.40000000305"/>
    <m/>
    <n v="2926"/>
  </r>
  <r>
    <x v="3"/>
    <x v="41"/>
    <s v="SCOTCH WHISKIES"/>
    <x v="6"/>
    <n v="13956"/>
    <n v="409539.29999999946"/>
    <m/>
    <n v="2336"/>
  </r>
  <r>
    <x v="3"/>
    <x v="41"/>
    <s v="SINGLE BARREL BOURBON WHISKIES"/>
    <x v="6"/>
    <n v="2392"/>
    <n v="80973.849999999991"/>
    <m/>
    <n v="354"/>
  </r>
  <r>
    <x v="3"/>
    <x v="41"/>
    <s v="SINGLE MALT SCOTCH"/>
    <x v="6"/>
    <n v="5864"/>
    <n v="312637.37000000081"/>
    <m/>
    <n v="1190"/>
  </r>
  <r>
    <x v="3"/>
    <x v="41"/>
    <s v="SPICED RUM"/>
    <x v="0"/>
    <n v="94121"/>
    <n v="1305701.0399999737"/>
    <m/>
    <n v="7568"/>
  </r>
  <r>
    <x v="3"/>
    <x v="41"/>
    <s v="STRAIGHT BOURBON WHISKIES"/>
    <x v="6"/>
    <n v="128417"/>
    <n v="2867257.1600000025"/>
    <m/>
    <n v="14433"/>
  </r>
  <r>
    <x v="3"/>
    <x v="41"/>
    <s v="TEMPORARY &amp; SPECIALTY PACKAGES"/>
    <x v="3"/>
    <n v="13176"/>
    <n v="454260.72000000154"/>
    <m/>
    <n v="2433"/>
  </r>
  <r>
    <x v="3"/>
    <x v="41"/>
    <s v="TRIPLE SEC"/>
    <x v="3"/>
    <n v="14578"/>
    <n v="59981.739999999983"/>
    <m/>
    <n v="595"/>
  </r>
  <r>
    <x v="3"/>
    <x v="41"/>
    <s v="WHITE RUM"/>
    <x v="0"/>
    <n v="36499"/>
    <n v="444563.5099999985"/>
    <m/>
    <n v="3120"/>
  </r>
  <r>
    <x v="3"/>
    <x v="41"/>
    <s v="GOLD RUM"/>
    <x v="0"/>
    <n v="5811"/>
    <n v="80816.259999999733"/>
    <m/>
    <n v="824"/>
  </r>
  <r>
    <x v="3"/>
    <x v="41"/>
    <s v="CORN WHISKIES"/>
    <x v="6"/>
    <n v="682"/>
    <n v="15666.400000000001"/>
    <m/>
    <n v="112"/>
  </r>
  <r>
    <x v="3"/>
    <x v="41"/>
    <s v="FLAVORED GIN"/>
    <x v="4"/>
    <n v="2089"/>
    <n v="51793.369999999974"/>
    <m/>
    <n v="254"/>
  </r>
  <r>
    <x v="3"/>
    <x v="41"/>
    <s v="MEZCAL"/>
    <x v="7"/>
    <n v="1055"/>
    <n v="34437.169999999969"/>
    <m/>
    <n v="214"/>
  </r>
  <r>
    <x v="3"/>
    <x v="41"/>
    <s v="SPECIAL ORDER ITEMS"/>
    <x v="3"/>
    <n v="8817"/>
    <n v="119261.05000000003"/>
    <m/>
    <n v="188"/>
  </r>
  <r>
    <x v="3"/>
    <x v="41"/>
    <s v="AMERICAN SLOE GINS"/>
    <x v="4"/>
    <n v="269"/>
    <n v="2297.2599999999989"/>
    <m/>
    <n v="47"/>
  </r>
  <r>
    <x v="3"/>
    <x v="42"/>
    <s v="100% AGAVE TEQUILA"/>
    <x v="7"/>
    <n v="76252"/>
    <n v="2181606.4199999524"/>
    <m/>
    <n v="9814"/>
  </r>
  <r>
    <x v="3"/>
    <x v="42"/>
    <s v="STRAIGHT BOURBON WHISKIES"/>
    <x v="6"/>
    <n v="136444"/>
    <n v="2972285.7100000088"/>
    <m/>
    <n v="16953"/>
  </r>
  <r>
    <x v="3"/>
    <x v="42"/>
    <s v="AMERICAN VODKAS"/>
    <x v="5"/>
    <n v="542318"/>
    <n v="5396873.2699996969"/>
    <m/>
    <n v="35325"/>
  </r>
  <r>
    <x v="3"/>
    <x v="42"/>
    <s v="BLENDED WHISKIES"/>
    <x v="6"/>
    <n v="73979"/>
    <n v="883773.99999999802"/>
    <m/>
    <n v="7848"/>
  </r>
  <r>
    <x v="3"/>
    <x v="42"/>
    <s v="CANADIAN WHISKIES"/>
    <x v="6"/>
    <n v="236618"/>
    <n v="3764684.3999997983"/>
    <m/>
    <n v="21676"/>
  </r>
  <r>
    <x v="3"/>
    <x v="42"/>
    <s v="COCKTAILS/RTD"/>
    <x v="3"/>
    <n v="53359"/>
    <n v="621359.60999999021"/>
    <m/>
    <n v="6100"/>
  </r>
  <r>
    <x v="3"/>
    <x v="42"/>
    <s v="FLAVORED RUM"/>
    <x v="0"/>
    <n v="46298"/>
    <n v="714384.61999999464"/>
    <m/>
    <n v="4712"/>
  </r>
  <r>
    <x v="3"/>
    <x v="42"/>
    <s v="IMPORTED FLAVORED VODKA"/>
    <x v="5"/>
    <n v="22460"/>
    <n v="396348.12999999971"/>
    <m/>
    <n v="2898"/>
  </r>
  <r>
    <x v="3"/>
    <x v="42"/>
    <s v="IRISH WHISKIES"/>
    <x v="6"/>
    <n v="37499"/>
    <n v="1050281.5099999725"/>
    <m/>
    <n v="3372"/>
  </r>
  <r>
    <x v="3"/>
    <x v="42"/>
    <s v="STRAIGHT RYE WHISKIES"/>
    <x v="6"/>
    <n v="10876"/>
    <n v="341344.2200000016"/>
    <m/>
    <n v="1934"/>
  </r>
  <r>
    <x v="3"/>
    <x v="42"/>
    <s v="TENNESSEE WHISKIES"/>
    <x v="6"/>
    <n v="63484"/>
    <n v="1433893.5799999703"/>
    <m/>
    <n v="6630"/>
  </r>
  <r>
    <x v="3"/>
    <x v="42"/>
    <s v="AMERICAN BRANDIES"/>
    <x v="1"/>
    <n v="62739"/>
    <n v="413397.15000000235"/>
    <m/>
    <n v="5314"/>
  </r>
  <r>
    <x v="3"/>
    <x v="42"/>
    <s v="AMERICAN CORDIALS &amp; LIQUEURSS"/>
    <x v="2"/>
    <n v="36659"/>
    <n v="346523.46000000596"/>
    <m/>
    <n v="5660"/>
  </r>
  <r>
    <x v="3"/>
    <x v="42"/>
    <s v="AMERICAN DISTILLED SPIRITS SPECIALTY"/>
    <x v="3"/>
    <n v="7044"/>
    <n v="158972.88999999972"/>
    <m/>
    <n v="894"/>
  </r>
  <r>
    <x v="3"/>
    <x v="42"/>
    <s v="AMERICAN DRY GINS"/>
    <x v="4"/>
    <n v="28138"/>
    <n v="247882.78000000108"/>
    <m/>
    <n v="2700"/>
  </r>
  <r>
    <x v="3"/>
    <x v="42"/>
    <s v="AMERICAN FLAVORED VODKA"/>
    <x v="5"/>
    <n v="86100"/>
    <n v="975712.59000003606"/>
    <m/>
    <n v="10882"/>
  </r>
  <r>
    <x v="3"/>
    <x v="42"/>
    <s v="AMERICAN SCHNAPPS"/>
    <x v="2"/>
    <n v="87289"/>
    <n v="606372.58000001253"/>
    <m/>
    <n v="7928"/>
  </r>
  <r>
    <x v="3"/>
    <x v="42"/>
    <s v="BOTTLED IN BOND BOURBON"/>
    <x v="6"/>
    <n v="3623"/>
    <n v="107485.0400000002"/>
    <m/>
    <n v="793"/>
  </r>
  <r>
    <x v="3"/>
    <x v="42"/>
    <s v="COFFEE LIQUEURS"/>
    <x v="2"/>
    <n v="7253"/>
    <n v="151590.07000000085"/>
    <m/>
    <n v="950"/>
  </r>
  <r>
    <x v="3"/>
    <x v="42"/>
    <s v="CREAM LIQUEURS"/>
    <x v="2"/>
    <n v="31096"/>
    <n v="628226.26999999816"/>
    <m/>
    <n v="4238"/>
  </r>
  <r>
    <x v="3"/>
    <x v="42"/>
    <s v="GOLD RUM"/>
    <x v="0"/>
    <n v="6595"/>
    <n v="88193.60999999971"/>
    <m/>
    <n v="1000"/>
  </r>
  <r>
    <x v="3"/>
    <x v="42"/>
    <s v="IMPORTED BRANDIES"/>
    <x v="1"/>
    <n v="44994"/>
    <n v="1046504.3599999949"/>
    <m/>
    <n v="4021"/>
  </r>
  <r>
    <x v="3"/>
    <x v="42"/>
    <s v="IMPORTED CORDIALS &amp; LIQUEURSS"/>
    <x v="2"/>
    <n v="46173"/>
    <n v="1081155.170000005"/>
    <m/>
    <n v="5198"/>
  </r>
  <r>
    <x v="3"/>
    <x v="42"/>
    <s v="IMPORTED DISTILLED SPIRITS SPECIALTY"/>
    <x v="3"/>
    <n v="38495"/>
    <n v="289275.19000000018"/>
    <m/>
    <n v="512"/>
  </r>
  <r>
    <x v="3"/>
    <x v="42"/>
    <s v="IMPORTED SCHNAPPS"/>
    <x v="2"/>
    <n v="33637"/>
    <n v="588459.6699999983"/>
    <m/>
    <n v="3272"/>
  </r>
  <r>
    <x v="3"/>
    <x v="42"/>
    <s v="IMPORTED VODKAS"/>
    <x v="5"/>
    <n v="55264"/>
    <n v="918487.03999998583"/>
    <m/>
    <n v="4903"/>
  </r>
  <r>
    <x v="3"/>
    <x v="42"/>
    <s v="MIXTO TEQUILA"/>
    <x v="7"/>
    <n v="64431"/>
    <n v="871655.9699999931"/>
    <m/>
    <n v="4854"/>
  </r>
  <r>
    <x v="3"/>
    <x v="42"/>
    <s v="SCOTCH WHISKIES"/>
    <x v="6"/>
    <n v="14827"/>
    <n v="408464.92999999947"/>
    <m/>
    <n v="2574"/>
  </r>
  <r>
    <x v="3"/>
    <x v="42"/>
    <s v="SINGLE MALT SCOTCH"/>
    <x v="6"/>
    <n v="5867"/>
    <n v="302469.14000000019"/>
    <m/>
    <n v="1408"/>
  </r>
  <r>
    <x v="3"/>
    <x v="42"/>
    <s v="SPICED RUM"/>
    <x v="0"/>
    <n v="167023"/>
    <n v="3136264.7699999562"/>
    <m/>
    <n v="8854"/>
  </r>
  <r>
    <x v="3"/>
    <x v="42"/>
    <s v="TEMPORARY &amp; SPECIALTY PACKAGES"/>
    <x v="3"/>
    <n v="8257"/>
    <n v="245197.09000000107"/>
    <m/>
    <n v="1697"/>
  </r>
  <r>
    <x v="3"/>
    <x v="42"/>
    <s v="WHISKEY LIQUEUR"/>
    <x v="6"/>
    <n v="377784"/>
    <n v="2231782.0599999405"/>
    <m/>
    <n v="14050"/>
  </r>
  <r>
    <x v="3"/>
    <x v="42"/>
    <s v="WHITE RUM"/>
    <x v="0"/>
    <n v="40942"/>
    <n v="493209.43999999634"/>
    <m/>
    <n v="3918"/>
  </r>
  <r>
    <x v="3"/>
    <x v="42"/>
    <s v="IMPORTED DRY GINS"/>
    <x v="4"/>
    <n v="16486"/>
    <n v="403934.83000000054"/>
    <m/>
    <n v="2006"/>
  </r>
  <r>
    <x v="3"/>
    <x v="42"/>
    <s v="MEZCAL"/>
    <x v="7"/>
    <n v="1334"/>
    <n v="46387.449999999975"/>
    <m/>
    <n v="280"/>
  </r>
  <r>
    <x v="3"/>
    <x v="42"/>
    <s v="TRIPLE SEC"/>
    <x v="3"/>
    <n v="17834"/>
    <n v="74056.799999999901"/>
    <m/>
    <n v="710"/>
  </r>
  <r>
    <x v="3"/>
    <x v="42"/>
    <s v="NEUTRAL GRAIN SPIRITS"/>
    <x v="3"/>
    <n v="2951"/>
    <n v="44102.629999999983"/>
    <m/>
    <n v="386"/>
  </r>
  <r>
    <x v="3"/>
    <x v="42"/>
    <s v="NEUTRAL GRAIN SPIRITS FLAVORED"/>
    <x v="3"/>
    <n v="16922"/>
    <n v="280701.23000000301"/>
    <m/>
    <n v="3372"/>
  </r>
  <r>
    <x v="3"/>
    <x v="42"/>
    <s v="SINGLE BARREL BOURBON WHISKIES"/>
    <x v="6"/>
    <n v="4187"/>
    <n v="157963.02999999994"/>
    <m/>
    <n v="550"/>
  </r>
  <r>
    <x v="3"/>
    <x v="42"/>
    <s v="AGED DARK RUM"/>
    <x v="0"/>
    <n v="3649"/>
    <n v="78658.66"/>
    <m/>
    <n v="641"/>
  </r>
  <r>
    <x v="3"/>
    <x v="42"/>
    <s v="FLAVORED GIN"/>
    <x v="4"/>
    <n v="2623"/>
    <n v="65873.129999999976"/>
    <m/>
    <n v="316"/>
  </r>
  <r>
    <x v="3"/>
    <x v="42"/>
    <s v="SPECIAL ORDER ITEMS"/>
    <x v="3"/>
    <n v="9350"/>
    <n v="138761.41000000006"/>
    <m/>
    <n v="236"/>
  </r>
  <r>
    <x v="3"/>
    <x v="42"/>
    <s v="AMERICAN SLOE GINS"/>
    <x v="4"/>
    <n v="228"/>
    <n v="1947.12"/>
    <m/>
    <n v="39"/>
  </r>
  <r>
    <x v="3"/>
    <x v="42"/>
    <s v="CORN WHISKIES"/>
    <x v="6"/>
    <n v="861"/>
    <n v="17002.87"/>
    <m/>
    <n v="130"/>
  </r>
  <r>
    <x v="3"/>
    <x v="43"/>
    <s v="100% AGAVE TEQUILA"/>
    <x v="7"/>
    <n v="94104"/>
    <n v="2708053.0299999989"/>
    <m/>
    <n v="10800"/>
  </r>
  <r>
    <x v="3"/>
    <x v="43"/>
    <s v="AMERICAN DRY GINS"/>
    <x v="4"/>
    <n v="31566"/>
    <n v="296647.97000000242"/>
    <m/>
    <n v="2845"/>
  </r>
  <r>
    <x v="3"/>
    <x v="43"/>
    <s v="AMERICAN FLAVORED VODKA"/>
    <x v="5"/>
    <n v="92319"/>
    <n v="1049608.370000053"/>
    <m/>
    <n v="10367"/>
  </r>
  <r>
    <x v="3"/>
    <x v="43"/>
    <s v="AMERICAN SCHNAPPS"/>
    <x v="2"/>
    <n v="79194"/>
    <n v="635572.91000002495"/>
    <m/>
    <n v="7057"/>
  </r>
  <r>
    <x v="3"/>
    <x v="43"/>
    <s v="AMERICAN VODKAS"/>
    <x v="5"/>
    <n v="558102"/>
    <n v="5810282.1300000558"/>
    <m/>
    <n v="34344"/>
  </r>
  <r>
    <x v="3"/>
    <x v="43"/>
    <s v="BLENDED WHISKIES"/>
    <x v="6"/>
    <n v="71054"/>
    <n v="938132.33999998926"/>
    <m/>
    <n v="7907"/>
  </r>
  <r>
    <x v="3"/>
    <x v="43"/>
    <s v="CANADIAN WHISKIES"/>
    <x v="6"/>
    <n v="280733"/>
    <n v="4803933.8799998192"/>
    <m/>
    <n v="21273"/>
  </r>
  <r>
    <x v="3"/>
    <x v="43"/>
    <s v="COCKTAILS/RTD"/>
    <x v="3"/>
    <n v="41836"/>
    <n v="508979.1299999833"/>
    <m/>
    <n v="5980"/>
  </r>
  <r>
    <x v="3"/>
    <x v="43"/>
    <s v="FLAVORED RUM"/>
    <x v="0"/>
    <n v="39204"/>
    <n v="608426.57999999926"/>
    <m/>
    <n v="3818"/>
  </r>
  <r>
    <x v="3"/>
    <x v="43"/>
    <s v="IMPORTED BRANDIES"/>
    <x v="1"/>
    <n v="39772"/>
    <n v="919571.50999999081"/>
    <m/>
    <n v="3661"/>
  </r>
  <r>
    <x v="3"/>
    <x v="43"/>
    <s v="IMPORTED CORDIALS &amp; LIQUEURSS"/>
    <x v="2"/>
    <n v="47203"/>
    <n v="1117940.0300000063"/>
    <m/>
    <n v="4928"/>
  </r>
  <r>
    <x v="3"/>
    <x v="43"/>
    <s v="IMPORTED SCHNAPPS"/>
    <x v="2"/>
    <n v="27884"/>
    <n v="489931.9700000005"/>
    <m/>
    <n v="2832"/>
  </r>
  <r>
    <x v="3"/>
    <x v="43"/>
    <s v="MIXTO TEQUILA"/>
    <x v="7"/>
    <n v="72159"/>
    <n v="999972.88999999163"/>
    <m/>
    <n v="4711"/>
  </r>
  <r>
    <x v="3"/>
    <x v="43"/>
    <s v="NEUTRAL GRAIN SPIRITS FLAVORED"/>
    <x v="3"/>
    <n v="19069"/>
    <n v="319361.14000000211"/>
    <m/>
    <n v="3628"/>
  </r>
  <r>
    <x v="3"/>
    <x v="43"/>
    <s v="SPICED RUM"/>
    <x v="0"/>
    <n v="116375"/>
    <n v="1632293.889999904"/>
    <m/>
    <n v="8200"/>
  </r>
  <r>
    <x v="3"/>
    <x v="43"/>
    <s v="STRAIGHT BOURBON WHISKIES"/>
    <x v="6"/>
    <n v="157214"/>
    <n v="3591459.0100000221"/>
    <m/>
    <n v="16705"/>
  </r>
  <r>
    <x v="3"/>
    <x v="43"/>
    <s v="TEMPORARY &amp; SPECIALTY PACKAGES"/>
    <x v="3"/>
    <n v="81521"/>
    <n v="2142694.9699999359"/>
    <m/>
    <n v="9648"/>
  </r>
  <r>
    <x v="3"/>
    <x v="43"/>
    <s v="TENNESSEE WHISKIES"/>
    <x v="6"/>
    <n v="59357"/>
    <n v="1360843.3099999931"/>
    <m/>
    <n v="6166"/>
  </r>
  <r>
    <x v="3"/>
    <x v="43"/>
    <s v="WHISKEY LIQUEUR"/>
    <x v="6"/>
    <n v="386075"/>
    <n v="2409649.209999938"/>
    <m/>
    <n v="14174"/>
  </r>
  <r>
    <x v="3"/>
    <x v="43"/>
    <s v="WHITE RUM"/>
    <x v="0"/>
    <n v="36707"/>
    <n v="449777.32999999664"/>
    <m/>
    <n v="3468"/>
  </r>
  <r>
    <x v="3"/>
    <x v="43"/>
    <s v="AMERICAN CORDIALS &amp; LIQUEURSS"/>
    <x v="2"/>
    <n v="33142"/>
    <n v="352212.75000000611"/>
    <m/>
    <n v="5118"/>
  </r>
  <r>
    <x v="3"/>
    <x v="43"/>
    <s v="AGED DARK RUM"/>
    <x v="0"/>
    <n v="4069"/>
    <n v="89913.350000000049"/>
    <m/>
    <n v="603"/>
  </r>
  <r>
    <x v="3"/>
    <x v="43"/>
    <s v="AMERICAN BRANDIES"/>
    <x v="1"/>
    <n v="59696"/>
    <n v="391226.76000000222"/>
    <m/>
    <n v="4800"/>
  </r>
  <r>
    <x v="3"/>
    <x v="43"/>
    <s v="COFFEE LIQUEURS"/>
    <x v="2"/>
    <n v="11170"/>
    <n v="251063.23000000085"/>
    <m/>
    <n v="959"/>
  </r>
  <r>
    <x v="3"/>
    <x v="43"/>
    <s v="IMPORTED DRY GINS"/>
    <x v="4"/>
    <n v="17660"/>
    <n v="460858.67000000016"/>
    <m/>
    <n v="1816"/>
  </r>
  <r>
    <x v="3"/>
    <x v="43"/>
    <s v="IMPORTED VODKAS"/>
    <x v="5"/>
    <n v="62201"/>
    <n v="1023049.3299999895"/>
    <m/>
    <n v="4809"/>
  </r>
  <r>
    <x v="3"/>
    <x v="43"/>
    <s v="IRISH WHISKIES"/>
    <x v="6"/>
    <n v="32622"/>
    <n v="894274.8999999899"/>
    <m/>
    <n v="2640"/>
  </r>
  <r>
    <x v="3"/>
    <x v="43"/>
    <s v="SCOTCH WHISKIES"/>
    <x v="6"/>
    <n v="16218"/>
    <n v="503717.81999999925"/>
    <m/>
    <n v="2625"/>
  </r>
  <r>
    <x v="3"/>
    <x v="43"/>
    <s v="SINGLE BARREL BOURBON WHISKIES"/>
    <x v="6"/>
    <n v="5802"/>
    <n v="233871.3"/>
    <m/>
    <n v="867"/>
  </r>
  <r>
    <x v="3"/>
    <x v="43"/>
    <s v="SINGLE MALT SCOTCH"/>
    <x v="6"/>
    <n v="8991"/>
    <n v="498811.0299999984"/>
    <m/>
    <n v="1518"/>
  </r>
  <r>
    <x v="3"/>
    <x v="43"/>
    <s v="STRAIGHT RYE WHISKIES"/>
    <x v="6"/>
    <n v="13005"/>
    <n v="426936.16000000114"/>
    <m/>
    <n v="1719"/>
  </r>
  <r>
    <x v="3"/>
    <x v="43"/>
    <s v="CREAM LIQUEURS"/>
    <x v="2"/>
    <n v="48654"/>
    <n v="1009272.9399999959"/>
    <m/>
    <n v="4083"/>
  </r>
  <r>
    <x v="3"/>
    <x v="43"/>
    <s v="IMPORTED FLAVORED VODKA"/>
    <x v="5"/>
    <n v="24461"/>
    <n v="407166.66000000056"/>
    <m/>
    <n v="2309"/>
  </r>
  <r>
    <x v="3"/>
    <x v="43"/>
    <s v="AMERICAN DISTILLED SPIRITS SPECIALTY"/>
    <x v="3"/>
    <n v="9284"/>
    <n v="219232.33999999997"/>
    <m/>
    <n v="784"/>
  </r>
  <r>
    <x v="3"/>
    <x v="43"/>
    <s v="BOTTLED IN BOND BOURBON"/>
    <x v="6"/>
    <n v="2750"/>
    <n v="74344.880000000034"/>
    <m/>
    <n v="533"/>
  </r>
  <r>
    <x v="3"/>
    <x v="43"/>
    <s v="GOLD RUM"/>
    <x v="0"/>
    <n v="5706"/>
    <n v="79923.379999999845"/>
    <m/>
    <n v="844"/>
  </r>
  <r>
    <x v="3"/>
    <x v="43"/>
    <s v="NEUTRAL GRAIN SPIRITS"/>
    <x v="3"/>
    <n v="4383"/>
    <n v="62879.650000000023"/>
    <m/>
    <n v="507"/>
  </r>
  <r>
    <x v="3"/>
    <x v="43"/>
    <s v="TRIPLE SEC"/>
    <x v="3"/>
    <n v="16792"/>
    <n v="66391.12000000001"/>
    <m/>
    <n v="611"/>
  </r>
  <r>
    <x v="3"/>
    <x v="43"/>
    <s v="SPECIAL ORDER ITEMS"/>
    <x v="3"/>
    <n v="10311"/>
    <n v="123829.12000000023"/>
    <m/>
    <n v="214"/>
  </r>
  <r>
    <x v="3"/>
    <x v="43"/>
    <s v="CORN WHISKIES"/>
    <x v="6"/>
    <n v="756"/>
    <n v="18249.59"/>
    <m/>
    <n v="119"/>
  </r>
  <r>
    <x v="3"/>
    <x v="43"/>
    <s v="FLAVORED GIN"/>
    <x v="4"/>
    <n v="4321"/>
    <n v="110390.03"/>
    <m/>
    <n v="381"/>
  </r>
  <r>
    <x v="3"/>
    <x v="43"/>
    <s v="IMPORTED DISTILLED SPIRITS SPECIALTY"/>
    <x v="3"/>
    <n v="16875"/>
    <n v="141612.60999999975"/>
    <m/>
    <n v="607"/>
  </r>
  <r>
    <x v="3"/>
    <x v="43"/>
    <s v="MEZCAL"/>
    <x v="7"/>
    <n v="1357"/>
    <n v="47619.219999999979"/>
    <m/>
    <n v="265"/>
  </r>
  <r>
    <x v="3"/>
    <x v="43"/>
    <s v="AMERICAN SLOE GINS"/>
    <x v="4"/>
    <n v="211"/>
    <n v="1780.4599999999998"/>
    <m/>
    <n v="42"/>
  </r>
  <r>
    <x v="3"/>
    <x v="44"/>
    <s v="AMERICAN VODKAS"/>
    <x v="5"/>
    <n v="560047"/>
    <n v="6139910.6999999927"/>
    <m/>
    <n v="33644"/>
  </r>
  <r>
    <x v="3"/>
    <x v="44"/>
    <s v="SPICED RUM"/>
    <x v="0"/>
    <n v="174165"/>
    <n v="3445332.7299998528"/>
    <m/>
    <n v="8799"/>
  </r>
  <r>
    <x v="3"/>
    <x v="44"/>
    <s v="100% AGAVE TEQUILA"/>
    <x v="7"/>
    <n v="86306"/>
    <n v="2509653.3299999502"/>
    <m/>
    <n v="10691"/>
  </r>
  <r>
    <x v="3"/>
    <x v="44"/>
    <s v="AMERICAN BRANDIES"/>
    <x v="1"/>
    <n v="65479"/>
    <n v="438799.43000000354"/>
    <m/>
    <n v="5348"/>
  </r>
  <r>
    <x v="3"/>
    <x v="44"/>
    <s v="AMERICAN CORDIALS &amp; LIQUEURSS"/>
    <x v="2"/>
    <n v="34145"/>
    <n v="387905.24000001093"/>
    <m/>
    <n v="5447"/>
  </r>
  <r>
    <x v="3"/>
    <x v="44"/>
    <s v="AMERICAN DRY GINS"/>
    <x v="4"/>
    <n v="29191"/>
    <n v="271880.61000000092"/>
    <m/>
    <n v="2653"/>
  </r>
  <r>
    <x v="3"/>
    <x v="44"/>
    <s v="AMERICAN FLAVORED VODKA"/>
    <x v="5"/>
    <n v="79114"/>
    <n v="894647.580000035"/>
    <m/>
    <n v="9770"/>
  </r>
  <r>
    <x v="3"/>
    <x v="44"/>
    <s v="AMERICAN SCHNAPPS"/>
    <x v="2"/>
    <n v="83000"/>
    <n v="655486.38000002725"/>
    <m/>
    <n v="7396"/>
  </r>
  <r>
    <x v="3"/>
    <x v="44"/>
    <s v="BLENDED WHISKIES"/>
    <x v="6"/>
    <n v="70878"/>
    <n v="932821.44999998843"/>
    <m/>
    <n v="8178"/>
  </r>
  <r>
    <x v="3"/>
    <x v="44"/>
    <s v="CANADIAN WHISKIES"/>
    <x v="6"/>
    <n v="229106"/>
    <n v="3697561.2199997799"/>
    <m/>
    <n v="20971"/>
  </r>
  <r>
    <x v="3"/>
    <x v="44"/>
    <s v="IMPORTED BRANDIES"/>
    <x v="1"/>
    <n v="40383"/>
    <n v="968056.66999998933"/>
    <m/>
    <n v="3877"/>
  </r>
  <r>
    <x v="3"/>
    <x v="44"/>
    <s v="IMPORTED VODKAS"/>
    <x v="5"/>
    <n v="55360"/>
    <n v="921195.92999998818"/>
    <m/>
    <n v="4566"/>
  </r>
  <r>
    <x v="3"/>
    <x v="44"/>
    <s v="STRAIGHT BOURBON WHISKIES"/>
    <x v="6"/>
    <n v="143305"/>
    <n v="3242222.9599999865"/>
    <m/>
    <n v="17638"/>
  </r>
  <r>
    <x v="3"/>
    <x v="44"/>
    <s v="TENNESSEE WHISKIES"/>
    <x v="6"/>
    <n v="57782"/>
    <n v="1264800.7399999774"/>
    <m/>
    <n v="6869"/>
  </r>
  <r>
    <x v="3"/>
    <x v="44"/>
    <s v="WHISKEY LIQUEUR"/>
    <x v="6"/>
    <n v="392682"/>
    <n v="2330214.0699999547"/>
    <m/>
    <n v="14390"/>
  </r>
  <r>
    <x v="3"/>
    <x v="44"/>
    <s v="FLAVORED RUM"/>
    <x v="0"/>
    <n v="36365"/>
    <n v="560387.35000000033"/>
    <m/>
    <n v="4040"/>
  </r>
  <r>
    <x v="3"/>
    <x v="44"/>
    <s v="IMPORTED SCHNAPPS"/>
    <x v="2"/>
    <n v="28516"/>
    <n v="497186.8000000008"/>
    <m/>
    <n v="2805"/>
  </r>
  <r>
    <x v="3"/>
    <x v="44"/>
    <s v="TEMPORARY &amp; SPECIALTY PACKAGES"/>
    <x v="3"/>
    <n v="48994"/>
    <n v="1292484.9799999839"/>
    <m/>
    <n v="7144"/>
  </r>
  <r>
    <x v="3"/>
    <x v="44"/>
    <s v="COCKTAILS/RTD"/>
    <x v="3"/>
    <n v="38032"/>
    <n v="474881.04999998363"/>
    <m/>
    <n v="5613"/>
  </r>
  <r>
    <x v="3"/>
    <x v="44"/>
    <s v="COFFEE LIQUEURS"/>
    <x v="2"/>
    <n v="10887"/>
    <n v="239699.3600000013"/>
    <m/>
    <n v="1200"/>
  </r>
  <r>
    <x v="3"/>
    <x v="44"/>
    <s v="CREAM LIQUEURS"/>
    <x v="2"/>
    <n v="51389"/>
    <n v="1052182.2999999919"/>
    <m/>
    <n v="5122"/>
  </r>
  <r>
    <x v="3"/>
    <x v="44"/>
    <s v="FLAVORED GIN"/>
    <x v="4"/>
    <n v="3014"/>
    <n v="76574.840000000026"/>
    <m/>
    <n v="385"/>
  </r>
  <r>
    <x v="3"/>
    <x v="44"/>
    <s v="IMPORTED CORDIALS &amp; LIQUEURSS"/>
    <x v="2"/>
    <n v="48464"/>
    <n v="1147351.0600000028"/>
    <m/>
    <n v="5407"/>
  </r>
  <r>
    <x v="3"/>
    <x v="44"/>
    <s v="IMPORTED DISTILLED SPIRITS SPECIALTY"/>
    <x v="3"/>
    <n v="28198"/>
    <n v="214602.1500000002"/>
    <m/>
    <n v="637"/>
  </r>
  <r>
    <x v="3"/>
    <x v="44"/>
    <s v="IMPORTED DRY GINS"/>
    <x v="4"/>
    <n v="14337"/>
    <n v="363093.38000000018"/>
    <m/>
    <n v="1843"/>
  </r>
  <r>
    <x v="3"/>
    <x v="44"/>
    <s v="IMPORTED FLAVORED VODKA"/>
    <x v="5"/>
    <n v="18149"/>
    <n v="312609.45000000147"/>
    <m/>
    <n v="2197"/>
  </r>
  <r>
    <x v="3"/>
    <x v="44"/>
    <s v="IRISH WHISKIES"/>
    <x v="6"/>
    <n v="27095"/>
    <n v="761034.98999998975"/>
    <m/>
    <n v="3007"/>
  </r>
  <r>
    <x v="3"/>
    <x v="44"/>
    <s v="MEZCAL"/>
    <x v="7"/>
    <n v="1258"/>
    <n v="40653.549999999981"/>
    <m/>
    <n v="251"/>
  </r>
  <r>
    <x v="3"/>
    <x v="44"/>
    <s v="MIXTO TEQUILA"/>
    <x v="7"/>
    <n v="56861"/>
    <n v="796633.32999999414"/>
    <m/>
    <n v="4448"/>
  </r>
  <r>
    <x v="3"/>
    <x v="44"/>
    <s v="NEUTRAL GRAIN SPIRITS FLAVORED"/>
    <x v="3"/>
    <n v="18447"/>
    <n v="308047.53000000224"/>
    <m/>
    <n v="3506"/>
  </r>
  <r>
    <x v="3"/>
    <x v="44"/>
    <s v="SCOTCH WHISKIES"/>
    <x v="6"/>
    <n v="16781"/>
    <n v="527677.50999999908"/>
    <m/>
    <n v="2790"/>
  </r>
  <r>
    <x v="3"/>
    <x v="44"/>
    <s v="SINGLE BARREL BOURBON WHISKIES"/>
    <x v="6"/>
    <n v="9141"/>
    <n v="436675.99999999994"/>
    <m/>
    <n v="844"/>
  </r>
  <r>
    <x v="3"/>
    <x v="44"/>
    <s v="SPECIAL ORDER ITEMS"/>
    <x v="3"/>
    <n v="5726"/>
    <n v="73378.14999999998"/>
    <m/>
    <n v="215"/>
  </r>
  <r>
    <x v="3"/>
    <x v="44"/>
    <s v="STRAIGHT RYE WHISKIES"/>
    <x v="6"/>
    <n v="11715"/>
    <n v="466604.74000000319"/>
    <m/>
    <n v="2058"/>
  </r>
  <r>
    <x v="3"/>
    <x v="44"/>
    <s v="WHITE RUM"/>
    <x v="0"/>
    <n v="38450"/>
    <n v="460907.80999999691"/>
    <m/>
    <n v="3524"/>
  </r>
  <r>
    <x v="3"/>
    <x v="44"/>
    <s v="SINGLE MALT SCOTCH"/>
    <x v="6"/>
    <n v="8623"/>
    <n v="508161.4199999976"/>
    <m/>
    <n v="1929"/>
  </r>
  <r>
    <x v="3"/>
    <x v="44"/>
    <s v="TRIPLE SEC"/>
    <x v="3"/>
    <n v="15651"/>
    <n v="64903.780000000013"/>
    <m/>
    <n v="651"/>
  </r>
  <r>
    <x v="3"/>
    <x v="44"/>
    <s v="AMERICAN DISTILLED SPIRITS SPECIALTY"/>
    <x v="3"/>
    <n v="7450"/>
    <n v="163009.92999999973"/>
    <m/>
    <n v="888"/>
  </r>
  <r>
    <x v="3"/>
    <x v="44"/>
    <s v="BOTTLED IN BOND BOURBON"/>
    <x v="6"/>
    <n v="3057"/>
    <n v="84981.59000000004"/>
    <m/>
    <n v="603"/>
  </r>
  <r>
    <x v="3"/>
    <x v="44"/>
    <s v="GOLD RUM"/>
    <x v="0"/>
    <n v="6473"/>
    <n v="88385.979999999632"/>
    <m/>
    <n v="960"/>
  </r>
  <r>
    <x v="3"/>
    <x v="44"/>
    <s v="NEUTRAL GRAIN SPIRITS"/>
    <x v="3"/>
    <n v="5018"/>
    <n v="71432.53999999995"/>
    <m/>
    <n v="547"/>
  </r>
  <r>
    <x v="3"/>
    <x v="44"/>
    <s v="AGED DARK RUM"/>
    <x v="0"/>
    <n v="4169"/>
    <n v="90956.770000000091"/>
    <m/>
    <n v="703"/>
  </r>
  <r>
    <x v="3"/>
    <x v="44"/>
    <s v="AMERICAN SLOE GINS"/>
    <x v="4"/>
    <n v="257"/>
    <n v="2158.9799999999991"/>
    <m/>
    <n v="53"/>
  </r>
  <r>
    <x v="3"/>
    <x v="44"/>
    <s v="CORN WHISKIES"/>
    <x v="6"/>
    <n v="533"/>
    <n v="12527.13"/>
    <m/>
    <n v="86"/>
  </r>
  <r>
    <x v="3"/>
    <x v="45"/>
    <s v="100% AGAVE TEQUILA"/>
    <x v="7"/>
    <n v="101885"/>
    <n v="3098841.9699999592"/>
    <m/>
    <n v="11965"/>
  </r>
  <r>
    <x v="3"/>
    <x v="45"/>
    <s v="AMERICAN CORDIALS &amp; LIQUEURSS"/>
    <x v="2"/>
    <n v="41727"/>
    <n v="451623.99000001675"/>
    <m/>
    <n v="6359"/>
  </r>
  <r>
    <x v="3"/>
    <x v="45"/>
    <s v="AMERICAN FLAVORED VODKA"/>
    <x v="5"/>
    <n v="82772"/>
    <n v="953424.21000004816"/>
    <m/>
    <n v="10078"/>
  </r>
  <r>
    <x v="3"/>
    <x v="45"/>
    <s v="AMERICAN SCHNAPPS"/>
    <x v="2"/>
    <n v="87872"/>
    <n v="668772.330000035"/>
    <m/>
    <n v="7963"/>
  </r>
  <r>
    <x v="3"/>
    <x v="45"/>
    <s v="AMERICAN VODKAS"/>
    <x v="5"/>
    <n v="505523"/>
    <n v="4781109.2500001369"/>
    <m/>
    <n v="32838"/>
  </r>
  <r>
    <x v="3"/>
    <x v="45"/>
    <s v="CANADIAN WHISKIES"/>
    <x v="6"/>
    <n v="303899"/>
    <n v="5182652.6399999"/>
    <m/>
    <n v="23454"/>
  </r>
  <r>
    <x v="3"/>
    <x v="45"/>
    <s v="IMPORTED BRANDIES"/>
    <x v="1"/>
    <n v="43597"/>
    <n v="1025697.9099999872"/>
    <m/>
    <n v="3869"/>
  </r>
  <r>
    <x v="3"/>
    <x v="45"/>
    <s v="IMPORTED CORDIALS &amp; LIQUEURSS"/>
    <x v="2"/>
    <n v="50705"/>
    <n v="1179930.0199999972"/>
    <m/>
    <n v="5957"/>
  </r>
  <r>
    <x v="3"/>
    <x v="45"/>
    <s v="SPICED RUM"/>
    <x v="0"/>
    <n v="115219"/>
    <n v="1659071.5399998836"/>
    <m/>
    <n v="8844"/>
  </r>
  <r>
    <x v="3"/>
    <x v="45"/>
    <s v="STRAIGHT BOURBON WHISKIES"/>
    <x v="6"/>
    <n v="170365"/>
    <n v="4217630.8399999933"/>
    <m/>
    <n v="20413"/>
  </r>
  <r>
    <x v="3"/>
    <x v="45"/>
    <s v="WHISKEY LIQUEUR"/>
    <x v="6"/>
    <n v="385434"/>
    <n v="2305628.329999961"/>
    <m/>
    <n v="14471"/>
  </r>
  <r>
    <x v="3"/>
    <x v="45"/>
    <s v="AMERICAN BRANDIES"/>
    <x v="1"/>
    <n v="67871"/>
    <n v="467311.86000000336"/>
    <m/>
    <n v="5840"/>
  </r>
  <r>
    <x v="3"/>
    <x v="45"/>
    <s v="AMERICAN DISTILLED SPIRITS SPECIALTY"/>
    <x v="3"/>
    <n v="9101"/>
    <n v="194715.38000000085"/>
    <m/>
    <n v="1060"/>
  </r>
  <r>
    <x v="3"/>
    <x v="45"/>
    <s v="BOTTLED IN BOND BOURBON"/>
    <x v="6"/>
    <n v="3632"/>
    <n v="109807.21000000008"/>
    <m/>
    <n v="723"/>
  </r>
  <r>
    <x v="3"/>
    <x v="45"/>
    <s v="IMPORTED VODKAS"/>
    <x v="5"/>
    <n v="57844"/>
    <n v="1039770.3699999851"/>
    <m/>
    <n v="5238"/>
  </r>
  <r>
    <x v="3"/>
    <x v="45"/>
    <s v="IRISH WHISKIES"/>
    <x v="6"/>
    <n v="31264"/>
    <n v="879605.09999997914"/>
    <m/>
    <n v="3244"/>
  </r>
  <r>
    <x v="3"/>
    <x v="45"/>
    <s v="MIXTO TEQUILA"/>
    <x v="7"/>
    <n v="67399"/>
    <n v="979618.84999999264"/>
    <m/>
    <n v="4599"/>
  </r>
  <r>
    <x v="3"/>
    <x v="45"/>
    <s v="NEUTRAL GRAIN SPIRITS FLAVORED"/>
    <x v="3"/>
    <n v="20729"/>
    <n v="344961.78000000177"/>
    <m/>
    <n v="3994"/>
  </r>
  <r>
    <x v="3"/>
    <x v="45"/>
    <s v="TENNESSEE WHISKIES"/>
    <x v="6"/>
    <n v="69779"/>
    <n v="1660275.4599999939"/>
    <m/>
    <n v="7369"/>
  </r>
  <r>
    <x v="3"/>
    <x v="45"/>
    <s v="WHITE RUM"/>
    <x v="0"/>
    <n v="38552"/>
    <n v="480182.07999999577"/>
    <m/>
    <n v="3841"/>
  </r>
  <r>
    <x v="3"/>
    <x v="45"/>
    <s v="AMERICAN DRY GINS"/>
    <x v="4"/>
    <n v="28234"/>
    <n v="267338.94000000111"/>
    <m/>
    <n v="2747"/>
  </r>
  <r>
    <x v="3"/>
    <x v="45"/>
    <s v="BLENDED WHISKIES"/>
    <x v="6"/>
    <n v="75020"/>
    <n v="953049.34999998636"/>
    <m/>
    <n v="8160"/>
  </r>
  <r>
    <x v="3"/>
    <x v="45"/>
    <s v="COCKTAILS/RTD"/>
    <x v="3"/>
    <n v="47509"/>
    <n v="611999.05999998352"/>
    <m/>
    <n v="7008"/>
  </r>
  <r>
    <x v="3"/>
    <x v="45"/>
    <s v="COFFEE LIQUEURS"/>
    <x v="2"/>
    <n v="13949"/>
    <n v="303738.70000000135"/>
    <m/>
    <n v="1574"/>
  </r>
  <r>
    <x v="3"/>
    <x v="45"/>
    <s v="CREAM LIQUEURS"/>
    <x v="2"/>
    <n v="62894"/>
    <n v="1332456.3799999817"/>
    <m/>
    <n v="6625"/>
  </r>
  <r>
    <x v="3"/>
    <x v="45"/>
    <s v="FLAVORED RUM"/>
    <x v="0"/>
    <n v="36543"/>
    <n v="577846.53999999969"/>
    <m/>
    <n v="4031"/>
  </r>
  <r>
    <x v="3"/>
    <x v="45"/>
    <s v="GOLD RUM"/>
    <x v="0"/>
    <n v="7383"/>
    <n v="101575.26999999945"/>
    <m/>
    <n v="1102"/>
  </r>
  <r>
    <x v="3"/>
    <x v="45"/>
    <s v="IMPORTED SCHNAPPS"/>
    <x v="2"/>
    <n v="30268"/>
    <n v="539125.10999999952"/>
    <m/>
    <n v="3106"/>
  </r>
  <r>
    <x v="3"/>
    <x v="45"/>
    <s v="NEUTRAL GRAIN SPIRITS"/>
    <x v="3"/>
    <n v="4623"/>
    <n v="64710.119999999981"/>
    <m/>
    <n v="560"/>
  </r>
  <r>
    <x v="3"/>
    <x v="45"/>
    <s v="SCOTCH WHISKIES"/>
    <x v="6"/>
    <n v="21502"/>
    <n v="702381.03999999154"/>
    <m/>
    <n v="3203"/>
  </r>
  <r>
    <x v="3"/>
    <x v="45"/>
    <s v="STRAIGHT RYE WHISKIES"/>
    <x v="6"/>
    <n v="15380"/>
    <n v="506315.76000000659"/>
    <m/>
    <n v="2585"/>
  </r>
  <r>
    <x v="3"/>
    <x v="45"/>
    <s v="TEMPORARY &amp; SPECIALTY PACKAGES"/>
    <x v="3"/>
    <n v="40274"/>
    <n v="1159252.3999999845"/>
    <m/>
    <n v="7733"/>
  </r>
  <r>
    <x v="3"/>
    <x v="45"/>
    <s v="IMPORTED DRY GINS"/>
    <x v="4"/>
    <n v="17387"/>
    <n v="449051.50999999943"/>
    <m/>
    <n v="2095"/>
  </r>
  <r>
    <x v="3"/>
    <x v="45"/>
    <s v="IMPORTED FLAVORED VODKA"/>
    <x v="5"/>
    <n v="20355"/>
    <n v="350982.51000000071"/>
    <m/>
    <n v="2617"/>
  </r>
  <r>
    <x v="3"/>
    <x v="45"/>
    <s v="SINGLE MALT SCOTCH"/>
    <x v="6"/>
    <n v="8231"/>
    <n v="505918.65999999538"/>
    <m/>
    <n v="2297"/>
  </r>
  <r>
    <x v="3"/>
    <x v="45"/>
    <s v="SPECIAL ORDER ITEMS"/>
    <x v="3"/>
    <n v="3374"/>
    <n v="60183.010000000038"/>
    <m/>
    <n v="240"/>
  </r>
  <r>
    <x v="3"/>
    <x v="45"/>
    <s v="TRIPLE SEC"/>
    <x v="3"/>
    <n v="14953"/>
    <n v="62860.400000000023"/>
    <m/>
    <n v="747"/>
  </r>
  <r>
    <x v="3"/>
    <x v="45"/>
    <s v="IMPORTED DISTILLED SPIRITS SPECIALTY"/>
    <x v="3"/>
    <n v="22763"/>
    <n v="179603.82000000021"/>
    <m/>
    <n v="612"/>
  </r>
  <r>
    <x v="3"/>
    <x v="45"/>
    <s v="CORN WHISKIES"/>
    <x v="6"/>
    <n v="615"/>
    <n v="15763.449999999999"/>
    <m/>
    <n v="93"/>
  </r>
  <r>
    <x v="3"/>
    <x v="45"/>
    <s v="FLAVORED GIN"/>
    <x v="4"/>
    <n v="4198"/>
    <n v="109428.57000000004"/>
    <m/>
    <n v="417"/>
  </r>
  <r>
    <x v="3"/>
    <x v="45"/>
    <s v="SINGLE BARREL BOURBON WHISKIES"/>
    <x v="6"/>
    <n v="6046"/>
    <n v="243367.82999999996"/>
    <m/>
    <n v="791"/>
  </r>
  <r>
    <x v="3"/>
    <x v="45"/>
    <s v="AGED DARK RUM"/>
    <x v="0"/>
    <n v="5275"/>
    <n v="119876.29000000026"/>
    <m/>
    <n v="869"/>
  </r>
  <r>
    <x v="3"/>
    <x v="45"/>
    <s v="AMERICAN SLOE GINS"/>
    <x v="4"/>
    <n v="369"/>
    <n v="3079.6599999999985"/>
    <m/>
    <n v="64"/>
  </r>
  <r>
    <x v="3"/>
    <x v="45"/>
    <s v="MEZCAL"/>
    <x v="7"/>
    <n v="1328"/>
    <n v="44537.079999999973"/>
    <m/>
    <n v="256"/>
  </r>
  <r>
    <x v="3"/>
    <x v="46"/>
    <s v="AMERICAN SCHNAPPS"/>
    <x v="2"/>
    <n v="77212"/>
    <n v="636296.09000002686"/>
    <m/>
    <n v="7035"/>
  </r>
  <r>
    <x v="3"/>
    <x v="46"/>
    <s v="BLENDED WHISKIES"/>
    <x v="6"/>
    <n v="66948"/>
    <n v="825361.07999999006"/>
    <m/>
    <n v="7531"/>
  </r>
  <r>
    <x v="3"/>
    <x v="46"/>
    <s v="CANADIAN WHISKIES"/>
    <x v="6"/>
    <n v="231577"/>
    <n v="3592864.5799998022"/>
    <m/>
    <n v="21354"/>
  </r>
  <r>
    <x v="3"/>
    <x v="46"/>
    <s v="CREAM LIQUEURS"/>
    <x v="2"/>
    <n v="27976"/>
    <n v="573190.84999999136"/>
    <m/>
    <n v="4112"/>
  </r>
  <r>
    <x v="3"/>
    <x v="46"/>
    <s v="FLAVORED RUM"/>
    <x v="0"/>
    <n v="50735"/>
    <n v="777218.83999999601"/>
    <m/>
    <n v="5028"/>
  </r>
  <r>
    <x v="3"/>
    <x v="46"/>
    <s v="GOLD RUM"/>
    <x v="0"/>
    <n v="6300"/>
    <n v="83461.299999999712"/>
    <m/>
    <n v="925"/>
  </r>
  <r>
    <x v="3"/>
    <x v="46"/>
    <s v="IMPORTED SCHNAPPS"/>
    <x v="2"/>
    <n v="32441"/>
    <n v="561100.74999999872"/>
    <m/>
    <n v="3193"/>
  </r>
  <r>
    <x v="3"/>
    <x v="46"/>
    <s v="IRISH WHISKIES"/>
    <x v="6"/>
    <n v="28594"/>
    <n v="796712.88999998872"/>
    <m/>
    <n v="2654"/>
  </r>
  <r>
    <x v="3"/>
    <x v="46"/>
    <s v="SPICED RUM"/>
    <x v="0"/>
    <n v="108114"/>
    <n v="1520915.9899999427"/>
    <m/>
    <n v="8554"/>
  </r>
  <r>
    <x v="3"/>
    <x v="46"/>
    <s v="AMERICAN FLAVORED VODKA"/>
    <x v="5"/>
    <n v="95848"/>
    <n v="1082180.0700000515"/>
    <m/>
    <n v="11432"/>
  </r>
  <r>
    <x v="3"/>
    <x v="46"/>
    <s v="AMERICAN VODKAS"/>
    <x v="5"/>
    <n v="638019"/>
    <n v="7226201.0699996212"/>
    <m/>
    <n v="38380"/>
  </r>
  <r>
    <x v="3"/>
    <x v="46"/>
    <s v="AMERICAN BRANDIES"/>
    <x v="1"/>
    <n v="58903"/>
    <n v="374567.88000000187"/>
    <m/>
    <n v="4670"/>
  </r>
  <r>
    <x v="3"/>
    <x v="46"/>
    <s v="AMERICAN DISTILLED SPIRITS SPECIALTY"/>
    <x v="3"/>
    <n v="5927"/>
    <n v="130010.41999999974"/>
    <m/>
    <n v="845"/>
  </r>
  <r>
    <x v="3"/>
    <x v="46"/>
    <s v="COCKTAILS/RTD"/>
    <x v="3"/>
    <n v="59237"/>
    <n v="707905.93999998958"/>
    <m/>
    <n v="7161"/>
  </r>
  <r>
    <x v="3"/>
    <x v="46"/>
    <s v="IMPORTED VODKAS"/>
    <x v="5"/>
    <n v="71064"/>
    <n v="1179855.3999999661"/>
    <m/>
    <n v="5301"/>
  </r>
  <r>
    <x v="3"/>
    <x v="46"/>
    <s v="MIXTO TEQUILA"/>
    <x v="7"/>
    <n v="77589"/>
    <n v="1141825.2699999919"/>
    <m/>
    <n v="5299"/>
  </r>
  <r>
    <x v="3"/>
    <x v="46"/>
    <s v="NEUTRAL GRAIN SPIRITS FLAVORED"/>
    <x v="3"/>
    <n v="19918"/>
    <n v="330223.36000000144"/>
    <m/>
    <n v="3772"/>
  </r>
  <r>
    <x v="3"/>
    <x v="46"/>
    <s v="STRAIGHT BOURBON WHISKIES"/>
    <x v="6"/>
    <n v="156315"/>
    <n v="3543530.4799999958"/>
    <m/>
    <n v="16744"/>
  </r>
  <r>
    <x v="3"/>
    <x v="46"/>
    <s v="STRAIGHT RYE WHISKIES"/>
    <x v="6"/>
    <n v="12803"/>
    <n v="418020.50000000244"/>
    <m/>
    <n v="1822"/>
  </r>
  <r>
    <x v="3"/>
    <x v="46"/>
    <s v="TENNESSEE WHISKIES"/>
    <x v="6"/>
    <n v="87077"/>
    <n v="2150884.0299999923"/>
    <m/>
    <n v="6690"/>
  </r>
  <r>
    <x v="3"/>
    <x v="46"/>
    <s v="WHISKEY LIQUEUR"/>
    <x v="6"/>
    <n v="382095"/>
    <n v="2192979.9799999441"/>
    <m/>
    <n v="14474"/>
  </r>
  <r>
    <x v="3"/>
    <x v="46"/>
    <s v="WHITE RUM"/>
    <x v="0"/>
    <n v="45516"/>
    <n v="550639.89999999863"/>
    <m/>
    <n v="4097"/>
  </r>
  <r>
    <x v="3"/>
    <x v="46"/>
    <s v="100% AGAVE TEQUILA"/>
    <x v="7"/>
    <n v="105015"/>
    <n v="2993283.6299999817"/>
    <m/>
    <n v="11711"/>
  </r>
  <r>
    <x v="3"/>
    <x v="46"/>
    <s v="AMERICAN CORDIALS &amp; LIQUEURSS"/>
    <x v="2"/>
    <n v="32824"/>
    <n v="373638.19000000664"/>
    <m/>
    <n v="5424"/>
  </r>
  <r>
    <x v="3"/>
    <x v="46"/>
    <s v="IMPORTED DRY GINS"/>
    <x v="4"/>
    <n v="21435"/>
    <n v="545636.01999999839"/>
    <m/>
    <n v="2389"/>
  </r>
  <r>
    <x v="3"/>
    <x v="46"/>
    <s v="SPECIAL ORDER ITEMS"/>
    <x v="3"/>
    <n v="9993"/>
    <n v="122813.29000000002"/>
    <m/>
    <n v="243"/>
  </r>
  <r>
    <x v="3"/>
    <x v="46"/>
    <s v="AMERICAN DRY GINS"/>
    <x v="4"/>
    <n v="30708"/>
    <n v="288325.72000000253"/>
    <m/>
    <n v="3073"/>
  </r>
  <r>
    <x v="3"/>
    <x v="46"/>
    <s v="COFFEE LIQUEURS"/>
    <x v="2"/>
    <n v="6736"/>
    <n v="140431.27000000069"/>
    <m/>
    <n v="868"/>
  </r>
  <r>
    <x v="3"/>
    <x v="46"/>
    <s v="IMPORTED BRANDIES"/>
    <x v="1"/>
    <n v="38172"/>
    <n v="926330.36999998975"/>
    <m/>
    <n v="3428"/>
  </r>
  <r>
    <x v="3"/>
    <x v="46"/>
    <s v="IMPORTED CORDIALS &amp; LIQUEURSS"/>
    <x v="2"/>
    <n v="42609"/>
    <n v="1004727.220000007"/>
    <m/>
    <n v="4871"/>
  </r>
  <r>
    <x v="3"/>
    <x v="46"/>
    <s v="SCOTCH WHISKIES"/>
    <x v="6"/>
    <n v="15954"/>
    <n v="456536.48999999987"/>
    <m/>
    <n v="2546"/>
  </r>
  <r>
    <x v="3"/>
    <x v="46"/>
    <s v="SINGLE MALT SCOTCH"/>
    <x v="6"/>
    <n v="6233"/>
    <n v="331485.42999999935"/>
    <m/>
    <n v="1321"/>
  </r>
  <r>
    <x v="3"/>
    <x v="46"/>
    <s v="TEMPORARY &amp; SPECIALTY PACKAGES"/>
    <x v="3"/>
    <n v="32146"/>
    <n v="875027.07999999844"/>
    <m/>
    <n v="5587"/>
  </r>
  <r>
    <x v="3"/>
    <x v="46"/>
    <s v="IMPORTED FLAVORED VODKA"/>
    <x v="5"/>
    <n v="26643"/>
    <n v="449541.42000000185"/>
    <m/>
    <n v="3007"/>
  </r>
  <r>
    <x v="3"/>
    <x v="46"/>
    <s v="AGED DARK RUM"/>
    <x v="0"/>
    <n v="3905"/>
    <n v="84393.240000000049"/>
    <m/>
    <n v="632"/>
  </r>
  <r>
    <x v="3"/>
    <x v="46"/>
    <s v="IMPORTED DISTILLED SPIRITS SPECIALTY"/>
    <x v="3"/>
    <n v="28160"/>
    <n v="223819.35999999987"/>
    <m/>
    <n v="587"/>
  </r>
  <r>
    <x v="3"/>
    <x v="46"/>
    <s v="NEUTRAL GRAIN SPIRITS"/>
    <x v="3"/>
    <n v="3452"/>
    <n v="48181.950000000004"/>
    <m/>
    <n v="440"/>
  </r>
  <r>
    <x v="3"/>
    <x v="46"/>
    <s v="SINGLE BARREL BOURBON WHISKIES"/>
    <x v="6"/>
    <n v="4804"/>
    <n v="185221.39"/>
    <m/>
    <n v="542"/>
  </r>
  <r>
    <x v="3"/>
    <x v="46"/>
    <s v="FLAVORED GIN"/>
    <x v="4"/>
    <n v="3881"/>
    <n v="98640.720000000016"/>
    <m/>
    <n v="486"/>
  </r>
  <r>
    <x v="3"/>
    <x v="46"/>
    <s v="TRIPLE SEC"/>
    <x v="3"/>
    <n v="18820"/>
    <n v="78650.219999999841"/>
    <m/>
    <n v="778"/>
  </r>
  <r>
    <x v="3"/>
    <x v="46"/>
    <s v="BOTTLED IN BOND BOURBON"/>
    <x v="6"/>
    <n v="3494"/>
    <n v="109373.27000000005"/>
    <m/>
    <n v="1001"/>
  </r>
  <r>
    <x v="3"/>
    <x v="46"/>
    <s v="MEZCAL"/>
    <x v="7"/>
    <n v="1241"/>
    <n v="41130.94999999999"/>
    <m/>
    <n v="234"/>
  </r>
  <r>
    <x v="3"/>
    <x v="46"/>
    <s v="CORN WHISKIES"/>
    <x v="6"/>
    <n v="522"/>
    <n v="12389.25"/>
    <m/>
    <n v="93"/>
  </r>
  <r>
    <x v="3"/>
    <x v="46"/>
    <s v="AMERICAN SLOE GINS"/>
    <x v="4"/>
    <n v="300"/>
    <n v="2520.8299999999986"/>
    <m/>
    <n v="55"/>
  </r>
  <r>
    <x v="3"/>
    <x v="47"/>
    <s v="100% AGAVE TEQUILA"/>
    <x v="7"/>
    <n v="93488"/>
    <n v="2690979.1299999538"/>
    <m/>
    <n v="10513"/>
  </r>
  <r>
    <x v="3"/>
    <x v="47"/>
    <s v="AMERICAN FLAVORED VODKA"/>
    <x v="5"/>
    <n v="75567"/>
    <n v="869022.44000003906"/>
    <m/>
    <n v="9697"/>
  </r>
  <r>
    <x v="3"/>
    <x v="47"/>
    <s v="AMERICAN VODKAS"/>
    <x v="5"/>
    <n v="520145"/>
    <n v="5098737.3300000541"/>
    <m/>
    <n v="33744"/>
  </r>
  <r>
    <x v="3"/>
    <x v="47"/>
    <s v="BLENDED WHISKIES"/>
    <x v="6"/>
    <n v="67633"/>
    <n v="904885.20999998727"/>
    <m/>
    <n v="7193"/>
  </r>
  <r>
    <x v="3"/>
    <x v="47"/>
    <s v="CANADIAN WHISKIES"/>
    <x v="6"/>
    <n v="248527"/>
    <n v="3933759.4499998107"/>
    <m/>
    <n v="19485"/>
  </r>
  <r>
    <x v="3"/>
    <x v="47"/>
    <s v="NEUTRAL GRAIN SPIRITS FLAVORED"/>
    <x v="3"/>
    <n v="18139"/>
    <n v="302965.19000000262"/>
    <m/>
    <n v="3506"/>
  </r>
  <r>
    <x v="3"/>
    <x v="47"/>
    <s v="SPICED RUM"/>
    <x v="0"/>
    <n v="116661"/>
    <n v="1916039.0599999244"/>
    <m/>
    <n v="8073"/>
  </r>
  <r>
    <x v="3"/>
    <x v="47"/>
    <s v="STRAIGHT BOURBON WHISKIES"/>
    <x v="6"/>
    <n v="138708"/>
    <n v="3022682.0400000033"/>
    <m/>
    <n v="16478"/>
  </r>
  <r>
    <x v="3"/>
    <x v="47"/>
    <s v="WHISKEY LIQUEUR"/>
    <x v="6"/>
    <n v="356872"/>
    <n v="2164378.0399999414"/>
    <m/>
    <n v="13406"/>
  </r>
  <r>
    <x v="3"/>
    <x v="47"/>
    <s v="WHITE RUM"/>
    <x v="0"/>
    <n v="36710"/>
    <n v="441513.14999999636"/>
    <m/>
    <n v="3496"/>
  </r>
  <r>
    <x v="3"/>
    <x v="47"/>
    <s v="AMERICAN BRANDIES"/>
    <x v="1"/>
    <n v="56190"/>
    <n v="350273.19000000157"/>
    <m/>
    <n v="4230"/>
  </r>
  <r>
    <x v="3"/>
    <x v="47"/>
    <s v="COCKTAILS/RTD"/>
    <x v="3"/>
    <n v="50089"/>
    <n v="602578.09999998694"/>
    <m/>
    <n v="6245"/>
  </r>
  <r>
    <x v="3"/>
    <x v="47"/>
    <s v="CORN WHISKIES"/>
    <x v="6"/>
    <n v="739"/>
    <n v="21595.119999999999"/>
    <m/>
    <n v="100"/>
  </r>
  <r>
    <x v="3"/>
    <x v="47"/>
    <s v="CREAM LIQUEURS"/>
    <x v="2"/>
    <n v="34082"/>
    <n v="687871.41999998782"/>
    <m/>
    <n v="4635"/>
  </r>
  <r>
    <x v="3"/>
    <x v="47"/>
    <s v="MIXTO TEQUILA"/>
    <x v="7"/>
    <n v="57615"/>
    <n v="793067.62999999302"/>
    <m/>
    <n v="4530"/>
  </r>
  <r>
    <x v="3"/>
    <x v="47"/>
    <s v="SCOTCH WHISKIES"/>
    <x v="6"/>
    <n v="16713"/>
    <n v="489623.91999999923"/>
    <m/>
    <n v="2481"/>
  </r>
  <r>
    <x v="3"/>
    <x v="47"/>
    <s v="SINGLE MALT SCOTCH"/>
    <x v="6"/>
    <n v="6504"/>
    <n v="328238.60000000009"/>
    <m/>
    <n v="1087"/>
  </r>
  <r>
    <x v="3"/>
    <x v="47"/>
    <s v="STRAIGHT RYE WHISKIES"/>
    <x v="6"/>
    <n v="11375"/>
    <n v="395150.05000000418"/>
    <m/>
    <n v="1688"/>
  </r>
  <r>
    <x v="3"/>
    <x v="47"/>
    <s v="AMERICAN CORDIALS &amp; LIQUEURSS"/>
    <x v="2"/>
    <n v="30554"/>
    <n v="327922.51000000339"/>
    <m/>
    <n v="4661"/>
  </r>
  <r>
    <x v="3"/>
    <x v="47"/>
    <s v="AMERICAN DISTILLED SPIRITS SPECIALTY"/>
    <x v="3"/>
    <n v="8346"/>
    <n v="183464.10999999972"/>
    <m/>
    <n v="758"/>
  </r>
  <r>
    <x v="3"/>
    <x v="47"/>
    <s v="IMPORTED BRANDIES"/>
    <x v="1"/>
    <n v="35537"/>
    <n v="844231.93999999273"/>
    <m/>
    <n v="3150"/>
  </r>
  <r>
    <x v="3"/>
    <x v="47"/>
    <s v="IMPORTED CORDIALS &amp; LIQUEURSS"/>
    <x v="2"/>
    <n v="41098"/>
    <n v="954635.42000000249"/>
    <m/>
    <n v="4489"/>
  </r>
  <r>
    <x v="3"/>
    <x v="47"/>
    <s v="IMPORTED VODKAS"/>
    <x v="5"/>
    <n v="51360"/>
    <n v="907744.40999998525"/>
    <m/>
    <n v="4690"/>
  </r>
  <r>
    <x v="3"/>
    <x v="47"/>
    <s v="IRISH WHISKIES"/>
    <x v="6"/>
    <n v="26575"/>
    <n v="727968.28999999049"/>
    <m/>
    <n v="2442"/>
  </r>
  <r>
    <x v="3"/>
    <x v="47"/>
    <s v="TENNESSEE WHISKIES"/>
    <x v="6"/>
    <n v="48068"/>
    <n v="1008882.009999991"/>
    <m/>
    <n v="5727"/>
  </r>
  <r>
    <x v="3"/>
    <x v="47"/>
    <s v="AMERICAN DRY GINS"/>
    <x v="4"/>
    <n v="30706"/>
    <n v="263980.25000000186"/>
    <m/>
    <n v="2732"/>
  </r>
  <r>
    <x v="3"/>
    <x v="47"/>
    <s v="FLAVORED GIN"/>
    <x v="4"/>
    <n v="3107"/>
    <n v="82830.990000000034"/>
    <m/>
    <n v="416"/>
  </r>
  <r>
    <x v="3"/>
    <x v="47"/>
    <s v="FLAVORED RUM"/>
    <x v="0"/>
    <n v="37248"/>
    <n v="576378.29999999958"/>
    <m/>
    <n v="3936"/>
  </r>
  <r>
    <x v="3"/>
    <x v="47"/>
    <s v="IMPORTED DISTILLED SPIRITS SPECIALTY"/>
    <x v="3"/>
    <n v="36173"/>
    <n v="275133.79000000021"/>
    <m/>
    <n v="558"/>
  </r>
  <r>
    <x v="3"/>
    <x v="47"/>
    <s v="IMPORTED SCHNAPPS"/>
    <x v="2"/>
    <n v="27257"/>
    <n v="478782.21999999922"/>
    <m/>
    <n v="2723"/>
  </r>
  <r>
    <x v="3"/>
    <x v="47"/>
    <s v="TEMPORARY &amp; SPECIALTY PACKAGES"/>
    <x v="3"/>
    <n v="44304"/>
    <n v="1224532.9999999737"/>
    <m/>
    <n v="6611"/>
  </r>
  <r>
    <x v="3"/>
    <x v="47"/>
    <s v="AMERICAN SCHNAPPS"/>
    <x v="2"/>
    <n v="71774"/>
    <n v="553718.51000001712"/>
    <m/>
    <n v="6218"/>
  </r>
  <r>
    <x v="3"/>
    <x v="47"/>
    <s v="IMPORTED FLAVORED VODKA"/>
    <x v="5"/>
    <n v="16638"/>
    <n v="284526.36000000243"/>
    <m/>
    <n v="2246"/>
  </r>
  <r>
    <x v="3"/>
    <x v="47"/>
    <s v="AGED DARK RUM"/>
    <x v="0"/>
    <n v="3085"/>
    <n v="67794.640000000029"/>
    <m/>
    <n v="529"/>
  </r>
  <r>
    <x v="3"/>
    <x v="47"/>
    <s v="COFFEE LIQUEURS"/>
    <x v="2"/>
    <n v="6619"/>
    <n v="140628.34000000043"/>
    <m/>
    <n v="769"/>
  </r>
  <r>
    <x v="3"/>
    <x v="47"/>
    <s v="IMPORTED DRY GINS"/>
    <x v="4"/>
    <n v="16316"/>
    <n v="415385.39999999973"/>
    <m/>
    <n v="1931"/>
  </r>
  <r>
    <x v="3"/>
    <x v="47"/>
    <s v="NEUTRAL GRAIN SPIRITS"/>
    <x v="3"/>
    <n v="4275"/>
    <n v="59948.829999999965"/>
    <m/>
    <n v="444"/>
  </r>
  <r>
    <x v="3"/>
    <x v="47"/>
    <s v="TRIPLE SEC"/>
    <x v="3"/>
    <n v="15271"/>
    <n v="63255.420000000049"/>
    <m/>
    <n v="646"/>
  </r>
  <r>
    <x v="3"/>
    <x v="47"/>
    <s v="BOTTLED IN BOND BOURBON"/>
    <x v="6"/>
    <n v="3588"/>
    <n v="118458.73000000004"/>
    <m/>
    <n v="915"/>
  </r>
  <r>
    <x v="3"/>
    <x v="47"/>
    <s v="GOLD RUM"/>
    <x v="0"/>
    <n v="5576"/>
    <n v="74149.099999999788"/>
    <m/>
    <n v="821"/>
  </r>
  <r>
    <x v="3"/>
    <x v="47"/>
    <s v="MEZCAL"/>
    <x v="7"/>
    <n v="1280"/>
    <n v="45646.390000000029"/>
    <m/>
    <n v="215"/>
  </r>
  <r>
    <x v="3"/>
    <x v="47"/>
    <s v="SINGLE BARREL BOURBON WHISKIES"/>
    <x v="6"/>
    <n v="6183"/>
    <n v="272528.32"/>
    <m/>
    <n v="760"/>
  </r>
  <r>
    <x v="3"/>
    <x v="47"/>
    <s v="SPECIAL ORDER ITEMS"/>
    <x v="3"/>
    <n v="10797"/>
    <n v="129324.15000000001"/>
    <m/>
    <n v="202"/>
  </r>
  <r>
    <x v="3"/>
    <x v="47"/>
    <s v="AMERICAN SLOE GINS"/>
    <x v="4"/>
    <n v="207"/>
    <n v="1753.4599999999991"/>
    <m/>
    <n v="35"/>
  </r>
  <r>
    <x v="4"/>
    <x v="48"/>
    <s v="AMERICAN FLAVORED VODKA"/>
    <x v="5"/>
    <n v="84113"/>
    <n v="971232.61000004504"/>
    <m/>
    <n v="10209"/>
  </r>
  <r>
    <x v="4"/>
    <x v="48"/>
    <s v="AMERICAN SCHNAPPS"/>
    <x v="2"/>
    <n v="87989"/>
    <n v="662842.93999997107"/>
    <m/>
    <n v="7630"/>
  </r>
  <r>
    <x v="4"/>
    <x v="48"/>
    <s v="AMERICAN VODKAS"/>
    <x v="5"/>
    <n v="556309"/>
    <n v="5686429.3500000583"/>
    <m/>
    <n v="33973"/>
  </r>
  <r>
    <x v="4"/>
    <x v="48"/>
    <s v="BLENDED WHISKIES"/>
    <x v="6"/>
    <n v="58206"/>
    <n v="892850.2599999886"/>
    <m/>
    <n v="6732"/>
  </r>
  <r>
    <x v="4"/>
    <x v="48"/>
    <s v="CANADIAN WHISKIES"/>
    <x v="6"/>
    <n v="256938"/>
    <n v="4502230.5299998336"/>
    <m/>
    <n v="20014"/>
  </r>
  <r>
    <x v="4"/>
    <x v="48"/>
    <s v="COCKTAILS/RTD"/>
    <x v="3"/>
    <n v="66361"/>
    <n v="797364.75999999582"/>
    <m/>
    <n v="7764"/>
  </r>
  <r>
    <x v="4"/>
    <x v="48"/>
    <s v="CREAM LIQUEURS"/>
    <x v="2"/>
    <n v="20010"/>
    <n v="396936.05999999709"/>
    <m/>
    <n v="2905"/>
  </r>
  <r>
    <x v="4"/>
    <x v="48"/>
    <s v="FLAVORED GIN"/>
    <x v="4"/>
    <n v="4753"/>
    <n v="120885.94000000005"/>
    <m/>
    <n v="508"/>
  </r>
  <r>
    <x v="4"/>
    <x v="48"/>
    <s v="GOLD RUM"/>
    <x v="0"/>
    <n v="5754"/>
    <n v="79145.260000000009"/>
    <m/>
    <n v="826"/>
  </r>
  <r>
    <x v="4"/>
    <x v="48"/>
    <s v="IMPORTED SCHNAPPS"/>
    <x v="2"/>
    <n v="26446"/>
    <n v="479266.94000000146"/>
    <m/>
    <n v="2651"/>
  </r>
  <r>
    <x v="4"/>
    <x v="48"/>
    <s v="IMPORTED VODKAS"/>
    <x v="5"/>
    <n v="67856"/>
    <n v="1101654.4599999709"/>
    <m/>
    <n v="5027"/>
  </r>
  <r>
    <x v="4"/>
    <x v="48"/>
    <s v="MIXTO TEQUILA"/>
    <x v="7"/>
    <n v="68281"/>
    <n v="963944.67999999144"/>
    <m/>
    <n v="4816"/>
  </r>
  <r>
    <x v="4"/>
    <x v="48"/>
    <s v="SCOTCH WHISKIES"/>
    <x v="6"/>
    <n v="12629"/>
    <n v="346406.16999999981"/>
    <m/>
    <n v="2285"/>
  </r>
  <r>
    <x v="4"/>
    <x v="48"/>
    <s v="SINGLE MALT SCOTCH"/>
    <x v="6"/>
    <n v="4072"/>
    <n v="234623.70000000051"/>
    <m/>
    <n v="1139"/>
  </r>
  <r>
    <x v="4"/>
    <x v="48"/>
    <s v="SPICED RUM"/>
    <x v="0"/>
    <n v="108726"/>
    <n v="1679737.6199998874"/>
    <m/>
    <n v="7358"/>
  </r>
  <r>
    <x v="4"/>
    <x v="48"/>
    <s v="STRAIGHT BOURBON WHISKIES"/>
    <x v="6"/>
    <n v="135058"/>
    <n v="3128485.3000000231"/>
    <m/>
    <n v="15943"/>
  </r>
  <r>
    <x v="4"/>
    <x v="48"/>
    <s v="TEMPORARY &amp; SPECIALTY PACKAGES"/>
    <x v="3"/>
    <n v="26942"/>
    <n v="827300.77999999817"/>
    <m/>
    <n v="3752"/>
  </r>
  <r>
    <x v="4"/>
    <x v="48"/>
    <s v="TENNESSEE WHISKIES"/>
    <x v="6"/>
    <n v="64572"/>
    <n v="1556614.9099999962"/>
    <m/>
    <n v="6198"/>
  </r>
  <r>
    <x v="4"/>
    <x v="48"/>
    <s v="TRIPLE SEC"/>
    <x v="3"/>
    <n v="17622"/>
    <n v="72254.450000000012"/>
    <m/>
    <n v="785"/>
  </r>
  <r>
    <x v="4"/>
    <x v="48"/>
    <s v="WHISKEY LIQUEUR"/>
    <x v="6"/>
    <n v="346352"/>
    <n v="2027401.6599999557"/>
    <m/>
    <n v="12746"/>
  </r>
  <r>
    <x v="4"/>
    <x v="48"/>
    <s v="AMERICAN CORDIALS &amp; LIQUEURS"/>
    <x v="2"/>
    <n v="31819"/>
    <n v="381435.56000000029"/>
    <m/>
    <n v="5288"/>
  </r>
  <r>
    <x v="4"/>
    <x v="48"/>
    <s v="IMPORTED BRANDIES"/>
    <x v="1"/>
    <n v="32539"/>
    <n v="709051.83999999787"/>
    <m/>
    <n v="2943"/>
  </r>
  <r>
    <x v="4"/>
    <x v="48"/>
    <s v="IMPORTED DRY GINS"/>
    <x v="4"/>
    <n v="18323"/>
    <n v="479925.60000000009"/>
    <m/>
    <n v="2255"/>
  </r>
  <r>
    <x v="4"/>
    <x v="48"/>
    <s v="IRISH WHISKIES"/>
    <x v="6"/>
    <n v="22455"/>
    <n v="618355.25999999675"/>
    <m/>
    <n v="2294"/>
  </r>
  <r>
    <x v="4"/>
    <x v="48"/>
    <s v="NEUTRAL GRAIN SPIRITS FLAVORED"/>
    <x v="3"/>
    <n v="11950"/>
    <n v="198805.10000000213"/>
    <m/>
    <n v="2690"/>
  </r>
  <r>
    <x v="4"/>
    <x v="48"/>
    <s v="WHITE RUM"/>
    <x v="0"/>
    <n v="37628"/>
    <n v="478678.68000000017"/>
    <m/>
    <n v="3286"/>
  </r>
  <r>
    <x v="4"/>
    <x v="48"/>
    <s v="100% AGAVE TEQUILA"/>
    <x v="7"/>
    <n v="104818"/>
    <n v="2864221.0599999297"/>
    <m/>
    <n v="13070"/>
  </r>
  <r>
    <x v="4"/>
    <x v="48"/>
    <s v="AMERICAN BRANDIES"/>
    <x v="1"/>
    <n v="52547"/>
    <n v="330795.82000000146"/>
    <m/>
    <n v="4014"/>
  </r>
  <r>
    <x v="4"/>
    <x v="48"/>
    <s v="COFFEE LIQUEURS"/>
    <x v="2"/>
    <n v="6727"/>
    <n v="139378.87000000072"/>
    <m/>
    <n v="895"/>
  </r>
  <r>
    <x v="4"/>
    <x v="48"/>
    <s v="FLAVORED RUM"/>
    <x v="0"/>
    <n v="41800"/>
    <n v="636825.1399999914"/>
    <m/>
    <n v="4351"/>
  </r>
  <r>
    <x v="4"/>
    <x v="48"/>
    <s v="IMPORTED CORDIALS &amp; LIQUEURS"/>
    <x v="2"/>
    <n v="38541"/>
    <n v="916078.78000000131"/>
    <m/>
    <n v="4751"/>
  </r>
  <r>
    <x v="4"/>
    <x v="48"/>
    <s v="SINGLE BARREL BOURBON WHISKIES"/>
    <x v="6"/>
    <n v="6016"/>
    <n v="270755.37999999995"/>
    <m/>
    <n v="746"/>
  </r>
  <r>
    <x v="4"/>
    <x v="48"/>
    <s v="STRAIGHT RYE WHISKIES"/>
    <x v="6"/>
    <n v="6840"/>
    <n v="198954.51000000082"/>
    <m/>
    <n v="1198"/>
  </r>
  <r>
    <x v="4"/>
    <x v="48"/>
    <s v="AGED DARK RUM"/>
    <x v="0"/>
    <n v="3714"/>
    <n v="80953.970000000074"/>
    <m/>
    <n v="696"/>
  </r>
  <r>
    <x v="4"/>
    <x v="48"/>
    <s v="BOTTLED IN BOND BOURBON"/>
    <x v="6"/>
    <n v="3564"/>
    <n v="117853.75000000006"/>
    <m/>
    <n v="811"/>
  </r>
  <r>
    <x v="4"/>
    <x v="48"/>
    <s v="IMPORTED DISTILLED SPIRITS SPECIALTY"/>
    <x v="3"/>
    <n v="38762"/>
    <n v="273824.15000000002"/>
    <m/>
    <n v="1022"/>
  </r>
  <r>
    <x v="4"/>
    <x v="48"/>
    <s v="IMPORTED FLAVORED VODKA"/>
    <x v="5"/>
    <n v="20124"/>
    <n v="316705.36000000092"/>
    <m/>
    <n v="2563"/>
  </r>
  <r>
    <x v="4"/>
    <x v="48"/>
    <s v="AMERICAN DRY GINS"/>
    <x v="4"/>
    <n v="28493"/>
    <n v="293761.89000000211"/>
    <m/>
    <n v="2635"/>
  </r>
  <r>
    <x v="4"/>
    <x v="48"/>
    <s v="SPECIAL ORDER ITEMS"/>
    <x v="3"/>
    <n v="8481"/>
    <n v="101245.60000000005"/>
    <m/>
    <n v="143"/>
  </r>
  <r>
    <x v="4"/>
    <x v="48"/>
    <s v="CORN WHISKIES"/>
    <x v="6"/>
    <n v="480"/>
    <n v="10135.200000000001"/>
    <m/>
    <n v="40"/>
  </r>
  <r>
    <x v="4"/>
    <x v="48"/>
    <s v="NEUTRAL GRAIN SPIRITS"/>
    <x v="3"/>
    <n v="2670"/>
    <n v="40067.64"/>
    <m/>
    <n v="347"/>
  </r>
  <r>
    <x v="4"/>
    <x v="48"/>
    <s v="AMERICAN DISTILLED SPIRITS SPECIALTY"/>
    <x v="3"/>
    <n v="3785"/>
    <n v="59300.929999999986"/>
    <m/>
    <n v="426"/>
  </r>
  <r>
    <x v="4"/>
    <x v="48"/>
    <s v="MEZCAL"/>
    <x v="7"/>
    <n v="1562"/>
    <n v="47858.62"/>
    <m/>
    <n v="263"/>
  </r>
  <r>
    <x v="4"/>
    <x v="48"/>
    <s v="AMERICAN SLOE GINS"/>
    <x v="4"/>
    <n v="195"/>
    <n v="1665.2999999999995"/>
    <m/>
    <n v="41"/>
  </r>
  <r>
    <x v="4"/>
    <x v="49"/>
    <s v="AMERICAN CORDIALS &amp; LIQUEURS"/>
    <x v="2"/>
    <n v="32016"/>
    <n v="383015.72000000358"/>
    <m/>
    <n v="5153"/>
  </r>
  <r>
    <x v="4"/>
    <x v="49"/>
    <s v="AMERICAN SCHNAPPS"/>
    <x v="2"/>
    <n v="99889"/>
    <n v="685360.44000000076"/>
    <m/>
    <n v="7695"/>
  </r>
  <r>
    <x v="4"/>
    <x v="49"/>
    <s v="AMERICAN VODKAS"/>
    <x v="5"/>
    <n v="582409"/>
    <n v="6373382.4000000302"/>
    <m/>
    <n v="33234"/>
  </r>
  <r>
    <x v="4"/>
    <x v="49"/>
    <s v="BOTTLED IN BOND BOURBON"/>
    <x v="6"/>
    <n v="4639"/>
    <n v="150925.67000000001"/>
    <m/>
    <n v="1262"/>
  </r>
  <r>
    <x v="4"/>
    <x v="49"/>
    <s v="CANADIAN WHISKIES"/>
    <x v="6"/>
    <n v="195157"/>
    <n v="2975668.2799998117"/>
    <m/>
    <n v="18101"/>
  </r>
  <r>
    <x v="4"/>
    <x v="49"/>
    <s v="SPICED RUM"/>
    <x v="0"/>
    <n v="93056"/>
    <n v="1284356.8599999498"/>
    <m/>
    <n v="7211"/>
  </r>
  <r>
    <x v="4"/>
    <x v="49"/>
    <s v="STRAIGHT BOURBON WHISKIES"/>
    <x v="6"/>
    <n v="129776"/>
    <n v="2987001.1800000053"/>
    <m/>
    <n v="15677"/>
  </r>
  <r>
    <x v="4"/>
    <x v="49"/>
    <s v="WHISKEY LIQUEUR"/>
    <x v="6"/>
    <n v="440717"/>
    <n v="2471809.4700000035"/>
    <m/>
    <n v="15080"/>
  </r>
  <r>
    <x v="4"/>
    <x v="49"/>
    <s v="100% AGAVE TEQUILA"/>
    <x v="7"/>
    <n v="101547"/>
    <n v="2762536.1499999361"/>
    <m/>
    <n v="11526"/>
  </r>
  <r>
    <x v="4"/>
    <x v="49"/>
    <s v="AMERICAN FLAVORED VODKA"/>
    <x v="5"/>
    <n v="84160"/>
    <n v="957850.72000004747"/>
    <m/>
    <n v="9836"/>
  </r>
  <r>
    <x v="4"/>
    <x v="49"/>
    <s v="BLENDED WHISKIES"/>
    <x v="6"/>
    <n v="64576"/>
    <n v="886013.78999998583"/>
    <m/>
    <n v="6722"/>
  </r>
  <r>
    <x v="4"/>
    <x v="49"/>
    <s v="COCKTAILS/RTD"/>
    <x v="3"/>
    <n v="65037"/>
    <n v="755359.5299999984"/>
    <m/>
    <n v="7087"/>
  </r>
  <r>
    <x v="4"/>
    <x v="49"/>
    <s v="FLAVORED RUM"/>
    <x v="0"/>
    <n v="37725"/>
    <n v="561799.479999998"/>
    <m/>
    <n v="3551"/>
  </r>
  <r>
    <x v="4"/>
    <x v="49"/>
    <s v="NEUTRAL GRAIN SPIRITS FLAVORED"/>
    <x v="3"/>
    <n v="12354"/>
    <n v="207169.3900000015"/>
    <m/>
    <n v="2600"/>
  </r>
  <r>
    <x v="4"/>
    <x v="49"/>
    <s v="SINGLE MALT SCOTCH"/>
    <x v="6"/>
    <n v="3463"/>
    <n v="194304.68000000052"/>
    <m/>
    <n v="970"/>
  </r>
  <r>
    <x v="4"/>
    <x v="49"/>
    <s v="STRAIGHT RYE WHISKIES"/>
    <x v="6"/>
    <n v="7934"/>
    <n v="250391.91000000085"/>
    <m/>
    <n v="1423"/>
  </r>
  <r>
    <x v="4"/>
    <x v="49"/>
    <s v="TEMPORARY &amp; SPECIALTY PACKAGES"/>
    <x v="3"/>
    <n v="33459"/>
    <n v="1035238.5600000079"/>
    <m/>
    <n v="5717"/>
  </r>
  <r>
    <x v="4"/>
    <x v="49"/>
    <s v="IMPORTED CORDIALS &amp; LIQUEURS"/>
    <x v="2"/>
    <n v="36541"/>
    <n v="868173.99000000535"/>
    <m/>
    <n v="4591"/>
  </r>
  <r>
    <x v="4"/>
    <x v="49"/>
    <s v="MIXTO TEQUILA"/>
    <x v="7"/>
    <n v="63911"/>
    <n v="878388.09999999369"/>
    <m/>
    <n v="4640"/>
  </r>
  <r>
    <x v="4"/>
    <x v="49"/>
    <s v="TENNESSEE WHISKIES"/>
    <x v="6"/>
    <n v="52702"/>
    <n v="1120521.4199999887"/>
    <m/>
    <n v="6074"/>
  </r>
  <r>
    <x v="4"/>
    <x v="49"/>
    <s v="WHITE RUM"/>
    <x v="0"/>
    <n v="35345"/>
    <n v="433167.56000000052"/>
    <m/>
    <n v="3006"/>
  </r>
  <r>
    <x v="4"/>
    <x v="49"/>
    <s v="SINGLE BARREL BOURBON WHISKIES"/>
    <x v="6"/>
    <n v="4180"/>
    <n v="173610.77999999997"/>
    <m/>
    <n v="785"/>
  </r>
  <r>
    <x v="4"/>
    <x v="49"/>
    <s v="CREAM LIQUEURS"/>
    <x v="2"/>
    <n v="19634"/>
    <n v="387628.5699999978"/>
    <m/>
    <n v="2693"/>
  </r>
  <r>
    <x v="4"/>
    <x v="49"/>
    <s v="IMPORTED VODKAS"/>
    <x v="5"/>
    <n v="54364"/>
    <n v="914168.48999998264"/>
    <m/>
    <n v="4553"/>
  </r>
  <r>
    <x v="4"/>
    <x v="49"/>
    <s v="IMPORTED DRY GINS"/>
    <x v="4"/>
    <n v="18452"/>
    <n v="478843.00999999937"/>
    <m/>
    <n v="2131"/>
  </r>
  <r>
    <x v="4"/>
    <x v="49"/>
    <s v="IRISH WHISKIES"/>
    <x v="6"/>
    <n v="25563"/>
    <n v="703316.96999999532"/>
    <m/>
    <n v="2359"/>
  </r>
  <r>
    <x v="4"/>
    <x v="49"/>
    <s v="AMERICAN BRANDIES"/>
    <x v="1"/>
    <n v="47730"/>
    <n v="296275.46000000229"/>
    <m/>
    <n v="3722"/>
  </r>
  <r>
    <x v="4"/>
    <x v="49"/>
    <s v="AMERICAN DRY GINS"/>
    <x v="4"/>
    <n v="25801"/>
    <n v="247856.54000000108"/>
    <m/>
    <n v="2390"/>
  </r>
  <r>
    <x v="4"/>
    <x v="49"/>
    <s v="COFFEE LIQUEURS"/>
    <x v="2"/>
    <n v="7585"/>
    <n v="162105.45000000097"/>
    <m/>
    <n v="871"/>
  </r>
  <r>
    <x v="4"/>
    <x v="49"/>
    <s v="IMPORTED SCHNAPPS"/>
    <x v="2"/>
    <n v="27865"/>
    <n v="496718.73000000307"/>
    <m/>
    <n v="2548"/>
  </r>
  <r>
    <x v="4"/>
    <x v="49"/>
    <s v="SCOTCH WHISKIES"/>
    <x v="6"/>
    <n v="13277"/>
    <n v="361346.69999999984"/>
    <m/>
    <n v="2103"/>
  </r>
  <r>
    <x v="4"/>
    <x v="49"/>
    <s v="IMPORTED DISTILLED SPIRITS SPECIALTY"/>
    <x v="3"/>
    <n v="34411"/>
    <n v="245948.02000000014"/>
    <m/>
    <n v="905"/>
  </r>
  <r>
    <x v="4"/>
    <x v="49"/>
    <s v="IMPORTED FLAVORED VODKA"/>
    <x v="5"/>
    <n v="15756"/>
    <n v="261452.30000000237"/>
    <m/>
    <n v="1946"/>
  </r>
  <r>
    <x v="4"/>
    <x v="49"/>
    <s v="GOLD RUM"/>
    <x v="0"/>
    <n v="4771"/>
    <n v="66937.309999999983"/>
    <m/>
    <n v="688"/>
  </r>
  <r>
    <x v="4"/>
    <x v="49"/>
    <s v="AMERICAN DISTILLED SPIRITS SPECIALTY"/>
    <x v="3"/>
    <n v="3858"/>
    <n v="61642.659999999989"/>
    <m/>
    <n v="460"/>
  </r>
  <r>
    <x v="4"/>
    <x v="49"/>
    <s v="FLAVORED GIN"/>
    <x v="4"/>
    <n v="6144"/>
    <n v="157886.92000000004"/>
    <m/>
    <n v="439"/>
  </r>
  <r>
    <x v="4"/>
    <x v="49"/>
    <s v="IMPORTED BRANDIES"/>
    <x v="1"/>
    <n v="26396"/>
    <n v="599061.46000000136"/>
    <m/>
    <n v="2544"/>
  </r>
  <r>
    <x v="4"/>
    <x v="49"/>
    <s v="MEZCAL"/>
    <x v="7"/>
    <n v="1011"/>
    <n v="32431.309999999994"/>
    <m/>
    <n v="191"/>
  </r>
  <r>
    <x v="4"/>
    <x v="49"/>
    <s v="NEUTRAL GRAIN SPIRITS"/>
    <x v="3"/>
    <n v="2723"/>
    <n v="39841.209999999977"/>
    <m/>
    <n v="353"/>
  </r>
  <r>
    <x v="4"/>
    <x v="49"/>
    <s v="TRIPLE SEC"/>
    <x v="3"/>
    <n v="16246"/>
    <n v="67758.009999999937"/>
    <m/>
    <n v="688"/>
  </r>
  <r>
    <x v="4"/>
    <x v="49"/>
    <s v="AGED DARK RUM"/>
    <x v="0"/>
    <n v="2987"/>
    <n v="60996.910000000011"/>
    <m/>
    <n v="537"/>
  </r>
  <r>
    <x v="4"/>
    <x v="49"/>
    <s v="SPECIAL ORDER ITEMS"/>
    <x v="3"/>
    <n v="14055"/>
    <n v="157079.60000000006"/>
    <m/>
    <n v="101"/>
  </r>
  <r>
    <x v="4"/>
    <x v="49"/>
    <s v="AMERICAN SLOE GINS"/>
    <x v="4"/>
    <n v="155"/>
    <n v="1323.6999999999996"/>
    <m/>
    <n v="34"/>
  </r>
  <r>
    <x v="4"/>
    <x v="49"/>
    <s v="CORN WHISKIES"/>
    <x v="6"/>
    <n v="653"/>
    <n v="16561.050000000003"/>
    <m/>
    <n v="63"/>
  </r>
  <r>
    <x v="4"/>
    <x v="50"/>
    <s v="100% AGAVE TEQUILA"/>
    <x v="7"/>
    <n v="101118"/>
    <n v="2898624.0999999437"/>
    <m/>
    <n v="11485"/>
  </r>
  <r>
    <x v="4"/>
    <x v="50"/>
    <s v="AMERICAN BRANDIES"/>
    <x v="1"/>
    <n v="52451"/>
    <n v="327429.03000000108"/>
    <m/>
    <n v="4081"/>
  </r>
  <r>
    <x v="4"/>
    <x v="50"/>
    <s v="AMERICAN DRY GINS"/>
    <x v="4"/>
    <n v="26214"/>
    <n v="239191.28000000122"/>
    <m/>
    <n v="2245"/>
  </r>
  <r>
    <x v="4"/>
    <x v="50"/>
    <s v="AMERICAN VODKAS"/>
    <x v="5"/>
    <n v="536546"/>
    <n v="5065298.6900001448"/>
    <m/>
    <n v="32417"/>
  </r>
  <r>
    <x v="4"/>
    <x v="50"/>
    <s v="BLENDED WHISKIES"/>
    <x v="6"/>
    <n v="63068"/>
    <n v="843498.99999998615"/>
    <m/>
    <n v="6796"/>
  </r>
  <r>
    <x v="4"/>
    <x v="50"/>
    <s v="CANADIAN WHISKIES"/>
    <x v="6"/>
    <n v="216122"/>
    <n v="3362022.3299998278"/>
    <m/>
    <n v="18158"/>
  </r>
  <r>
    <x v="4"/>
    <x v="50"/>
    <s v="COCKTAILS/RTD"/>
    <x v="3"/>
    <n v="52109"/>
    <n v="654606.04999999155"/>
    <m/>
    <n v="6935"/>
  </r>
  <r>
    <x v="4"/>
    <x v="50"/>
    <s v="FLAVORED GIN"/>
    <x v="4"/>
    <n v="3034"/>
    <n v="75658.080000000031"/>
    <m/>
    <n v="381"/>
  </r>
  <r>
    <x v="4"/>
    <x v="50"/>
    <s v="FLAVORED RUM"/>
    <x v="0"/>
    <n v="28792"/>
    <n v="432694.0000000014"/>
    <m/>
    <n v="3052"/>
  </r>
  <r>
    <x v="4"/>
    <x v="50"/>
    <s v="IMPORTED BRANDIES"/>
    <x v="1"/>
    <n v="24645"/>
    <n v="588859.3199999996"/>
    <m/>
    <n v="2638"/>
  </r>
  <r>
    <x v="4"/>
    <x v="50"/>
    <s v="IMPORTED DISTILLED SPIRITS SPECIALTY"/>
    <x v="3"/>
    <n v="29929"/>
    <n v="206324.81999999998"/>
    <m/>
    <n v="883"/>
  </r>
  <r>
    <x v="4"/>
    <x v="50"/>
    <s v="MIXTO TEQUILA"/>
    <x v="7"/>
    <n v="60851"/>
    <n v="844562.52999999363"/>
    <m/>
    <n v="4280"/>
  </r>
  <r>
    <x v="4"/>
    <x v="50"/>
    <s v="NEUTRAL GRAIN SPIRITS FLAVORED"/>
    <x v="3"/>
    <n v="11977"/>
    <n v="200693.38000000207"/>
    <m/>
    <n v="2453"/>
  </r>
  <r>
    <x v="4"/>
    <x v="50"/>
    <s v="SINGLE MALT SCOTCH"/>
    <x v="6"/>
    <n v="4738"/>
    <n v="324513.48"/>
    <m/>
    <n v="1098"/>
  </r>
  <r>
    <x v="4"/>
    <x v="50"/>
    <s v="STRAIGHT BOURBON WHISKIES"/>
    <x v="6"/>
    <n v="142237"/>
    <n v="3351420.9900000039"/>
    <m/>
    <n v="15292"/>
  </r>
  <r>
    <x v="4"/>
    <x v="50"/>
    <s v="TEMPORARY &amp; SPECIALTY PACKAGES"/>
    <x v="3"/>
    <n v="69985"/>
    <n v="1977917.8599999058"/>
    <m/>
    <n v="9601"/>
  </r>
  <r>
    <x v="4"/>
    <x v="50"/>
    <s v="TENNESSEE WHISKIES"/>
    <x v="6"/>
    <n v="58865"/>
    <n v="1370225.5799999856"/>
    <m/>
    <n v="6022"/>
  </r>
  <r>
    <x v="4"/>
    <x v="50"/>
    <s v="WHISKEY LIQUEUR"/>
    <x v="6"/>
    <n v="443351"/>
    <n v="2639751.9300000067"/>
    <m/>
    <n v="16505"/>
  </r>
  <r>
    <x v="4"/>
    <x v="50"/>
    <s v="AGED DARK RUM"/>
    <x v="0"/>
    <n v="3973"/>
    <n v="95345.900000000154"/>
    <m/>
    <n v="518"/>
  </r>
  <r>
    <x v="4"/>
    <x v="50"/>
    <s v="AMERICAN CORDIALS &amp; LIQUEURS"/>
    <x v="2"/>
    <n v="34025"/>
    <n v="418821.2700000052"/>
    <m/>
    <n v="5460"/>
  </r>
  <r>
    <x v="4"/>
    <x v="50"/>
    <s v="AMERICAN FLAVORED VODKA"/>
    <x v="5"/>
    <n v="76770"/>
    <n v="841497.06000003126"/>
    <m/>
    <n v="8653"/>
  </r>
  <r>
    <x v="4"/>
    <x v="50"/>
    <s v="AMERICAN SCHNAPPS"/>
    <x v="2"/>
    <n v="96238"/>
    <n v="695183.73000000289"/>
    <m/>
    <n v="7845"/>
  </r>
  <r>
    <x v="4"/>
    <x v="50"/>
    <s v="IMPORTED CORDIALS &amp; LIQUEURS"/>
    <x v="2"/>
    <n v="37780"/>
    <n v="905385.81000000134"/>
    <m/>
    <n v="4092"/>
  </r>
  <r>
    <x v="4"/>
    <x v="50"/>
    <s v="IMPORTED FLAVORED VODKA"/>
    <x v="5"/>
    <n v="21199"/>
    <n v="320647.42000000237"/>
    <m/>
    <n v="1961"/>
  </r>
  <r>
    <x v="4"/>
    <x v="50"/>
    <s v="IMPORTED SCHNAPPS"/>
    <x v="2"/>
    <n v="27480"/>
    <n v="495250.32000000135"/>
    <m/>
    <n v="2620"/>
  </r>
  <r>
    <x v="4"/>
    <x v="50"/>
    <s v="SCOTCH WHISKIES"/>
    <x v="6"/>
    <n v="11761"/>
    <n v="353229.68999999989"/>
    <m/>
    <n v="2012"/>
  </r>
  <r>
    <x v="4"/>
    <x v="50"/>
    <s v="SPICED RUM"/>
    <x v="0"/>
    <n v="98284"/>
    <n v="1579703.9399999024"/>
    <m/>
    <n v="6574"/>
  </r>
  <r>
    <x v="4"/>
    <x v="50"/>
    <s v="STRAIGHT RYE WHISKIES"/>
    <x v="6"/>
    <n v="8523"/>
    <n v="276982.74000000046"/>
    <m/>
    <n v="1323"/>
  </r>
  <r>
    <x v="4"/>
    <x v="50"/>
    <s v="WHITE RUM"/>
    <x v="0"/>
    <n v="32934"/>
    <n v="394162.16000000009"/>
    <m/>
    <n v="2826"/>
  </r>
  <r>
    <x v="4"/>
    <x v="50"/>
    <s v="CREAM LIQUEURS"/>
    <x v="2"/>
    <n v="25009"/>
    <n v="515177.76999999769"/>
    <m/>
    <n v="3353"/>
  </r>
  <r>
    <x v="4"/>
    <x v="50"/>
    <s v="GOLD RUM"/>
    <x v="0"/>
    <n v="4439"/>
    <n v="60560.979999999981"/>
    <m/>
    <n v="634"/>
  </r>
  <r>
    <x v="4"/>
    <x v="50"/>
    <s v="IMPORTED DRY GINS"/>
    <x v="4"/>
    <n v="14210"/>
    <n v="364530.68000000081"/>
    <m/>
    <n v="1787"/>
  </r>
  <r>
    <x v="4"/>
    <x v="50"/>
    <s v="IMPORTED VODKAS"/>
    <x v="5"/>
    <n v="62245"/>
    <n v="985112.01999998163"/>
    <m/>
    <n v="4508"/>
  </r>
  <r>
    <x v="4"/>
    <x v="50"/>
    <s v="IRISH WHISKIES"/>
    <x v="6"/>
    <n v="23765"/>
    <n v="646641.2899999955"/>
    <m/>
    <n v="2264"/>
  </r>
  <r>
    <x v="4"/>
    <x v="50"/>
    <s v="BOTTLED IN BOND BOURBON"/>
    <x v="6"/>
    <n v="5474"/>
    <n v="182793.61000000007"/>
    <m/>
    <n v="1549"/>
  </r>
  <r>
    <x v="4"/>
    <x v="50"/>
    <s v="COFFEE LIQUEURS"/>
    <x v="2"/>
    <n v="7706"/>
    <n v="165546.08000000063"/>
    <m/>
    <n v="922"/>
  </r>
  <r>
    <x v="4"/>
    <x v="50"/>
    <s v="NEUTRAL GRAIN SPIRITS"/>
    <x v="3"/>
    <n v="4345"/>
    <n v="63614.689999999981"/>
    <m/>
    <n v="424"/>
  </r>
  <r>
    <x v="4"/>
    <x v="50"/>
    <s v="AMERICAN SLOE GINS"/>
    <x v="4"/>
    <n v="132"/>
    <n v="1127.2799999999997"/>
    <m/>
    <n v="28"/>
  </r>
  <r>
    <x v="4"/>
    <x v="50"/>
    <s v="SINGLE BARREL BOURBON WHISKIES"/>
    <x v="6"/>
    <n v="4027"/>
    <n v="166539.40000000008"/>
    <m/>
    <n v="1018"/>
  </r>
  <r>
    <x v="4"/>
    <x v="50"/>
    <s v="TRIPLE SEC"/>
    <x v="3"/>
    <n v="14531"/>
    <n v="59853.20000000007"/>
    <m/>
    <n v="603"/>
  </r>
  <r>
    <x v="4"/>
    <x v="50"/>
    <s v="AMERICAN DISTILLED SPIRITS SPECIALTY"/>
    <x v="3"/>
    <n v="4667"/>
    <n v="66221.240000000034"/>
    <m/>
    <n v="449"/>
  </r>
  <r>
    <x v="4"/>
    <x v="50"/>
    <s v="SPECIAL ORDER ITEMS"/>
    <x v="3"/>
    <n v="3471"/>
    <n v="44108.08"/>
    <m/>
    <n v="119"/>
  </r>
  <r>
    <x v="4"/>
    <x v="50"/>
    <s v="MEZCAL"/>
    <x v="7"/>
    <n v="1429"/>
    <n v="40561.619999999981"/>
    <m/>
    <n v="234"/>
  </r>
  <r>
    <x v="4"/>
    <x v="50"/>
    <s v="CORN WHISKIES"/>
    <x v="6"/>
    <n v="383"/>
    <n v="9285.2999999999993"/>
    <m/>
    <n v="60"/>
  </r>
  <r>
    <x v="4"/>
    <x v="51"/>
    <s v="100% AGAVE TEQUILA"/>
    <x v="7"/>
    <n v="96279"/>
    <n v="2692912.4199999422"/>
    <m/>
    <n v="11758"/>
  </r>
  <r>
    <x v="4"/>
    <x v="51"/>
    <s v="AMERICAN BRANDIES"/>
    <x v="1"/>
    <n v="51691"/>
    <n v="341489.29000000231"/>
    <m/>
    <n v="4169"/>
  </r>
  <r>
    <x v="4"/>
    <x v="51"/>
    <s v="AMERICAN CORDIALS &amp; LIQUEURS"/>
    <x v="2"/>
    <n v="33490"/>
    <n v="418878.98000000336"/>
    <m/>
    <n v="5460"/>
  </r>
  <r>
    <x v="4"/>
    <x v="51"/>
    <s v="AMERICAN DRY GINS"/>
    <x v="4"/>
    <n v="29589"/>
    <n v="270783.14000000095"/>
    <m/>
    <n v="2565"/>
  </r>
  <r>
    <x v="4"/>
    <x v="51"/>
    <s v="AMERICAN FLAVORED VODKA"/>
    <x v="5"/>
    <n v="85742"/>
    <n v="986563.24000004702"/>
    <m/>
    <n v="9391"/>
  </r>
  <r>
    <x v="4"/>
    <x v="51"/>
    <s v="AMERICAN SCHNAPPS"/>
    <x v="2"/>
    <n v="101891"/>
    <n v="742835.07000000449"/>
    <m/>
    <n v="8317"/>
  </r>
  <r>
    <x v="4"/>
    <x v="51"/>
    <s v="AMERICAN VODKAS"/>
    <x v="5"/>
    <n v="571546"/>
    <n v="5863478.7900000568"/>
    <m/>
    <n v="32912"/>
  </r>
  <r>
    <x v="4"/>
    <x v="51"/>
    <s v="BLENDED WHISKIES"/>
    <x v="6"/>
    <n v="68826"/>
    <n v="953785.01999998523"/>
    <m/>
    <n v="7085"/>
  </r>
  <r>
    <x v="4"/>
    <x v="51"/>
    <s v="CANADIAN WHISKIES"/>
    <x v="6"/>
    <n v="279591"/>
    <n v="5129786.7599998601"/>
    <m/>
    <n v="19453"/>
  </r>
  <r>
    <x v="4"/>
    <x v="51"/>
    <s v="COCKTAILS/RTD"/>
    <x v="3"/>
    <n v="58843"/>
    <n v="734404.91999999655"/>
    <m/>
    <n v="6728"/>
  </r>
  <r>
    <x v="4"/>
    <x v="51"/>
    <s v="FLAVORED RUM"/>
    <x v="0"/>
    <n v="32124"/>
    <n v="487423.83000000025"/>
    <m/>
    <n v="3207"/>
  </r>
  <r>
    <x v="4"/>
    <x v="51"/>
    <s v="GOLD RUM"/>
    <x v="0"/>
    <n v="5262"/>
    <n v="75321.150000000096"/>
    <m/>
    <n v="738"/>
  </r>
  <r>
    <x v="4"/>
    <x v="51"/>
    <s v="IMPORTED BRANDIES"/>
    <x v="1"/>
    <n v="31033"/>
    <n v="689319.41999999958"/>
    <m/>
    <n v="2900"/>
  </r>
  <r>
    <x v="4"/>
    <x v="51"/>
    <s v="IMPORTED CORDIALS &amp; LIQUEURS"/>
    <x v="2"/>
    <n v="40427"/>
    <n v="968459.23000000231"/>
    <m/>
    <n v="4605"/>
  </r>
  <r>
    <x v="4"/>
    <x v="51"/>
    <s v="IMPORTED FLAVORED VODKA"/>
    <x v="5"/>
    <n v="20357"/>
    <n v="322275.97000000073"/>
    <m/>
    <n v="1985"/>
  </r>
  <r>
    <x v="4"/>
    <x v="51"/>
    <s v="IRISH WHISKIES"/>
    <x v="6"/>
    <n v="31264"/>
    <n v="865701.24999998626"/>
    <m/>
    <n v="2493"/>
  </r>
  <r>
    <x v="4"/>
    <x v="51"/>
    <s v="NEUTRAL GRAIN SPIRITS FLAVORED"/>
    <x v="3"/>
    <n v="14927"/>
    <n v="254816.99000000351"/>
    <m/>
    <n v="2638"/>
  </r>
  <r>
    <x v="4"/>
    <x v="51"/>
    <s v="SCOTCH WHISKIES"/>
    <x v="6"/>
    <n v="14336"/>
    <n v="414506.50000000023"/>
    <m/>
    <n v="2395"/>
  </r>
  <r>
    <x v="4"/>
    <x v="51"/>
    <s v="SINGLE MALT SCOTCH"/>
    <x v="6"/>
    <n v="4651"/>
    <n v="270150.03999999975"/>
    <m/>
    <n v="1169"/>
  </r>
  <r>
    <x v="4"/>
    <x v="51"/>
    <s v="STRAIGHT BOURBON WHISKIES"/>
    <x v="6"/>
    <n v="162672"/>
    <n v="3874442.2200000011"/>
    <m/>
    <n v="17112"/>
  </r>
  <r>
    <x v="4"/>
    <x v="51"/>
    <s v="TEMPORARY &amp; SPECIALTY PACKAGES"/>
    <x v="3"/>
    <n v="78202"/>
    <n v="2093036.7099999129"/>
    <m/>
    <n v="9728"/>
  </r>
  <r>
    <x v="4"/>
    <x v="51"/>
    <s v="TENNESSEE WHISKIES"/>
    <x v="6"/>
    <n v="67658"/>
    <n v="1517643.5799999903"/>
    <m/>
    <n v="6613"/>
  </r>
  <r>
    <x v="4"/>
    <x v="51"/>
    <s v="TRIPLE SEC"/>
    <x v="3"/>
    <n v="15517"/>
    <n v="64995.210000000014"/>
    <m/>
    <n v="612"/>
  </r>
  <r>
    <x v="4"/>
    <x v="51"/>
    <s v="WHISKEY LIQUEUR"/>
    <x v="6"/>
    <n v="421291"/>
    <n v="2461443.8200000213"/>
    <m/>
    <n v="15757"/>
  </r>
  <r>
    <x v="4"/>
    <x v="51"/>
    <s v="WHITE RUM"/>
    <x v="0"/>
    <n v="36273"/>
    <n v="441726.2500000007"/>
    <m/>
    <n v="2988"/>
  </r>
  <r>
    <x v="4"/>
    <x v="51"/>
    <s v="AGED DARK RUM"/>
    <x v="0"/>
    <n v="2959"/>
    <n v="60846.580000000016"/>
    <m/>
    <n v="537"/>
  </r>
  <r>
    <x v="4"/>
    <x v="51"/>
    <s v="COFFEE LIQUEURS"/>
    <x v="2"/>
    <n v="13888"/>
    <n v="299855.19000000064"/>
    <m/>
    <n v="1086"/>
  </r>
  <r>
    <x v="4"/>
    <x v="51"/>
    <s v="CREAM LIQUEURS"/>
    <x v="2"/>
    <n v="48418"/>
    <n v="969743.42999999167"/>
    <m/>
    <n v="3411"/>
  </r>
  <r>
    <x v="4"/>
    <x v="51"/>
    <s v="IMPORTED SCHNAPPS"/>
    <x v="2"/>
    <n v="29359"/>
    <n v="539051.5100000021"/>
    <m/>
    <n v="2586"/>
  </r>
  <r>
    <x v="4"/>
    <x v="51"/>
    <s v="IMPORTED VODKAS"/>
    <x v="5"/>
    <n v="81635"/>
    <n v="1247874.079999943"/>
    <m/>
    <n v="4585"/>
  </r>
  <r>
    <x v="4"/>
    <x v="51"/>
    <s v="MIXTO TEQUILA"/>
    <x v="7"/>
    <n v="62451"/>
    <n v="861530.4199999941"/>
    <m/>
    <n v="4463"/>
  </r>
  <r>
    <x v="4"/>
    <x v="51"/>
    <s v="SPICED RUM"/>
    <x v="0"/>
    <n v="101226"/>
    <n v="1414617.0799999342"/>
    <m/>
    <n v="7158"/>
  </r>
  <r>
    <x v="4"/>
    <x v="51"/>
    <s v="IMPORTED DRY GINS"/>
    <x v="4"/>
    <n v="17174"/>
    <n v="451168.73999999958"/>
    <m/>
    <n v="1755"/>
  </r>
  <r>
    <x v="4"/>
    <x v="51"/>
    <s v="SINGLE BARREL BOURBON WHISKIES"/>
    <x v="6"/>
    <n v="4761"/>
    <n v="204956.98999999982"/>
    <m/>
    <n v="931"/>
  </r>
  <r>
    <x v="4"/>
    <x v="51"/>
    <s v="STRAIGHT RYE WHISKIES"/>
    <x v="6"/>
    <n v="11221"/>
    <n v="396970.50000000384"/>
    <m/>
    <n v="1819"/>
  </r>
  <r>
    <x v="4"/>
    <x v="51"/>
    <s v="FLAVORED GIN"/>
    <x v="4"/>
    <n v="3959"/>
    <n v="101237.12999999999"/>
    <m/>
    <n v="401"/>
  </r>
  <r>
    <x v="4"/>
    <x v="51"/>
    <s v="IMPORTED DISTILLED SPIRITS SPECIALTY"/>
    <x v="3"/>
    <n v="30636"/>
    <n v="219592.04999999978"/>
    <m/>
    <n v="962"/>
  </r>
  <r>
    <x v="4"/>
    <x v="51"/>
    <s v="MEZCAL"/>
    <x v="7"/>
    <n v="1475"/>
    <n v="46094.629999999976"/>
    <m/>
    <n v="226"/>
  </r>
  <r>
    <x v="4"/>
    <x v="51"/>
    <s v="SPECIAL ORDER ITEMS"/>
    <x v="3"/>
    <n v="3084"/>
    <n v="42489.710000000006"/>
    <m/>
    <n v="102"/>
  </r>
  <r>
    <x v="4"/>
    <x v="51"/>
    <s v="BOTTLED IN BOND BOURBON"/>
    <x v="6"/>
    <n v="3613"/>
    <n v="110192.97000000004"/>
    <m/>
    <n v="1048"/>
  </r>
  <r>
    <x v="4"/>
    <x v="51"/>
    <s v="AMERICAN DISTILLED SPIRITS SPECIALTY"/>
    <x v="3"/>
    <n v="5257"/>
    <n v="74591.649999999936"/>
    <m/>
    <n v="456"/>
  </r>
  <r>
    <x v="4"/>
    <x v="51"/>
    <s v="NEUTRAL GRAIN SPIRITS"/>
    <x v="3"/>
    <n v="3308"/>
    <n v="47406.449999999975"/>
    <m/>
    <n v="419"/>
  </r>
  <r>
    <x v="4"/>
    <x v="51"/>
    <s v="CORN WHISKIES"/>
    <x v="6"/>
    <n v="735"/>
    <n v="12831.45"/>
    <m/>
    <n v="63"/>
  </r>
  <r>
    <x v="4"/>
    <x v="51"/>
    <s v="AMERICAN SLOE GINS"/>
    <x v="4"/>
    <n v="180"/>
    <n v="1537.2"/>
    <m/>
    <n v="29"/>
  </r>
  <r>
    <x v="4"/>
    <x v="52"/>
    <s v="100% AGAVE TEQUILA"/>
    <x v="7"/>
    <n v="77220"/>
    <n v="2247694.3199999407"/>
    <m/>
    <n v="10096"/>
  </r>
  <r>
    <x v="4"/>
    <x v="52"/>
    <s v="AMERICAN CORDIALS &amp; LIQUEURSS"/>
    <x v="2"/>
    <n v="33776"/>
    <n v="376357.20999999647"/>
    <m/>
    <n v="5181"/>
  </r>
  <r>
    <x v="4"/>
    <x v="52"/>
    <s v="AMERICAN DISTILLED SPIRITS SPECIALTY"/>
    <x v="3"/>
    <n v="3185"/>
    <n v="56778.470000000016"/>
    <m/>
    <n v="392"/>
  </r>
  <r>
    <x v="4"/>
    <x v="52"/>
    <s v="AMERICAN FLAVORED VODKA"/>
    <x v="5"/>
    <n v="72739"/>
    <n v="834583.30000003614"/>
    <m/>
    <n v="8978"/>
  </r>
  <r>
    <x v="4"/>
    <x v="52"/>
    <s v="AMERICAN SCHNAPPS"/>
    <x v="2"/>
    <n v="92624"/>
    <n v="660033.94999996969"/>
    <m/>
    <n v="7643"/>
  </r>
  <r>
    <x v="4"/>
    <x v="52"/>
    <s v="AMERICAN VODKAS"/>
    <x v="5"/>
    <n v="498629"/>
    <n v="4902904.5200001262"/>
    <m/>
    <n v="31419"/>
  </r>
  <r>
    <x v="4"/>
    <x v="52"/>
    <s v="BLENDED WHISKIES"/>
    <x v="6"/>
    <n v="65228"/>
    <n v="919525.09999998589"/>
    <m/>
    <n v="7414"/>
  </r>
  <r>
    <x v="4"/>
    <x v="52"/>
    <s v="CANADIAN WHISKIES"/>
    <x v="6"/>
    <n v="202431"/>
    <n v="3207138.8499997961"/>
    <m/>
    <n v="18479"/>
  </r>
  <r>
    <x v="4"/>
    <x v="52"/>
    <s v="COCKTAILS/RTD"/>
    <x v="3"/>
    <n v="54084"/>
    <n v="675276.9299999983"/>
    <m/>
    <n v="6111"/>
  </r>
  <r>
    <x v="4"/>
    <x v="52"/>
    <s v="COFFEE LIQUEURS"/>
    <x v="2"/>
    <n v="6997"/>
    <n v="143693.20000000033"/>
    <m/>
    <n v="778"/>
  </r>
  <r>
    <x v="4"/>
    <x v="52"/>
    <s v="CREAM LIQUEURS"/>
    <x v="2"/>
    <n v="33103"/>
    <n v="642582.3899999914"/>
    <m/>
    <n v="4152"/>
  </r>
  <r>
    <x v="4"/>
    <x v="52"/>
    <s v="FLAVORED RUM"/>
    <x v="0"/>
    <n v="29160"/>
    <n v="440785.29000000143"/>
    <m/>
    <n v="3321"/>
  </r>
  <r>
    <x v="4"/>
    <x v="52"/>
    <s v="IMPORTED CORDIALS &amp; LIQUEURSS"/>
    <x v="2"/>
    <n v="36507"/>
    <n v="873726.52000000479"/>
    <m/>
    <n v="4634"/>
  </r>
  <r>
    <x v="4"/>
    <x v="52"/>
    <s v="IMPORTED FLAVORED VODKA"/>
    <x v="5"/>
    <n v="15676"/>
    <n v="265197.27000000229"/>
    <m/>
    <n v="1979"/>
  </r>
  <r>
    <x v="4"/>
    <x v="52"/>
    <s v="IMPORTED SCHNAPPS"/>
    <x v="2"/>
    <n v="27597"/>
    <n v="488631.28000000108"/>
    <m/>
    <n v="2536"/>
  </r>
  <r>
    <x v="4"/>
    <x v="52"/>
    <s v="IMPORTED VODKAS"/>
    <x v="5"/>
    <n v="48452"/>
    <n v="776430.71999998926"/>
    <m/>
    <n v="4327"/>
  </r>
  <r>
    <x v="4"/>
    <x v="52"/>
    <s v="IRISH WHISKIES"/>
    <x v="6"/>
    <n v="26794"/>
    <n v="741979.63999999338"/>
    <m/>
    <n v="2445"/>
  </r>
  <r>
    <x v="4"/>
    <x v="52"/>
    <s v="MIXTO TEQUILA"/>
    <x v="7"/>
    <n v="57101"/>
    <n v="793701.90999999596"/>
    <m/>
    <n v="4173"/>
  </r>
  <r>
    <x v="4"/>
    <x v="52"/>
    <s v="NEUTRAL GRAIN SPIRITS FLAVORED"/>
    <x v="3"/>
    <n v="13789"/>
    <n v="227747.88000000286"/>
    <m/>
    <n v="2878"/>
  </r>
  <r>
    <x v="4"/>
    <x v="52"/>
    <s v="SPICED RUM"/>
    <x v="0"/>
    <n v="98235"/>
    <n v="1475311.0399999069"/>
    <m/>
    <n v="7299"/>
  </r>
  <r>
    <x v="4"/>
    <x v="52"/>
    <s v="STRAIGHT BOURBON WHISKIES"/>
    <x v="6"/>
    <n v="135267"/>
    <n v="3047827.9700000333"/>
    <m/>
    <n v="16737"/>
  </r>
  <r>
    <x v="4"/>
    <x v="52"/>
    <s v="STRAIGHT RYE WHISKIES"/>
    <x v="6"/>
    <n v="8016"/>
    <n v="258577.7400000011"/>
    <m/>
    <n v="1562"/>
  </r>
  <r>
    <x v="4"/>
    <x v="52"/>
    <s v="TENNESSEE WHISKIES"/>
    <x v="6"/>
    <n v="47802"/>
    <n v="1015284.9499999937"/>
    <m/>
    <n v="5809"/>
  </r>
  <r>
    <x v="4"/>
    <x v="52"/>
    <s v="WHISKEY LIQUEUR"/>
    <x v="6"/>
    <n v="373817"/>
    <n v="2172964.3399999724"/>
    <m/>
    <n v="14239"/>
  </r>
  <r>
    <x v="4"/>
    <x v="52"/>
    <s v="WHITE RUM"/>
    <x v="0"/>
    <n v="32412"/>
    <n v="391053.01999999915"/>
    <m/>
    <n v="3035"/>
  </r>
  <r>
    <x v="4"/>
    <x v="52"/>
    <s v="AMERICAN BRANDIES"/>
    <x v="1"/>
    <n v="55851"/>
    <n v="372434.56000000157"/>
    <m/>
    <n v="4730"/>
  </r>
  <r>
    <x v="4"/>
    <x v="52"/>
    <s v="AGED DARK RUM"/>
    <x v="0"/>
    <n v="2837"/>
    <n v="62807.930000000029"/>
    <m/>
    <n v="551"/>
  </r>
  <r>
    <x v="4"/>
    <x v="52"/>
    <s v="FLAVORED GIN"/>
    <x v="4"/>
    <n v="2717"/>
    <n v="68884.070000000007"/>
    <m/>
    <n v="388"/>
  </r>
  <r>
    <x v="4"/>
    <x v="52"/>
    <s v="IMPORTED BRANDIES"/>
    <x v="1"/>
    <n v="23871"/>
    <n v="592377.71000000043"/>
    <m/>
    <n v="2597"/>
  </r>
  <r>
    <x v="4"/>
    <x v="52"/>
    <s v="IMPORTED DISTILLED SPIRITS SPECIALTY"/>
    <x v="3"/>
    <n v="32882"/>
    <n v="229537.42000000057"/>
    <m/>
    <n v="1088"/>
  </r>
  <r>
    <x v="4"/>
    <x v="52"/>
    <s v="IMPORTED DRY GINS"/>
    <x v="4"/>
    <n v="11913"/>
    <n v="304836.96000000072"/>
    <m/>
    <n v="1576"/>
  </r>
  <r>
    <x v="4"/>
    <x v="52"/>
    <s v="NEUTRAL GRAIN SPIRITS"/>
    <x v="3"/>
    <n v="2091"/>
    <n v="30811.900000000005"/>
    <m/>
    <n v="310"/>
  </r>
  <r>
    <x v="4"/>
    <x v="52"/>
    <s v="SCOTCH WHISKIES"/>
    <x v="6"/>
    <n v="13149"/>
    <n v="385804.6299999996"/>
    <m/>
    <n v="2541"/>
  </r>
  <r>
    <x v="4"/>
    <x v="52"/>
    <s v="SINGLE BARREL BOURBON WHISKIES"/>
    <x v="6"/>
    <n v="2459"/>
    <n v="98656.710000000036"/>
    <m/>
    <n v="661"/>
  </r>
  <r>
    <x v="4"/>
    <x v="52"/>
    <s v="SINGLE MALT SCOTCH"/>
    <x v="6"/>
    <n v="3942"/>
    <n v="231048.51000000059"/>
    <m/>
    <n v="953"/>
  </r>
  <r>
    <x v="4"/>
    <x v="52"/>
    <s v="TEMPORARY &amp; SPECIALTY PACKAGES"/>
    <x v="3"/>
    <n v="12807"/>
    <n v="501556.28999999835"/>
    <m/>
    <n v="4227"/>
  </r>
  <r>
    <x v="4"/>
    <x v="52"/>
    <s v="TRIPLE SEC"/>
    <x v="3"/>
    <n v="14384"/>
    <n v="59667.490000000027"/>
    <m/>
    <n v="637"/>
  </r>
  <r>
    <x v="4"/>
    <x v="52"/>
    <s v="AMERICAN DRY GINS"/>
    <x v="4"/>
    <n v="24394"/>
    <n v="240770.32000000108"/>
    <m/>
    <n v="2280"/>
  </r>
  <r>
    <x v="4"/>
    <x v="52"/>
    <s v="BOTTLED IN BOND BOURBON"/>
    <x v="6"/>
    <n v="4664"/>
    <n v="124471.88000000006"/>
    <m/>
    <n v="1064"/>
  </r>
  <r>
    <x v="4"/>
    <x v="52"/>
    <s v="GOLD RUM"/>
    <x v="0"/>
    <n v="5530"/>
    <n v="77462.740000000049"/>
    <m/>
    <n v="827"/>
  </r>
  <r>
    <x v="4"/>
    <x v="52"/>
    <s v="MEZCAL"/>
    <x v="7"/>
    <n v="999"/>
    <n v="30209.939999999973"/>
    <m/>
    <n v="203"/>
  </r>
  <r>
    <x v="4"/>
    <x v="52"/>
    <s v="CORN WHISKIES"/>
    <x v="6"/>
    <n v="393"/>
    <n v="9211.8900000000012"/>
    <m/>
    <n v="72"/>
  </r>
  <r>
    <x v="4"/>
    <x v="52"/>
    <s v="SPECIAL ORDER ITEMS"/>
    <x v="3"/>
    <n v="4046"/>
    <n v="53383.240000000013"/>
    <m/>
    <n v="138"/>
  </r>
  <r>
    <x v="4"/>
    <x v="52"/>
    <s v="AMERICAN SLOE GINS"/>
    <x v="4"/>
    <n v="229"/>
    <n v="1955.6599999999992"/>
    <m/>
    <n v="49"/>
  </r>
  <r>
    <x v="4"/>
    <x v="53"/>
    <s v="100% AGAVE TEQUILA"/>
    <x v="7"/>
    <n v="83433"/>
    <n v="2476234.4799999553"/>
    <m/>
    <n v="9425"/>
  </r>
  <r>
    <x v="4"/>
    <x v="53"/>
    <s v="AMERICAN VODKAS"/>
    <x v="5"/>
    <n v="457088"/>
    <n v="4782197.2100001341"/>
    <m/>
    <n v="28406"/>
  </r>
  <r>
    <x v="4"/>
    <x v="53"/>
    <s v="COCKTAILS/RTD"/>
    <x v="3"/>
    <n v="55320"/>
    <n v="726995.08000000042"/>
    <m/>
    <n v="5988"/>
  </r>
  <r>
    <x v="4"/>
    <x v="53"/>
    <s v="FLAVORED RUM"/>
    <x v="0"/>
    <n v="27883"/>
    <n v="432857.64000000031"/>
    <m/>
    <n v="3024"/>
  </r>
  <r>
    <x v="4"/>
    <x v="53"/>
    <s v="AMERICAN FLAVORED VODKA"/>
    <x v="5"/>
    <n v="62286"/>
    <n v="697505.17000001646"/>
    <m/>
    <n v="7391"/>
  </r>
  <r>
    <x v="4"/>
    <x v="53"/>
    <s v="MIXTO TEQUILA"/>
    <x v="7"/>
    <n v="58539"/>
    <n v="827633.89999999327"/>
    <m/>
    <n v="3819"/>
  </r>
  <r>
    <x v="4"/>
    <x v="53"/>
    <s v="STRAIGHT BOURBON WHISKIES"/>
    <x v="6"/>
    <n v="126008"/>
    <n v="2945758.6200000094"/>
    <m/>
    <n v="14542"/>
  </r>
  <r>
    <x v="4"/>
    <x v="53"/>
    <s v="AMERICAN BRANDIES"/>
    <x v="1"/>
    <n v="48705"/>
    <n v="316541.76000000176"/>
    <m/>
    <n v="3915"/>
  </r>
  <r>
    <x v="4"/>
    <x v="53"/>
    <s v="AMERICAN CORDIALS &amp; LIQUEURSS"/>
    <x v="2"/>
    <n v="27614"/>
    <n v="315141.90000000125"/>
    <m/>
    <n v="4154"/>
  </r>
  <r>
    <x v="4"/>
    <x v="53"/>
    <s v="AMERICAN DRY GINS"/>
    <x v="4"/>
    <n v="22739"/>
    <n v="215503.68000000101"/>
    <m/>
    <n v="2142"/>
  </r>
  <r>
    <x v="4"/>
    <x v="53"/>
    <s v="AMERICAN SCHNAPPS"/>
    <x v="2"/>
    <n v="83503"/>
    <n v="577769.86999997392"/>
    <m/>
    <n v="6643"/>
  </r>
  <r>
    <x v="4"/>
    <x v="53"/>
    <s v="BLENDED WHISKIES"/>
    <x v="6"/>
    <n v="47827"/>
    <n v="634123.91999999492"/>
    <m/>
    <n v="5542"/>
  </r>
  <r>
    <x v="4"/>
    <x v="53"/>
    <s v="CANADIAN WHISKIES"/>
    <x v="6"/>
    <n v="250532"/>
    <n v="4270276.3099998096"/>
    <m/>
    <n v="17468"/>
  </r>
  <r>
    <x v="4"/>
    <x v="53"/>
    <s v="COFFEE LIQUEURS"/>
    <x v="2"/>
    <n v="9446"/>
    <n v="198377.00000000058"/>
    <m/>
    <n v="1066"/>
  </r>
  <r>
    <x v="4"/>
    <x v="53"/>
    <s v="CREAM LIQUEURS"/>
    <x v="2"/>
    <n v="27243"/>
    <n v="561792.83999999508"/>
    <m/>
    <n v="3054"/>
  </r>
  <r>
    <x v="4"/>
    <x v="53"/>
    <s v="GOLD RUM"/>
    <x v="0"/>
    <n v="4867"/>
    <n v="67483.880000000019"/>
    <m/>
    <n v="723"/>
  </r>
  <r>
    <x v="4"/>
    <x v="53"/>
    <s v="IMPORTED BRANDIES"/>
    <x v="1"/>
    <n v="25772"/>
    <n v="617283.86000000185"/>
    <m/>
    <n v="2424"/>
  </r>
  <r>
    <x v="4"/>
    <x v="53"/>
    <s v="IMPORTED CORDIALS &amp; LIQUEURSS"/>
    <x v="2"/>
    <n v="34280"/>
    <n v="818417.24999999988"/>
    <m/>
    <n v="4047"/>
  </r>
  <r>
    <x v="4"/>
    <x v="53"/>
    <s v="IMPORTED DISTILLED SPIRITS SPECIALTY"/>
    <x v="3"/>
    <n v="29579"/>
    <n v="207502.96000000078"/>
    <m/>
    <n v="851"/>
  </r>
  <r>
    <x v="4"/>
    <x v="53"/>
    <s v="IMPORTED DRY GINS"/>
    <x v="4"/>
    <n v="13088"/>
    <n v="348665.63999999972"/>
    <m/>
    <n v="1504"/>
  </r>
  <r>
    <x v="4"/>
    <x v="53"/>
    <s v="IMPORTED FLAVORED VODKA"/>
    <x v="5"/>
    <n v="13795"/>
    <n v="225083.96000000264"/>
    <m/>
    <n v="1866"/>
  </r>
  <r>
    <x v="4"/>
    <x v="53"/>
    <s v="IMPORTED SCHNAPPS"/>
    <x v="2"/>
    <n v="21658"/>
    <n v="402968.5699999996"/>
    <m/>
    <n v="2096"/>
  </r>
  <r>
    <x v="4"/>
    <x v="53"/>
    <s v="IMPORTED VODKAS"/>
    <x v="5"/>
    <n v="49558"/>
    <n v="819671.22999998683"/>
    <m/>
    <n v="3905"/>
  </r>
  <r>
    <x v="4"/>
    <x v="53"/>
    <s v="IRISH WHISKIES"/>
    <x v="6"/>
    <n v="35287"/>
    <n v="956579.67999998992"/>
    <m/>
    <n v="2346"/>
  </r>
  <r>
    <x v="4"/>
    <x v="53"/>
    <s v="NEUTRAL GRAIN SPIRITS"/>
    <x v="3"/>
    <n v="1901"/>
    <n v="27005.799999999988"/>
    <m/>
    <n v="245"/>
  </r>
  <r>
    <x v="4"/>
    <x v="53"/>
    <s v="NEUTRAL GRAIN SPIRITS FLAVORED"/>
    <x v="3"/>
    <n v="12025"/>
    <n v="201239.7500000016"/>
    <m/>
    <n v="2303"/>
  </r>
  <r>
    <x v="4"/>
    <x v="53"/>
    <s v="SCOTCH WHISKIES"/>
    <x v="6"/>
    <n v="11583"/>
    <n v="319900.87000000029"/>
    <m/>
    <n v="2040"/>
  </r>
  <r>
    <x v="4"/>
    <x v="53"/>
    <s v="SINGLE MALT SCOTCH"/>
    <x v="6"/>
    <n v="4127"/>
    <n v="231222.43000000058"/>
    <m/>
    <n v="909"/>
  </r>
  <r>
    <x v="4"/>
    <x v="53"/>
    <s v="SPICED RUM"/>
    <x v="0"/>
    <n v="80269"/>
    <n v="1111047.3299999724"/>
    <m/>
    <n v="6491"/>
  </r>
  <r>
    <x v="4"/>
    <x v="53"/>
    <s v="STRAIGHT RYE WHISKIES"/>
    <x v="6"/>
    <n v="8788"/>
    <n v="303958.41000000056"/>
    <m/>
    <n v="1458"/>
  </r>
  <r>
    <x v="4"/>
    <x v="53"/>
    <s v="TEMPORARY &amp; SPECIALTY PACKAGES"/>
    <x v="3"/>
    <n v="20663"/>
    <n v="626594.76000000408"/>
    <m/>
    <n v="2768"/>
  </r>
  <r>
    <x v="4"/>
    <x v="53"/>
    <s v="TENNESSEE WHISKIES"/>
    <x v="6"/>
    <n v="54394"/>
    <n v="1212897.0899999882"/>
    <m/>
    <n v="5319"/>
  </r>
  <r>
    <x v="4"/>
    <x v="53"/>
    <s v="WHISKEY LIQUEUR"/>
    <x v="6"/>
    <n v="325358"/>
    <n v="1774634.9699999616"/>
    <m/>
    <n v="12191"/>
  </r>
  <r>
    <x v="4"/>
    <x v="53"/>
    <s v="WHITE RUM"/>
    <x v="0"/>
    <n v="31399"/>
    <n v="390144.06999999902"/>
    <m/>
    <n v="2709"/>
  </r>
  <r>
    <x v="4"/>
    <x v="53"/>
    <s v="BOTTLED IN BOND BOURBON"/>
    <x v="6"/>
    <n v="3933"/>
    <n v="119677.21000000004"/>
    <m/>
    <n v="766"/>
  </r>
  <r>
    <x v="4"/>
    <x v="53"/>
    <s v="AGED DARK RUM"/>
    <x v="0"/>
    <n v="3136"/>
    <n v="69295.240000000034"/>
    <m/>
    <n v="532"/>
  </r>
  <r>
    <x v="4"/>
    <x v="53"/>
    <s v="AMERICAN DISTILLED SPIRITS SPECIALTY"/>
    <x v="3"/>
    <n v="3345"/>
    <n v="47009.319999999949"/>
    <m/>
    <n v="386"/>
  </r>
  <r>
    <x v="4"/>
    <x v="53"/>
    <s v="CORN WHISKIES"/>
    <x v="6"/>
    <n v="299"/>
    <n v="6411.75"/>
    <m/>
    <n v="45"/>
  </r>
  <r>
    <x v="4"/>
    <x v="53"/>
    <s v="TRIPLE SEC"/>
    <x v="3"/>
    <n v="13439"/>
    <n v="55853.860000000037"/>
    <m/>
    <n v="548"/>
  </r>
  <r>
    <x v="4"/>
    <x v="53"/>
    <s v="MEZCAL"/>
    <x v="7"/>
    <n v="984"/>
    <n v="30613.209999999981"/>
    <m/>
    <n v="188"/>
  </r>
  <r>
    <x v="4"/>
    <x v="53"/>
    <s v="SPECIAL ORDER ITEMS"/>
    <x v="3"/>
    <n v="7704"/>
    <n v="94100.379999999976"/>
    <m/>
    <n v="119"/>
  </r>
  <r>
    <x v="4"/>
    <x v="53"/>
    <s v="FLAVORED GIN"/>
    <x v="4"/>
    <n v="3712"/>
    <n v="97353.66"/>
    <m/>
    <n v="320"/>
  </r>
  <r>
    <x v="4"/>
    <x v="53"/>
    <s v="AMERICAN SLOE GINS"/>
    <x v="4"/>
    <n v="225"/>
    <n v="1921.4999999999998"/>
    <m/>
    <n v="38"/>
  </r>
  <r>
    <x v="4"/>
    <x v="53"/>
    <s v="SINGLE BARREL BOURBON WHISKIES"/>
    <x v="6"/>
    <n v="3480"/>
    <n v="145447.73000000027"/>
    <m/>
    <n v="636"/>
  </r>
  <r>
    <x v="4"/>
    <x v="54"/>
    <s v="COCKTAILS/RTD"/>
    <x v="3"/>
    <n v="66511"/>
    <n v="784579.63999999384"/>
    <m/>
    <n v="6413"/>
  </r>
  <r>
    <x v="4"/>
    <x v="54"/>
    <s v="AMERICAN VODKAS"/>
    <x v="5"/>
    <n v="496660"/>
    <n v="4832195.2600000901"/>
    <m/>
    <n v="31137"/>
  </r>
  <r>
    <x v="4"/>
    <x v="54"/>
    <s v="BLENDED WHISKIES"/>
    <x v="6"/>
    <n v="65705"/>
    <n v="826991.28999999585"/>
    <m/>
    <n v="6670"/>
  </r>
  <r>
    <x v="4"/>
    <x v="54"/>
    <s v="CANADIAN WHISKIES"/>
    <x v="6"/>
    <n v="206639"/>
    <n v="3206856.7299998491"/>
    <m/>
    <n v="18359"/>
  </r>
  <r>
    <x v="4"/>
    <x v="54"/>
    <s v="STRAIGHT BOURBON WHISKIES"/>
    <x v="6"/>
    <n v="129776"/>
    <n v="2891156.2100000153"/>
    <m/>
    <n v="15562"/>
  </r>
  <r>
    <x v="4"/>
    <x v="54"/>
    <s v="WHISKEY LIQUEUR"/>
    <x v="6"/>
    <n v="355805"/>
    <n v="2065495.9499999513"/>
    <m/>
    <n v="13493"/>
  </r>
  <r>
    <x v="4"/>
    <x v="54"/>
    <s v="100% AGAVE TEQUILA"/>
    <x v="7"/>
    <n v="93644"/>
    <n v="2619453.6599999345"/>
    <m/>
    <n v="11159"/>
  </r>
  <r>
    <x v="4"/>
    <x v="54"/>
    <s v="AGED DARK RUM"/>
    <x v="0"/>
    <n v="3480"/>
    <n v="74584.00999999998"/>
    <m/>
    <n v="595"/>
  </r>
  <r>
    <x v="4"/>
    <x v="54"/>
    <s v="AMERICAN BRANDIES"/>
    <x v="1"/>
    <n v="52579"/>
    <n v="329391.52000000171"/>
    <m/>
    <n v="4103"/>
  </r>
  <r>
    <x v="4"/>
    <x v="54"/>
    <s v="AMERICAN CORDIALS &amp; LIQUEURSS"/>
    <x v="2"/>
    <n v="31824"/>
    <n v="360219.53999999713"/>
    <m/>
    <n v="4690"/>
  </r>
  <r>
    <x v="4"/>
    <x v="54"/>
    <s v="AMERICAN DRY GINS"/>
    <x v="4"/>
    <n v="25126"/>
    <n v="233833.49000000046"/>
    <m/>
    <n v="2271"/>
  </r>
  <r>
    <x v="4"/>
    <x v="54"/>
    <s v="AMERICAN FLAVORED VODKA"/>
    <x v="5"/>
    <n v="71193"/>
    <n v="819644.55000003357"/>
    <m/>
    <n v="8340"/>
  </r>
  <r>
    <x v="4"/>
    <x v="54"/>
    <s v="AMERICAN SCHNAPPS"/>
    <x v="2"/>
    <n v="89095"/>
    <n v="624306.08999996644"/>
    <m/>
    <n v="7105"/>
  </r>
  <r>
    <x v="4"/>
    <x v="54"/>
    <s v="BOTTLED IN BOND BOURBON"/>
    <x v="6"/>
    <n v="2987"/>
    <n v="81073.000000000015"/>
    <m/>
    <n v="1008"/>
  </r>
  <r>
    <x v="4"/>
    <x v="54"/>
    <s v="COFFEE LIQUEURS"/>
    <x v="2"/>
    <n v="6910"/>
    <n v="145761.88000000067"/>
    <m/>
    <n v="801"/>
  </r>
  <r>
    <x v="4"/>
    <x v="54"/>
    <s v="CREAM LIQUEURS"/>
    <x v="2"/>
    <n v="24065"/>
    <n v="496850.38999999559"/>
    <m/>
    <n v="2991"/>
  </r>
  <r>
    <x v="4"/>
    <x v="54"/>
    <s v="FLAVORED RUM"/>
    <x v="0"/>
    <n v="32251"/>
    <n v="480076.48000000068"/>
    <m/>
    <n v="3279"/>
  </r>
  <r>
    <x v="4"/>
    <x v="54"/>
    <s v="GOLD RUM"/>
    <x v="0"/>
    <n v="4517"/>
    <n v="60440.180000000044"/>
    <m/>
    <n v="688"/>
  </r>
  <r>
    <x v="4"/>
    <x v="54"/>
    <s v="IMPORTED BRANDIES"/>
    <x v="1"/>
    <n v="34306"/>
    <n v="684613.9700000016"/>
    <m/>
    <n v="2976"/>
  </r>
  <r>
    <x v="4"/>
    <x v="54"/>
    <s v="IMPORTED CORDIALS &amp; LIQUEURSS"/>
    <x v="2"/>
    <n v="42650"/>
    <n v="979712.37000000011"/>
    <m/>
    <n v="4573"/>
  </r>
  <r>
    <x v="4"/>
    <x v="54"/>
    <s v="IMPORTED DISTILLED SPIRITS SPECIALTY"/>
    <x v="3"/>
    <n v="28584"/>
    <n v="200660.09999999998"/>
    <m/>
    <n v="866"/>
  </r>
  <r>
    <x v="4"/>
    <x v="54"/>
    <s v="IMPORTED DRY GINS"/>
    <x v="4"/>
    <n v="12271"/>
    <n v="311445.27000000095"/>
    <m/>
    <n v="1657"/>
  </r>
  <r>
    <x v="4"/>
    <x v="54"/>
    <s v="IMPORTED FLAVORED VODKA"/>
    <x v="5"/>
    <n v="16827"/>
    <n v="275318.14000000223"/>
    <m/>
    <n v="2019"/>
  </r>
  <r>
    <x v="4"/>
    <x v="54"/>
    <s v="IMPORTED SCHNAPPS"/>
    <x v="2"/>
    <n v="26293"/>
    <n v="479395.33000000141"/>
    <m/>
    <n v="2363"/>
  </r>
  <r>
    <x v="4"/>
    <x v="54"/>
    <s v="IMPORTED VODKAS"/>
    <x v="5"/>
    <n v="64071"/>
    <n v="965960.99999998778"/>
    <m/>
    <n v="4208"/>
  </r>
  <r>
    <x v="4"/>
    <x v="54"/>
    <s v="IRISH WHISKIES"/>
    <x v="6"/>
    <n v="33076"/>
    <n v="898778.51999997871"/>
    <m/>
    <n v="3037"/>
  </r>
  <r>
    <x v="4"/>
    <x v="54"/>
    <s v="MEZCAL"/>
    <x v="7"/>
    <n v="977"/>
    <n v="31673.919999999976"/>
    <m/>
    <n v="191"/>
  </r>
  <r>
    <x v="4"/>
    <x v="54"/>
    <s v="MIXTO TEQUILA"/>
    <x v="7"/>
    <n v="58173"/>
    <n v="786900.00999999396"/>
    <m/>
    <n v="4159"/>
  </r>
  <r>
    <x v="4"/>
    <x v="54"/>
    <s v="NEUTRAL GRAIN SPIRITS"/>
    <x v="3"/>
    <n v="1934"/>
    <n v="28056.399999999994"/>
    <m/>
    <n v="274"/>
  </r>
  <r>
    <x v="4"/>
    <x v="54"/>
    <s v="NEUTRAL GRAIN SPIRITS FLAVORED"/>
    <x v="3"/>
    <n v="11203"/>
    <n v="186187.90000000133"/>
    <m/>
    <n v="2437"/>
  </r>
  <r>
    <x v="4"/>
    <x v="54"/>
    <s v="SCOTCH WHISKIES"/>
    <x v="6"/>
    <n v="11131"/>
    <n v="298146.40999999992"/>
    <m/>
    <n v="1987"/>
  </r>
  <r>
    <x v="4"/>
    <x v="54"/>
    <s v="SINGLE BARREL BOURBON WHISKIES"/>
    <x v="6"/>
    <n v="3564"/>
    <n v="147087.60999999999"/>
    <m/>
    <n v="880"/>
  </r>
  <r>
    <x v="4"/>
    <x v="54"/>
    <s v="SINGLE MALT SCOTCH"/>
    <x v="6"/>
    <n v="3890"/>
    <n v="231040.30000000045"/>
    <m/>
    <n v="1143"/>
  </r>
  <r>
    <x v="4"/>
    <x v="54"/>
    <s v="SPICED RUM"/>
    <x v="0"/>
    <n v="136762"/>
    <n v="2548110.7799998443"/>
    <m/>
    <n v="7100"/>
  </r>
  <r>
    <x v="4"/>
    <x v="54"/>
    <s v="STRAIGHT RYE WHISKIES"/>
    <x v="6"/>
    <n v="7556"/>
    <n v="229058.77000000086"/>
    <m/>
    <n v="1544"/>
  </r>
  <r>
    <x v="4"/>
    <x v="54"/>
    <s v="TEMPORARY &amp; SPECIALTY PACKAGES"/>
    <x v="3"/>
    <n v="40202"/>
    <n v="1221911.5499999591"/>
    <m/>
    <n v="4892"/>
  </r>
  <r>
    <x v="4"/>
    <x v="54"/>
    <s v="TENNESSEE WHISKIES"/>
    <x v="6"/>
    <n v="60605"/>
    <n v="1388085.209999993"/>
    <m/>
    <n v="5687"/>
  </r>
  <r>
    <x v="4"/>
    <x v="54"/>
    <s v="TRIPLE SEC"/>
    <x v="3"/>
    <n v="15241"/>
    <n v="62777.490000000042"/>
    <m/>
    <n v="573"/>
  </r>
  <r>
    <x v="4"/>
    <x v="54"/>
    <s v="WHITE RUM"/>
    <x v="0"/>
    <n v="30722"/>
    <n v="362505.31999999884"/>
    <m/>
    <n v="2923"/>
  </r>
  <r>
    <x v="4"/>
    <x v="54"/>
    <s v="AMERICAN DISTILLED SPIRITS SPECIALTY"/>
    <x v="3"/>
    <n v="4016"/>
    <n v="69966.249999999927"/>
    <m/>
    <n v="486"/>
  </r>
  <r>
    <x v="4"/>
    <x v="54"/>
    <s v="SPECIAL ORDER ITEMS"/>
    <x v="3"/>
    <n v="10571"/>
    <n v="124425.63999999998"/>
    <m/>
    <n v="116"/>
  </r>
  <r>
    <x v="4"/>
    <x v="54"/>
    <s v="FLAVORED GIN"/>
    <x v="4"/>
    <n v="2555"/>
    <n v="64754.239999999998"/>
    <m/>
    <n v="301"/>
  </r>
  <r>
    <x v="4"/>
    <x v="54"/>
    <s v="CORN WHISKIES"/>
    <x v="6"/>
    <n v="409"/>
    <n v="8120.6399999999985"/>
    <m/>
    <n v="47"/>
  </r>
  <r>
    <x v="4"/>
    <x v="54"/>
    <s v="AMERICAN SLOE GINS"/>
    <x v="4"/>
    <n v="140"/>
    <n v="1195.5999999999999"/>
    <m/>
    <n v="30"/>
  </r>
  <r>
    <x v="4"/>
    <x v="55"/>
    <s v="AMERICAN BRANDIES"/>
    <x v="1"/>
    <n v="52966"/>
    <n v="334514.77000000182"/>
    <m/>
    <n v="4144"/>
  </r>
  <r>
    <x v="4"/>
    <x v="55"/>
    <s v="AMERICAN CORDIALS &amp; LIQUEURSS"/>
    <x v="2"/>
    <n v="32857"/>
    <n v="381403.95999999589"/>
    <m/>
    <n v="5174"/>
  </r>
  <r>
    <x v="4"/>
    <x v="55"/>
    <s v="AMERICAN FLAVORED VODKA"/>
    <x v="5"/>
    <n v="79002"/>
    <n v="896126.76000003959"/>
    <m/>
    <n v="9313"/>
  </r>
  <r>
    <x v="4"/>
    <x v="55"/>
    <s v="AMERICAN SCHNAPPS"/>
    <x v="2"/>
    <n v="96601"/>
    <n v="705803.23999996379"/>
    <m/>
    <n v="7863"/>
  </r>
  <r>
    <x v="4"/>
    <x v="55"/>
    <s v="AMERICAN VODKAS"/>
    <x v="5"/>
    <n v="529807"/>
    <n v="5065855.0200000731"/>
    <m/>
    <n v="33401"/>
  </r>
  <r>
    <x v="4"/>
    <x v="55"/>
    <s v="BLENDED WHISKIES"/>
    <x v="6"/>
    <n v="64376"/>
    <n v="842760.54999998561"/>
    <m/>
    <n v="6959"/>
  </r>
  <r>
    <x v="4"/>
    <x v="55"/>
    <s v="CANADIAN WHISKIES"/>
    <x v="6"/>
    <n v="252918"/>
    <n v="4286941.0399998575"/>
    <m/>
    <n v="19221"/>
  </r>
  <r>
    <x v="4"/>
    <x v="55"/>
    <s v="COCKTAILS/RTD"/>
    <x v="3"/>
    <n v="79735"/>
    <n v="968593.95000000263"/>
    <m/>
    <n v="7779"/>
  </r>
  <r>
    <x v="4"/>
    <x v="55"/>
    <s v="FLAVORED RUM"/>
    <x v="0"/>
    <n v="43112"/>
    <n v="679526.97999998846"/>
    <m/>
    <n v="3816"/>
  </r>
  <r>
    <x v="4"/>
    <x v="55"/>
    <s v="GOLD RUM"/>
    <x v="0"/>
    <n v="5280"/>
    <n v="76333.890000000014"/>
    <m/>
    <n v="804"/>
  </r>
  <r>
    <x v="4"/>
    <x v="55"/>
    <s v="IMPORTED CORDIALS &amp; LIQUEURSS"/>
    <x v="2"/>
    <n v="40919"/>
    <n v="969205.13000000443"/>
    <m/>
    <n v="4877"/>
  </r>
  <r>
    <x v="4"/>
    <x v="55"/>
    <s v="IMPORTED DRY GINS"/>
    <x v="4"/>
    <n v="16409"/>
    <n v="426005.7799999998"/>
    <m/>
    <n v="2011"/>
  </r>
  <r>
    <x v="4"/>
    <x v="55"/>
    <s v="IMPORTED FLAVORED VODKA"/>
    <x v="5"/>
    <n v="19165"/>
    <n v="307776.0500000022"/>
    <m/>
    <n v="2375"/>
  </r>
  <r>
    <x v="4"/>
    <x v="55"/>
    <s v="IMPORTED VODKAS"/>
    <x v="5"/>
    <n v="76095"/>
    <n v="1176019.5299999567"/>
    <m/>
    <n v="4721"/>
  </r>
  <r>
    <x v="4"/>
    <x v="55"/>
    <s v="SCOTCH WHISKIES"/>
    <x v="6"/>
    <n v="13687"/>
    <n v="394780.28999999963"/>
    <m/>
    <n v="2440"/>
  </r>
  <r>
    <x v="4"/>
    <x v="55"/>
    <s v="SPICED RUM"/>
    <x v="0"/>
    <n v="96791"/>
    <n v="1349458.0699999288"/>
    <m/>
    <n v="7391"/>
  </r>
  <r>
    <x v="4"/>
    <x v="55"/>
    <s v="STRAIGHT BOURBON WHISKIES"/>
    <x v="6"/>
    <n v="141868"/>
    <n v="3306784.8700000439"/>
    <m/>
    <n v="17630"/>
  </r>
  <r>
    <x v="4"/>
    <x v="55"/>
    <s v="WHISKEY LIQUEUR"/>
    <x v="6"/>
    <n v="408872"/>
    <n v="2306181.6499999929"/>
    <m/>
    <n v="14900"/>
  </r>
  <r>
    <x v="4"/>
    <x v="55"/>
    <s v="WHITE RUM"/>
    <x v="0"/>
    <n v="35605"/>
    <n v="435193.7599999985"/>
    <m/>
    <n v="3252"/>
  </r>
  <r>
    <x v="4"/>
    <x v="55"/>
    <s v="100% AGAVE TEQUILA"/>
    <x v="7"/>
    <n v="112255"/>
    <n v="3225682.8299999479"/>
    <m/>
    <n v="12921"/>
  </r>
  <r>
    <x v="4"/>
    <x v="55"/>
    <s v="BOTTLED IN BOND BOURBON"/>
    <x v="6"/>
    <n v="3332"/>
    <n v="100057.94000000008"/>
    <m/>
    <n v="706"/>
  </r>
  <r>
    <x v="4"/>
    <x v="55"/>
    <s v="CREAM LIQUEURS"/>
    <x v="2"/>
    <n v="19108"/>
    <n v="381975.7699999967"/>
    <m/>
    <n v="2950"/>
  </r>
  <r>
    <x v="4"/>
    <x v="55"/>
    <s v="IMPORTED BRANDIES"/>
    <x v="1"/>
    <n v="33114"/>
    <n v="755531.36999999569"/>
    <m/>
    <n v="3106"/>
  </r>
  <r>
    <x v="4"/>
    <x v="55"/>
    <s v="IRISH WHISKIES"/>
    <x v="6"/>
    <n v="21802"/>
    <n v="606948.22999999521"/>
    <m/>
    <n v="2272"/>
  </r>
  <r>
    <x v="4"/>
    <x v="55"/>
    <s v="MIXTO TEQUILA"/>
    <x v="7"/>
    <n v="71189"/>
    <n v="1013450.4399999924"/>
    <m/>
    <n v="4843"/>
  </r>
  <r>
    <x v="4"/>
    <x v="55"/>
    <s v="NEUTRAL GRAIN SPIRITS FLAVORED"/>
    <x v="3"/>
    <n v="12561"/>
    <n v="207921.65000000253"/>
    <m/>
    <n v="2565"/>
  </r>
  <r>
    <x v="4"/>
    <x v="55"/>
    <s v="STRAIGHT RYE WHISKIES"/>
    <x v="6"/>
    <n v="9429"/>
    <n v="287920.16000000079"/>
    <m/>
    <n v="1678"/>
  </r>
  <r>
    <x v="4"/>
    <x v="55"/>
    <s v="TEMPORARY &amp; SPECIALTY PACKAGES"/>
    <x v="3"/>
    <n v="22581"/>
    <n v="778364.13000000338"/>
    <m/>
    <n v="4118"/>
  </r>
  <r>
    <x v="4"/>
    <x v="55"/>
    <s v="TENNESSEE WHISKIES"/>
    <x v="6"/>
    <n v="53240"/>
    <n v="1167581.4899999951"/>
    <m/>
    <n v="5863"/>
  </r>
  <r>
    <x v="4"/>
    <x v="55"/>
    <s v="IMPORTED SCHNAPPS"/>
    <x v="2"/>
    <n v="25026"/>
    <n v="449006.85000000126"/>
    <m/>
    <n v="2579"/>
  </r>
  <r>
    <x v="4"/>
    <x v="55"/>
    <s v="MEZCAL"/>
    <x v="7"/>
    <n v="1771"/>
    <n v="50893.830000000009"/>
    <m/>
    <n v="272"/>
  </r>
  <r>
    <x v="4"/>
    <x v="55"/>
    <s v="AGED DARK RUM"/>
    <x v="0"/>
    <n v="3455"/>
    <n v="74027.44000000009"/>
    <m/>
    <n v="614"/>
  </r>
  <r>
    <x v="4"/>
    <x v="55"/>
    <s v="AMERICAN DISTILLED SPIRITS SPECIALTY"/>
    <x v="3"/>
    <n v="5097"/>
    <n v="122804.16999999966"/>
    <m/>
    <n v="951"/>
  </r>
  <r>
    <x v="4"/>
    <x v="55"/>
    <s v="AMERICAN DRY GINS"/>
    <x v="4"/>
    <n v="26636"/>
    <n v="249278.19000000111"/>
    <m/>
    <n v="2534"/>
  </r>
  <r>
    <x v="4"/>
    <x v="55"/>
    <s v="AMERICAN SLOE GINS"/>
    <x v="4"/>
    <n v="201"/>
    <n v="1716.5399999999997"/>
    <m/>
    <n v="37"/>
  </r>
  <r>
    <x v="4"/>
    <x v="55"/>
    <s v="COFFEE LIQUEURS"/>
    <x v="2"/>
    <n v="7035"/>
    <n v="145469.22000000067"/>
    <m/>
    <n v="826"/>
  </r>
  <r>
    <x v="4"/>
    <x v="55"/>
    <s v="NEUTRAL GRAIN SPIRITS"/>
    <x v="3"/>
    <n v="2108"/>
    <n v="29949.609999999993"/>
    <m/>
    <n v="283"/>
  </r>
  <r>
    <x v="4"/>
    <x v="55"/>
    <s v="SPECIAL ORDER ITEMS"/>
    <x v="3"/>
    <n v="10809"/>
    <n v="125494.93000000002"/>
    <m/>
    <n v="115"/>
  </r>
  <r>
    <x v="4"/>
    <x v="55"/>
    <s v="TRIPLE SEC"/>
    <x v="3"/>
    <n v="17500"/>
    <n v="73395.9399999999"/>
    <m/>
    <n v="685"/>
  </r>
  <r>
    <x v="4"/>
    <x v="55"/>
    <s v="SINGLE BARREL BOURBON WHISKIES"/>
    <x v="6"/>
    <n v="3180"/>
    <n v="135052.82000000009"/>
    <m/>
    <n v="757"/>
  </r>
  <r>
    <x v="4"/>
    <x v="55"/>
    <s v="SINGLE MALT SCOTCH"/>
    <x v="6"/>
    <n v="3878"/>
    <n v="225128.55000000086"/>
    <m/>
    <n v="1065"/>
  </r>
  <r>
    <x v="4"/>
    <x v="55"/>
    <s v="IMPORTED DISTILLED SPIRITS SPECIALTY"/>
    <x v="3"/>
    <n v="40284"/>
    <n v="287611.78999999986"/>
    <m/>
    <n v="976"/>
  </r>
  <r>
    <x v="4"/>
    <x v="55"/>
    <s v="FLAVORED GIN"/>
    <x v="4"/>
    <n v="3348"/>
    <n v="85547.870000000039"/>
    <m/>
    <n v="428"/>
  </r>
  <r>
    <x v="4"/>
    <x v="55"/>
    <s v="CORN WHISKIES"/>
    <x v="6"/>
    <n v="428"/>
    <n v="9909.2999999999993"/>
    <m/>
    <n v="65"/>
  </r>
  <r>
    <x v="4"/>
    <x v="56"/>
    <s v="100% AGAVE TEQUILA"/>
    <x v="7"/>
    <n v="109858"/>
    <n v="3043508.0999999517"/>
    <m/>
    <n v="12997"/>
  </r>
  <r>
    <x v="4"/>
    <x v="56"/>
    <s v="AGED DARK RUM"/>
    <x v="0"/>
    <n v="3421"/>
    <n v="74130.690000000061"/>
    <m/>
    <n v="617"/>
  </r>
  <r>
    <x v="4"/>
    <x v="56"/>
    <s v="AMERICAN BRANDIES"/>
    <x v="1"/>
    <n v="51151"/>
    <n v="328762.34000000125"/>
    <m/>
    <n v="4034"/>
  </r>
  <r>
    <x v="4"/>
    <x v="56"/>
    <s v="AMERICAN CORDIALS &amp; LIQUEURSS"/>
    <x v="2"/>
    <n v="31068"/>
    <n v="372587.27999999753"/>
    <m/>
    <n v="5064"/>
  </r>
  <r>
    <x v="4"/>
    <x v="56"/>
    <s v="AMERICAN DISTILLED SPIRITS SPECIALTY"/>
    <x v="3"/>
    <n v="4615"/>
    <n v="111352.03999999998"/>
    <m/>
    <n v="539"/>
  </r>
  <r>
    <x v="4"/>
    <x v="56"/>
    <s v="AMERICAN DRY GINS"/>
    <x v="4"/>
    <n v="26512"/>
    <n v="262006.80000000104"/>
    <m/>
    <n v="2542"/>
  </r>
  <r>
    <x v="4"/>
    <x v="56"/>
    <s v="AMERICAN FLAVORED VODKA"/>
    <x v="5"/>
    <n v="83014"/>
    <n v="948374.40000005416"/>
    <m/>
    <n v="10183"/>
  </r>
  <r>
    <x v="4"/>
    <x v="56"/>
    <s v="AMERICAN SCHNAPPS"/>
    <x v="2"/>
    <n v="96726"/>
    <n v="688447.98999996553"/>
    <m/>
    <n v="7728"/>
  </r>
  <r>
    <x v="4"/>
    <x v="56"/>
    <s v="AMERICAN VODKAS"/>
    <x v="5"/>
    <n v="563358"/>
    <n v="6101558.6400000192"/>
    <m/>
    <n v="33739"/>
  </r>
  <r>
    <x v="4"/>
    <x v="56"/>
    <s v="BLENDED WHISKIES"/>
    <x v="6"/>
    <n v="63757"/>
    <n v="835563.62999998371"/>
    <m/>
    <n v="6880"/>
  </r>
  <r>
    <x v="4"/>
    <x v="56"/>
    <s v="BOTTLED IN BOND BOURBON"/>
    <x v="6"/>
    <n v="3195"/>
    <n v="92120.170000000013"/>
    <m/>
    <n v="574"/>
  </r>
  <r>
    <x v="4"/>
    <x v="56"/>
    <s v="CANADIAN WHISKIES"/>
    <x v="6"/>
    <n v="209162"/>
    <n v="3334364.8199998392"/>
    <m/>
    <n v="18865"/>
  </r>
  <r>
    <x v="4"/>
    <x v="56"/>
    <s v="COCKTAILS/RTD"/>
    <x v="3"/>
    <n v="77559"/>
    <n v="908969.3300000017"/>
    <m/>
    <n v="8042"/>
  </r>
  <r>
    <x v="4"/>
    <x v="56"/>
    <s v="COFFEE LIQUEURS"/>
    <x v="2"/>
    <n v="7464"/>
    <n v="161101.57000000094"/>
    <m/>
    <n v="845"/>
  </r>
  <r>
    <x v="4"/>
    <x v="56"/>
    <s v="CREAM LIQUEURS"/>
    <x v="2"/>
    <n v="18992"/>
    <n v="377577.78999999765"/>
    <m/>
    <n v="2871"/>
  </r>
  <r>
    <x v="4"/>
    <x v="56"/>
    <s v="FLAVORED GIN"/>
    <x v="4"/>
    <n v="4712"/>
    <n v="121373.77000000003"/>
    <m/>
    <n v="484"/>
  </r>
  <r>
    <x v="4"/>
    <x v="56"/>
    <s v="FLAVORED RUM"/>
    <x v="0"/>
    <n v="39091"/>
    <n v="595892.2399999951"/>
    <m/>
    <n v="4042"/>
  </r>
  <r>
    <x v="4"/>
    <x v="56"/>
    <s v="GOLD RUM"/>
    <x v="0"/>
    <n v="5324"/>
    <n v="73674.840000000011"/>
    <m/>
    <n v="778"/>
  </r>
  <r>
    <x v="4"/>
    <x v="56"/>
    <s v="IMPORTED BRANDIES"/>
    <x v="1"/>
    <n v="31180"/>
    <n v="706738.96000000008"/>
    <m/>
    <n v="2981"/>
  </r>
  <r>
    <x v="4"/>
    <x v="56"/>
    <s v="IMPORTED CORDIALS &amp; LIQUEURSS"/>
    <x v="2"/>
    <n v="40847"/>
    <n v="973551.6600000012"/>
    <m/>
    <n v="4825"/>
  </r>
  <r>
    <x v="4"/>
    <x v="56"/>
    <s v="IMPORTED DISTILLED SPIRITS SPECIALTY"/>
    <x v="3"/>
    <n v="38970"/>
    <n v="270787.58"/>
    <m/>
    <n v="1033"/>
  </r>
  <r>
    <x v="4"/>
    <x v="56"/>
    <s v="IMPORTED DRY GINS"/>
    <x v="4"/>
    <n v="15735"/>
    <n v="406477.70999999944"/>
    <m/>
    <n v="2075"/>
  </r>
  <r>
    <x v="4"/>
    <x v="56"/>
    <s v="IMPORTED FLAVORED VODKA"/>
    <x v="5"/>
    <n v="18760"/>
    <n v="305532.17000000179"/>
    <m/>
    <n v="2371"/>
  </r>
  <r>
    <x v="4"/>
    <x v="56"/>
    <s v="IMPORTED SCHNAPPS"/>
    <x v="2"/>
    <n v="27926"/>
    <n v="504976.73000000208"/>
    <m/>
    <n v="2536"/>
  </r>
  <r>
    <x v="4"/>
    <x v="56"/>
    <s v="IMPORTED VODKAS"/>
    <x v="5"/>
    <n v="56108"/>
    <n v="911728.96999998169"/>
    <m/>
    <n v="4328"/>
  </r>
  <r>
    <x v="4"/>
    <x v="56"/>
    <s v="IRISH WHISKIES"/>
    <x v="6"/>
    <n v="24121"/>
    <n v="671411.9999999936"/>
    <m/>
    <n v="2279"/>
  </r>
  <r>
    <x v="4"/>
    <x v="56"/>
    <s v="MEZCAL"/>
    <x v="7"/>
    <n v="1635"/>
    <n v="49471.580000000016"/>
    <m/>
    <n v="267"/>
  </r>
  <r>
    <x v="4"/>
    <x v="56"/>
    <s v="MIXTO TEQUILA"/>
    <x v="7"/>
    <n v="72521"/>
    <n v="1015822.1899999912"/>
    <m/>
    <n v="4711"/>
  </r>
  <r>
    <x v="4"/>
    <x v="56"/>
    <s v="NEUTRAL GRAIN SPIRITS FLAVORED"/>
    <x v="3"/>
    <n v="13043"/>
    <n v="215840.00000000186"/>
    <m/>
    <n v="2726"/>
  </r>
  <r>
    <x v="4"/>
    <x v="56"/>
    <s v="SCOTCH WHISKIES"/>
    <x v="6"/>
    <n v="14759"/>
    <n v="444335.54999999795"/>
    <m/>
    <n v="2377"/>
  </r>
  <r>
    <x v="4"/>
    <x v="56"/>
    <s v="SINGLE BARREL BOURBON WHISKIES"/>
    <x v="6"/>
    <n v="5502"/>
    <n v="217453.90000000005"/>
    <m/>
    <n v="1542"/>
  </r>
  <r>
    <x v="4"/>
    <x v="56"/>
    <s v="SINGLE MALT SCOTCH"/>
    <x v="6"/>
    <n v="4858"/>
    <n v="277348.46000000037"/>
    <m/>
    <n v="1086"/>
  </r>
  <r>
    <x v="4"/>
    <x v="56"/>
    <s v="SPICED RUM"/>
    <x v="0"/>
    <n v="106951"/>
    <n v="1675188.5599998701"/>
    <m/>
    <n v="7510"/>
  </r>
  <r>
    <x v="4"/>
    <x v="56"/>
    <s v="STRAIGHT BOURBON WHISKIES"/>
    <x v="6"/>
    <n v="142853"/>
    <n v="3274060.3700000187"/>
    <m/>
    <n v="16633"/>
  </r>
  <r>
    <x v="4"/>
    <x v="56"/>
    <s v="STRAIGHT RYE WHISKIES"/>
    <x v="6"/>
    <n v="7661"/>
    <n v="237395.95"/>
    <m/>
    <n v="1451"/>
  </r>
  <r>
    <x v="4"/>
    <x v="56"/>
    <s v="TEMPORARY &amp; SPECIALTY PACKAGES"/>
    <x v="3"/>
    <n v="25114"/>
    <n v="796928.21999999776"/>
    <m/>
    <n v="3843"/>
  </r>
  <r>
    <x v="4"/>
    <x v="56"/>
    <s v="TENNESSEE WHISKIES"/>
    <x v="6"/>
    <n v="59539"/>
    <n v="1351476.1099999945"/>
    <m/>
    <n v="6146"/>
  </r>
  <r>
    <x v="4"/>
    <x v="56"/>
    <s v="TRIPLE SEC"/>
    <x v="3"/>
    <n v="19641"/>
    <n v="80977.459999999861"/>
    <m/>
    <n v="800"/>
  </r>
  <r>
    <x v="4"/>
    <x v="56"/>
    <s v="WHISKEY LIQUEUR"/>
    <x v="6"/>
    <n v="401545"/>
    <n v="2241605.1999999755"/>
    <m/>
    <n v="14812"/>
  </r>
  <r>
    <x v="4"/>
    <x v="56"/>
    <s v="WHITE RUM"/>
    <x v="0"/>
    <n v="39641"/>
    <n v="481058.88999999827"/>
    <m/>
    <n v="3472"/>
  </r>
  <r>
    <x v="4"/>
    <x v="56"/>
    <s v="SPECIAL ORDER ITEMS"/>
    <x v="3"/>
    <n v="361"/>
    <n v="6516.9800000000005"/>
    <m/>
    <n v="65"/>
  </r>
  <r>
    <x v="4"/>
    <x v="56"/>
    <s v="CORN WHISKIES"/>
    <x v="6"/>
    <n v="330"/>
    <n v="8665.7999999999993"/>
    <m/>
    <n v="52"/>
  </r>
  <r>
    <x v="4"/>
    <x v="56"/>
    <s v="NEUTRAL GRAIN SPIRITS"/>
    <x v="3"/>
    <n v="2189"/>
    <n v="30890.829999999998"/>
    <m/>
    <n v="308"/>
  </r>
  <r>
    <x v="4"/>
    <x v="56"/>
    <s v="AMERICAN SLOE GINS"/>
    <x v="4"/>
    <n v="243"/>
    <n v="2075.2199999999993"/>
    <m/>
    <n v="44"/>
  </r>
  <r>
    <x v="4"/>
    <x v="57"/>
    <s v="100% AGAVE TEQUILA"/>
    <x v="7"/>
    <n v="114749"/>
    <n v="3215038.1999999424"/>
    <m/>
    <n v="13272"/>
  </r>
  <r>
    <x v="4"/>
    <x v="57"/>
    <s v="AMERICAN DRY GINS"/>
    <x v="4"/>
    <n v="27106"/>
    <n v="256027.07000000149"/>
    <m/>
    <n v="2694"/>
  </r>
  <r>
    <x v="4"/>
    <x v="57"/>
    <s v="AMERICAN SCHNAPPS"/>
    <x v="2"/>
    <n v="101529"/>
    <n v="707045.6999999634"/>
    <m/>
    <n v="8105"/>
  </r>
  <r>
    <x v="4"/>
    <x v="57"/>
    <s v="AMERICAN VODKAS"/>
    <x v="5"/>
    <n v="584749"/>
    <n v="5769486.2100000996"/>
    <m/>
    <n v="35310"/>
  </r>
  <r>
    <x v="4"/>
    <x v="57"/>
    <s v="CANADIAN WHISKIES"/>
    <x v="6"/>
    <n v="211524"/>
    <n v="3327292.2299997872"/>
    <m/>
    <n v="19471"/>
  </r>
  <r>
    <x v="4"/>
    <x v="57"/>
    <s v="CREAM LIQUEURS"/>
    <x v="2"/>
    <n v="18868"/>
    <n v="373662.16999999736"/>
    <m/>
    <n v="2915"/>
  </r>
  <r>
    <x v="4"/>
    <x v="57"/>
    <s v="IMPORTED CORDIALS &amp; LIQUEURSS"/>
    <x v="2"/>
    <n v="44091"/>
    <n v="1035680.4800000007"/>
    <m/>
    <n v="5091"/>
  </r>
  <r>
    <x v="4"/>
    <x v="57"/>
    <s v="IMPORTED VODKAS"/>
    <x v="5"/>
    <n v="64233"/>
    <n v="1075559.9499999702"/>
    <m/>
    <n v="4903"/>
  </r>
  <r>
    <x v="4"/>
    <x v="57"/>
    <s v="SPICED RUM"/>
    <x v="0"/>
    <n v="107918"/>
    <n v="1641852.5599999169"/>
    <m/>
    <n v="7663"/>
  </r>
  <r>
    <x v="4"/>
    <x v="57"/>
    <s v="TENNESSEE WHISKIES"/>
    <x v="6"/>
    <n v="54229"/>
    <n v="1155492.7199999944"/>
    <m/>
    <n v="6223"/>
  </r>
  <r>
    <x v="4"/>
    <x v="57"/>
    <s v="STRAIGHT RYE WHISKIES"/>
    <x v="6"/>
    <n v="9236"/>
    <n v="308565.93000000069"/>
    <m/>
    <n v="1772"/>
  </r>
  <r>
    <x v="4"/>
    <x v="57"/>
    <s v="AMERICAN BRANDIES"/>
    <x v="1"/>
    <n v="52451"/>
    <n v="329592.19000000175"/>
    <m/>
    <n v="4056"/>
  </r>
  <r>
    <x v="4"/>
    <x v="57"/>
    <s v="AMERICAN CORDIALS &amp; LIQUEURSS"/>
    <x v="2"/>
    <n v="34916"/>
    <n v="417935.57999999553"/>
    <m/>
    <n v="5548"/>
  </r>
  <r>
    <x v="4"/>
    <x v="57"/>
    <s v="AMERICAN FLAVORED VODKA"/>
    <x v="5"/>
    <n v="91170"/>
    <n v="1057048.870000056"/>
    <m/>
    <n v="10705"/>
  </r>
  <r>
    <x v="4"/>
    <x v="57"/>
    <s v="BLENDED WHISKIES"/>
    <x v="6"/>
    <n v="61997"/>
    <n v="808787.23999998556"/>
    <m/>
    <n v="6801"/>
  </r>
  <r>
    <x v="4"/>
    <x v="57"/>
    <s v="BOTTLED IN BOND BOURBON"/>
    <x v="6"/>
    <n v="4817"/>
    <n v="149969.31000000003"/>
    <m/>
    <n v="1573"/>
  </r>
  <r>
    <x v="4"/>
    <x v="57"/>
    <s v="COCKTAILS/RTD"/>
    <x v="3"/>
    <n v="76617"/>
    <n v="918486.69000000495"/>
    <m/>
    <n v="8596"/>
  </r>
  <r>
    <x v="4"/>
    <x v="57"/>
    <s v="COFFEE LIQUEURS"/>
    <x v="2"/>
    <n v="6453"/>
    <n v="134392.64000000063"/>
    <m/>
    <n v="799"/>
  </r>
  <r>
    <x v="4"/>
    <x v="57"/>
    <s v="FLAVORED GIN"/>
    <x v="4"/>
    <n v="4450"/>
    <n v="113941.3"/>
    <m/>
    <n v="473"/>
  </r>
  <r>
    <x v="4"/>
    <x v="57"/>
    <s v="GOLD RUM"/>
    <x v="0"/>
    <n v="5492"/>
    <n v="76741.870000000068"/>
    <m/>
    <n v="823"/>
  </r>
  <r>
    <x v="4"/>
    <x v="57"/>
    <s v="IMPORTED BRANDIES"/>
    <x v="1"/>
    <n v="26739"/>
    <n v="660022.16999999771"/>
    <m/>
    <n v="2810"/>
  </r>
  <r>
    <x v="4"/>
    <x v="57"/>
    <s v="IMPORTED DRY GINS"/>
    <x v="4"/>
    <n v="20569"/>
    <n v="543236.16999999876"/>
    <m/>
    <n v="2292"/>
  </r>
  <r>
    <x v="4"/>
    <x v="57"/>
    <s v="IMPORTED FLAVORED VODKA"/>
    <x v="5"/>
    <n v="24202"/>
    <n v="380096.35000000143"/>
    <m/>
    <n v="2492"/>
  </r>
  <r>
    <x v="4"/>
    <x v="57"/>
    <s v="IMPORTED SCHNAPPS"/>
    <x v="2"/>
    <n v="28252"/>
    <n v="502928.03000000183"/>
    <m/>
    <n v="2651"/>
  </r>
  <r>
    <x v="4"/>
    <x v="57"/>
    <s v="MIXTO TEQUILA"/>
    <x v="7"/>
    <n v="67473"/>
    <n v="916693.1799999933"/>
    <m/>
    <n v="4964"/>
  </r>
  <r>
    <x v="4"/>
    <x v="57"/>
    <s v="NEUTRAL GRAIN SPIRITS FLAVORED"/>
    <x v="3"/>
    <n v="13616"/>
    <n v="226159.25000000314"/>
    <m/>
    <n v="2799"/>
  </r>
  <r>
    <x v="4"/>
    <x v="57"/>
    <s v="SCOTCH WHISKIES"/>
    <x v="6"/>
    <n v="13923"/>
    <n v="408392.85999999929"/>
    <m/>
    <n v="2462"/>
  </r>
  <r>
    <x v="4"/>
    <x v="57"/>
    <s v="SINGLE MALT SCOTCH"/>
    <x v="6"/>
    <n v="4735"/>
    <n v="273001.63000000076"/>
    <m/>
    <n v="1196"/>
  </r>
  <r>
    <x v="4"/>
    <x v="57"/>
    <s v="STRAIGHT BOURBON WHISKIES"/>
    <x v="6"/>
    <n v="145120"/>
    <n v="3451679.4500000225"/>
    <m/>
    <n v="16852"/>
  </r>
  <r>
    <x v="4"/>
    <x v="57"/>
    <s v="TEMPORARY &amp; SPECIALTY PACKAGES"/>
    <x v="3"/>
    <n v="24625"/>
    <n v="756456.47999999986"/>
    <m/>
    <n v="4335"/>
  </r>
  <r>
    <x v="4"/>
    <x v="57"/>
    <s v="WHISKEY LIQUEUR"/>
    <x v="6"/>
    <n v="411900"/>
    <n v="2308543.7899999782"/>
    <m/>
    <n v="14997"/>
  </r>
  <r>
    <x v="4"/>
    <x v="57"/>
    <s v="FLAVORED RUM"/>
    <x v="0"/>
    <n v="47377"/>
    <n v="727479.08999999019"/>
    <m/>
    <n v="4359"/>
  </r>
  <r>
    <x v="4"/>
    <x v="57"/>
    <s v="IRISH WHISKIES"/>
    <x v="6"/>
    <n v="24439"/>
    <n v="656036.73999999429"/>
    <m/>
    <n v="2295"/>
  </r>
  <r>
    <x v="4"/>
    <x v="57"/>
    <s v="NEUTRAL GRAIN SPIRITS"/>
    <x v="3"/>
    <n v="2551"/>
    <n v="37497.209999999985"/>
    <m/>
    <n v="359"/>
  </r>
  <r>
    <x v="4"/>
    <x v="57"/>
    <s v="TRIPLE SEC"/>
    <x v="3"/>
    <n v="18905"/>
    <n v="78002.169999999896"/>
    <m/>
    <n v="751"/>
  </r>
  <r>
    <x v="4"/>
    <x v="57"/>
    <s v="WHITE RUM"/>
    <x v="0"/>
    <n v="41041"/>
    <n v="530915.93999999831"/>
    <m/>
    <n v="3627"/>
  </r>
  <r>
    <x v="4"/>
    <x v="57"/>
    <s v="AMERICAN DISTILLED SPIRITS SPECIALTY"/>
    <x v="3"/>
    <n v="3926"/>
    <n v="67485.609999999986"/>
    <m/>
    <n v="392"/>
  </r>
  <r>
    <x v="4"/>
    <x v="57"/>
    <s v="IMPORTED DISTILLED SPIRITS SPECIALTY"/>
    <x v="3"/>
    <n v="32752"/>
    <n v="233664.03000000035"/>
    <m/>
    <n v="885"/>
  </r>
  <r>
    <x v="4"/>
    <x v="57"/>
    <s v="SINGLE BARREL BOURBON WHISKIES"/>
    <x v="6"/>
    <n v="3150"/>
    <n v="130376.80000000008"/>
    <m/>
    <n v="827"/>
  </r>
  <r>
    <x v="4"/>
    <x v="57"/>
    <s v="AGED DARK RUM"/>
    <x v="0"/>
    <n v="3877"/>
    <n v="81761.610000000102"/>
    <m/>
    <n v="635"/>
  </r>
  <r>
    <x v="4"/>
    <x v="57"/>
    <s v="CORN WHISKIES"/>
    <x v="6"/>
    <n v="182"/>
    <n v="4120.9799999999996"/>
    <m/>
    <n v="40"/>
  </r>
  <r>
    <x v="4"/>
    <x v="57"/>
    <s v="MEZCAL"/>
    <x v="7"/>
    <n v="1060"/>
    <n v="33616.429999999964"/>
    <m/>
    <n v="207"/>
  </r>
  <r>
    <x v="4"/>
    <x v="57"/>
    <s v="SPECIAL ORDER ITEMS"/>
    <x v="3"/>
    <n v="5255"/>
    <n v="63406.749999999978"/>
    <m/>
    <n v="100"/>
  </r>
  <r>
    <x v="4"/>
    <x v="57"/>
    <s v="AMERICAN SLOE GINS"/>
    <x v="4"/>
    <n v="247"/>
    <n v="2109.3799999999992"/>
    <m/>
    <n v="38"/>
  </r>
  <r>
    <x v="4"/>
    <x v="58"/>
    <s v="FLAVORED GIN"/>
    <x v="4"/>
    <n v="3277"/>
    <n v="84900"/>
    <m/>
    <n v="417"/>
  </r>
  <r>
    <x v="4"/>
    <x v="58"/>
    <s v="TEMPORARY &amp; SPECIALTY PACKAGES"/>
    <x v="3"/>
    <n v="48524"/>
    <n v="1487973"/>
    <m/>
    <n v="9187"/>
  </r>
  <r>
    <x v="4"/>
    <x v="58"/>
    <s v="100% AGAVE TEQUILA"/>
    <x v="7"/>
    <n v="87880"/>
    <n v="2534273"/>
    <m/>
    <n v="10755"/>
  </r>
  <r>
    <x v="4"/>
    <x v="58"/>
    <s v="AGED DARK RUM"/>
    <x v="0"/>
    <n v="3000"/>
    <n v="63465"/>
    <m/>
    <n v="561"/>
  </r>
  <r>
    <x v="4"/>
    <x v="58"/>
    <s v="AMERICAN CORDIALS &amp; LIQUEURS"/>
    <x v="2"/>
    <n v="33804"/>
    <n v="388768"/>
    <m/>
    <n v="5055"/>
  </r>
  <r>
    <x v="4"/>
    <x v="58"/>
    <s v="AMERICAN DISTILLED SPIRITS SPECIALTY"/>
    <x v="3"/>
    <n v="3857"/>
    <n v="58567"/>
    <m/>
    <n v="415"/>
  </r>
  <r>
    <x v="4"/>
    <x v="58"/>
    <s v="CANADIAN WHISKIES"/>
    <x v="6"/>
    <n v="186954"/>
    <n v="2849188"/>
    <m/>
    <n v="17050"/>
  </r>
  <r>
    <x v="4"/>
    <x v="58"/>
    <s v="IMPORTED FLAVORED VODKA"/>
    <x v="5"/>
    <n v="13118"/>
    <n v="209479"/>
    <m/>
    <n v="1587"/>
  </r>
  <r>
    <x v="4"/>
    <x v="58"/>
    <s v="STRAIGHT BOURBON WHISKIES"/>
    <x v="6"/>
    <n v="133349"/>
    <n v="3155277"/>
    <m/>
    <n v="15532"/>
  </r>
  <r>
    <x v="4"/>
    <x v="58"/>
    <s v="STRAIGHT RYE WHISKIES"/>
    <x v="6"/>
    <n v="7072"/>
    <n v="222070"/>
    <m/>
    <n v="1352"/>
  </r>
  <r>
    <x v="4"/>
    <x v="58"/>
    <s v="WHISKEY LIQUEUR"/>
    <x v="6"/>
    <n v="370952"/>
    <n v="2107225"/>
    <m/>
    <n v="13911"/>
  </r>
  <r>
    <x v="4"/>
    <x v="58"/>
    <s v="AMERICAN VODKAS"/>
    <x v="5"/>
    <n v="529147"/>
    <n v="5569270"/>
    <m/>
    <n v="29944"/>
  </r>
  <r>
    <x v="4"/>
    <x v="58"/>
    <s v="IMPORTED VODKAS"/>
    <x v="5"/>
    <n v="60267"/>
    <n v="953644"/>
    <m/>
    <n v="4122"/>
  </r>
  <r>
    <x v="4"/>
    <x v="58"/>
    <s v="AMERICAN BRANDIES"/>
    <x v="1"/>
    <n v="54816"/>
    <n v="353071"/>
    <m/>
    <n v="4214"/>
  </r>
  <r>
    <x v="4"/>
    <x v="58"/>
    <s v="AMERICAN DRY GINS"/>
    <x v="4"/>
    <n v="22466"/>
    <n v="199103"/>
    <m/>
    <n v="2034"/>
  </r>
  <r>
    <x v="4"/>
    <x v="58"/>
    <s v="AMERICAN FLAVORED VODKA"/>
    <x v="5"/>
    <n v="67315"/>
    <n v="762536"/>
    <m/>
    <n v="7869"/>
  </r>
  <r>
    <x v="4"/>
    <x v="58"/>
    <s v="AMERICAN SCHNAPPS"/>
    <x v="2"/>
    <n v="96852"/>
    <n v="684017"/>
    <m/>
    <n v="7897"/>
  </r>
  <r>
    <x v="4"/>
    <x v="58"/>
    <s v="AMERICAN SLOE GINS"/>
    <x v="4"/>
    <n v="213"/>
    <n v="1805"/>
    <m/>
    <n v="40"/>
  </r>
  <r>
    <x v="4"/>
    <x v="58"/>
    <s v="BLENDED WHISKIES"/>
    <x v="6"/>
    <n v="59261"/>
    <n v="804745"/>
    <m/>
    <n v="6584"/>
  </r>
  <r>
    <x v="4"/>
    <x v="58"/>
    <s v="COCKTAILS/RTD"/>
    <x v="3"/>
    <n v="43387"/>
    <n v="529571"/>
    <m/>
    <n v="5403"/>
  </r>
  <r>
    <x v="4"/>
    <x v="58"/>
    <s v="COFFEE LIQUEURS"/>
    <x v="2"/>
    <n v="10995"/>
    <n v="232762"/>
    <m/>
    <n v="1065"/>
  </r>
  <r>
    <x v="4"/>
    <x v="58"/>
    <s v="CREAM LIQUEURS"/>
    <x v="2"/>
    <n v="36863"/>
    <n v="774246"/>
    <m/>
    <n v="3808"/>
  </r>
  <r>
    <x v="4"/>
    <x v="58"/>
    <s v="FLAVORED RUM"/>
    <x v="0"/>
    <n v="25422"/>
    <n v="384989"/>
    <m/>
    <n v="2740"/>
  </r>
  <r>
    <x v="4"/>
    <x v="58"/>
    <s v="GOLD RUM"/>
    <x v="0"/>
    <n v="5443"/>
    <n v="75921"/>
    <m/>
    <n v="771"/>
  </r>
  <r>
    <x v="4"/>
    <x v="58"/>
    <s v="IMPORTED BRANDIES"/>
    <x v="1"/>
    <n v="26678"/>
    <n v="616454"/>
    <m/>
    <n v="2628"/>
  </r>
  <r>
    <x v="4"/>
    <x v="58"/>
    <s v="IMPORTED CORDIALS &amp; LIQUEURS"/>
    <x v="2"/>
    <n v="39552"/>
    <n v="931664"/>
    <m/>
    <n v="4730"/>
  </r>
  <r>
    <x v="4"/>
    <x v="58"/>
    <s v="IMPORTED DISTILLED SPIRITS SPECIALTY"/>
    <x v="3"/>
    <n v="32743"/>
    <n v="237271"/>
    <m/>
    <n v="816"/>
  </r>
  <r>
    <x v="4"/>
    <x v="58"/>
    <s v="IMPORTED SCHNAPPS"/>
    <x v="2"/>
    <n v="24778"/>
    <n v="442595"/>
    <m/>
    <n v="2285"/>
  </r>
  <r>
    <x v="4"/>
    <x v="58"/>
    <s v="IRISH WHISKIES"/>
    <x v="6"/>
    <n v="26954"/>
    <n v="731132"/>
    <m/>
    <n v="2339"/>
  </r>
  <r>
    <x v="4"/>
    <x v="58"/>
    <s v="MIXTO TEQUILA"/>
    <x v="7"/>
    <n v="51092"/>
    <n v="679864"/>
    <m/>
    <n v="3774"/>
  </r>
  <r>
    <x v="4"/>
    <x v="58"/>
    <s v="NEUTRAL GRAIN SPIRITS"/>
    <x v="3"/>
    <n v="3569"/>
    <n v="51302"/>
    <m/>
    <n v="435"/>
  </r>
  <r>
    <x v="4"/>
    <x v="58"/>
    <s v="NEUTRAL GRAIN SPIRITS FLAVORED"/>
    <x v="3"/>
    <n v="12604"/>
    <n v="213143"/>
    <m/>
    <n v="2429"/>
  </r>
  <r>
    <x v="4"/>
    <x v="58"/>
    <s v="SCOTCH WHISKIES"/>
    <x v="6"/>
    <n v="14455"/>
    <n v="430126"/>
    <m/>
    <n v="2535"/>
  </r>
  <r>
    <x v="4"/>
    <x v="58"/>
    <s v="SINGLE MALT SCOTCH"/>
    <x v="6"/>
    <n v="4737"/>
    <n v="269329"/>
    <m/>
    <n v="1277"/>
  </r>
  <r>
    <x v="4"/>
    <x v="58"/>
    <s v="SPICED RUM"/>
    <x v="0"/>
    <n v="155377"/>
    <n v="3168286"/>
    <m/>
    <n v="6404"/>
  </r>
  <r>
    <x v="4"/>
    <x v="58"/>
    <s v="TENNESSEE WHISKIES"/>
    <x v="6"/>
    <n v="59021"/>
    <n v="1338711"/>
    <m/>
    <n v="6587"/>
  </r>
  <r>
    <x v="4"/>
    <x v="58"/>
    <s v="WHITE RUM"/>
    <x v="0"/>
    <n v="32797"/>
    <n v="400115"/>
    <m/>
    <n v="2948"/>
  </r>
  <r>
    <x v="4"/>
    <x v="58"/>
    <s v="IMPORTED DRY GINS"/>
    <x v="4"/>
    <n v="11192"/>
    <n v="286611"/>
    <m/>
    <n v="1433"/>
  </r>
  <r>
    <x v="4"/>
    <x v="58"/>
    <s v="SINGLE BARREL BOURBON WHISKIES"/>
    <x v="6"/>
    <n v="3426"/>
    <n v="135932"/>
    <m/>
    <n v="831"/>
  </r>
  <r>
    <x v="4"/>
    <x v="58"/>
    <s v="TRIPLE SEC"/>
    <x v="3"/>
    <n v="13150"/>
    <n v="55032"/>
    <m/>
    <n v="529"/>
  </r>
  <r>
    <x v="4"/>
    <x v="58"/>
    <s v="BOTTLED IN BOND BOURBON"/>
    <x v="6"/>
    <n v="3590"/>
    <n v="102138"/>
    <m/>
    <n v="689"/>
  </r>
  <r>
    <x v="4"/>
    <x v="58"/>
    <s v="MEZCAL"/>
    <x v="7"/>
    <n v="1132"/>
    <n v="31978"/>
    <m/>
    <n v="189"/>
  </r>
  <r>
    <x v="4"/>
    <x v="58"/>
    <s v="CORN WHISKIES"/>
    <x v="6"/>
    <n v="340"/>
    <n v="9522"/>
    <m/>
    <n v="55"/>
  </r>
  <r>
    <x v="4"/>
    <x v="58"/>
    <s v="SPECIAL ORDER ITEMS"/>
    <x v="3"/>
    <n v="5657"/>
    <n v="66611"/>
    <m/>
    <n v="85"/>
  </r>
  <r>
    <x v="4"/>
    <x v="59"/>
    <s v="TEMPORARY &amp; SPECIALTY PACKAGES"/>
    <x v="3"/>
    <n v="70910"/>
    <n v="1928941"/>
    <m/>
    <n v="9643"/>
  </r>
  <r>
    <x v="4"/>
    <x v="59"/>
    <s v="100% AGAVE TEQUILA"/>
    <x v="7"/>
    <n v="98790"/>
    <n v="2781409"/>
    <m/>
    <n v="13218"/>
  </r>
  <r>
    <x v="4"/>
    <x v="59"/>
    <s v="AGED DARK RUM"/>
    <x v="0"/>
    <n v="4917"/>
    <n v="106904"/>
    <m/>
    <n v="918"/>
  </r>
  <r>
    <x v="4"/>
    <x v="59"/>
    <s v="AMERICAN BRANDIES"/>
    <x v="1"/>
    <n v="64036"/>
    <n v="451214"/>
    <m/>
    <n v="5443"/>
  </r>
  <r>
    <x v="4"/>
    <x v="59"/>
    <s v="AMERICAN CORDIALS &amp; LIQUEURS"/>
    <x v="2"/>
    <n v="44186"/>
    <n v="527729"/>
    <m/>
    <n v="6865"/>
  </r>
  <r>
    <x v="4"/>
    <x v="59"/>
    <s v="AMERICAN DRY GINS"/>
    <x v="4"/>
    <n v="25413"/>
    <n v="232977"/>
    <m/>
    <n v="2428"/>
  </r>
  <r>
    <x v="4"/>
    <x v="59"/>
    <s v="AMERICAN FLAVORED VODKA"/>
    <x v="5"/>
    <n v="77282"/>
    <n v="889018"/>
    <m/>
    <n v="9297"/>
  </r>
  <r>
    <x v="4"/>
    <x v="59"/>
    <s v="AMERICAN SCHNAPPS"/>
    <x v="2"/>
    <n v="114415"/>
    <n v="817614"/>
    <m/>
    <n v="9722"/>
  </r>
  <r>
    <x v="4"/>
    <x v="59"/>
    <s v="AMERICAN VODKAS"/>
    <x v="5"/>
    <n v="531191"/>
    <n v="4909051"/>
    <m/>
    <n v="34272"/>
  </r>
  <r>
    <x v="4"/>
    <x v="59"/>
    <s v="BLENDED WHISKIES"/>
    <x v="6"/>
    <n v="70536"/>
    <n v="984210"/>
    <m/>
    <n v="7807"/>
  </r>
  <r>
    <x v="4"/>
    <x v="59"/>
    <s v="CANADIAN WHISKIES"/>
    <x v="6"/>
    <n v="300308"/>
    <n v="5327633"/>
    <m/>
    <n v="22986"/>
  </r>
  <r>
    <x v="4"/>
    <x v="59"/>
    <s v="COCKTAILS/RTD"/>
    <x v="3"/>
    <n v="57904"/>
    <n v="705286"/>
    <m/>
    <n v="7128"/>
  </r>
  <r>
    <x v="4"/>
    <x v="59"/>
    <s v="COFFEE LIQUEURS"/>
    <x v="2"/>
    <n v="15860"/>
    <n v="338674"/>
    <m/>
    <n v="1685"/>
  </r>
  <r>
    <x v="4"/>
    <x v="59"/>
    <s v="CREAM LIQUEURS"/>
    <x v="2"/>
    <n v="55524"/>
    <n v="1175506"/>
    <m/>
    <n v="6295"/>
  </r>
  <r>
    <x v="4"/>
    <x v="59"/>
    <s v="FLAVORED GIN"/>
    <x v="4"/>
    <n v="5979"/>
    <n v="154282"/>
    <m/>
    <n v="574"/>
  </r>
  <r>
    <x v="4"/>
    <x v="59"/>
    <s v="FLAVORED RUM"/>
    <x v="0"/>
    <n v="33186"/>
    <n v="497813"/>
    <m/>
    <n v="3628"/>
  </r>
  <r>
    <x v="4"/>
    <x v="59"/>
    <s v="GOLD RUM"/>
    <x v="0"/>
    <n v="6834"/>
    <n v="92921"/>
    <m/>
    <n v="1010"/>
  </r>
  <r>
    <x v="4"/>
    <x v="59"/>
    <s v="IMPORTED BRANDIES"/>
    <x v="1"/>
    <n v="34514"/>
    <n v="820632"/>
    <m/>
    <n v="3488"/>
  </r>
  <r>
    <x v="4"/>
    <x v="59"/>
    <s v="IMPORTED CORDIALS &amp; LIQUEURS"/>
    <x v="2"/>
    <n v="52421"/>
    <n v="1281543"/>
    <m/>
    <n v="6652"/>
  </r>
  <r>
    <x v="4"/>
    <x v="59"/>
    <s v="IMPORTED DISTILLED SPIRITS SPECIALTY"/>
    <x v="3"/>
    <n v="26960"/>
    <n v="194123"/>
    <m/>
    <n v="957"/>
  </r>
  <r>
    <x v="4"/>
    <x v="59"/>
    <s v="IMPORTED SCHNAPPS"/>
    <x v="2"/>
    <n v="32154"/>
    <n v="582884"/>
    <m/>
    <n v="3083"/>
  </r>
  <r>
    <x v="4"/>
    <x v="59"/>
    <s v="IMPORTED VODKAS"/>
    <x v="5"/>
    <n v="66621"/>
    <n v="1098972"/>
    <m/>
    <n v="5131"/>
  </r>
  <r>
    <x v="4"/>
    <x v="59"/>
    <s v="IRISH WHISKIES"/>
    <x v="6"/>
    <n v="29959"/>
    <n v="810228"/>
    <m/>
    <n v="3007"/>
  </r>
  <r>
    <x v="4"/>
    <x v="59"/>
    <s v="MIXTO TEQUILA"/>
    <x v="7"/>
    <n v="61522"/>
    <n v="853271"/>
    <m/>
    <n v="4699"/>
  </r>
  <r>
    <x v="4"/>
    <x v="59"/>
    <s v="NEUTRAL GRAIN SPIRITS FLAVORED"/>
    <x v="3"/>
    <n v="16992"/>
    <n v="287381"/>
    <m/>
    <n v="3339"/>
  </r>
  <r>
    <x v="4"/>
    <x v="59"/>
    <s v="SCOTCH WHISKIES"/>
    <x v="6"/>
    <n v="18732"/>
    <n v="627743"/>
    <m/>
    <n v="3193"/>
  </r>
  <r>
    <x v="4"/>
    <x v="59"/>
    <s v="SPICED RUM"/>
    <x v="0"/>
    <n v="112658"/>
    <n v="1607110"/>
    <m/>
    <n v="8169"/>
  </r>
  <r>
    <x v="4"/>
    <x v="59"/>
    <s v="STRAIGHT BOURBON WHISKIES"/>
    <x v="6"/>
    <n v="184515"/>
    <n v="4552501"/>
    <m/>
    <n v="20625"/>
  </r>
  <r>
    <x v="4"/>
    <x v="59"/>
    <s v="STRAIGHT RYE WHISKIES"/>
    <x v="6"/>
    <n v="12006"/>
    <n v="393532"/>
    <m/>
    <n v="1884"/>
  </r>
  <r>
    <x v="4"/>
    <x v="59"/>
    <s v="TENNESSEE WHISKIES"/>
    <x v="6"/>
    <n v="71591"/>
    <n v="1610399"/>
    <m/>
    <n v="7677"/>
  </r>
  <r>
    <x v="4"/>
    <x v="59"/>
    <s v="WHITE RUM"/>
    <x v="0"/>
    <n v="35435"/>
    <n v="432049"/>
    <m/>
    <n v="3425"/>
  </r>
  <r>
    <x v="4"/>
    <x v="59"/>
    <s v="WHISKEY LIQUEUR"/>
    <x v="6"/>
    <n v="421241"/>
    <n v="2441760"/>
    <m/>
    <n v="16848"/>
  </r>
  <r>
    <x v="4"/>
    <x v="59"/>
    <s v="IMPORTED DRY GINS"/>
    <x v="4"/>
    <n v="18360"/>
    <n v="485925"/>
    <m/>
    <n v="2109"/>
  </r>
  <r>
    <x v="4"/>
    <x v="59"/>
    <s v="IMPORTED FLAVORED VODKA"/>
    <x v="5"/>
    <n v="25290"/>
    <n v="385806"/>
    <m/>
    <n v="2576"/>
  </r>
  <r>
    <x v="4"/>
    <x v="59"/>
    <s v="NEUTRAL GRAIN SPIRITS"/>
    <x v="3"/>
    <n v="4029"/>
    <n v="58173"/>
    <m/>
    <n v="512"/>
  </r>
  <r>
    <x v="4"/>
    <x v="59"/>
    <s v="SINGLE BARREL BOURBON WHISKIES"/>
    <x v="6"/>
    <n v="7073"/>
    <n v="298625"/>
    <m/>
    <n v="1345"/>
  </r>
  <r>
    <x v="4"/>
    <x v="59"/>
    <s v="SINGLE MALT SCOTCH"/>
    <x v="6"/>
    <n v="6694"/>
    <n v="417481"/>
    <m/>
    <n v="1920"/>
  </r>
  <r>
    <x v="4"/>
    <x v="59"/>
    <s v="TRIPLE SEC"/>
    <x v="3"/>
    <n v="15933"/>
    <n v="65577"/>
    <m/>
    <n v="735"/>
  </r>
  <r>
    <x v="4"/>
    <x v="59"/>
    <s v="AMERICAN SLOE GINS"/>
    <x v="4"/>
    <n v="348"/>
    <n v="2950"/>
    <m/>
    <n v="60"/>
  </r>
  <r>
    <x v="4"/>
    <x v="59"/>
    <s v="CORN WHISKIES"/>
    <x v="6"/>
    <n v="403"/>
    <n v="9377"/>
    <m/>
    <n v="70"/>
  </r>
  <r>
    <x v="4"/>
    <x v="59"/>
    <s v="AMERICAN DISTILLED SPIRITS SPECIALTY"/>
    <x v="3"/>
    <n v="5769"/>
    <n v="109405"/>
    <m/>
    <n v="580"/>
  </r>
  <r>
    <x v="4"/>
    <x v="59"/>
    <s v="BOTTLED IN BOND BOURBON"/>
    <x v="6"/>
    <n v="6394"/>
    <n v="224122"/>
    <m/>
    <n v="1105"/>
  </r>
  <r>
    <x v="4"/>
    <x v="59"/>
    <s v="SPECIAL ORDER ITEMS"/>
    <x v="3"/>
    <n v="2597"/>
    <n v="37769"/>
    <m/>
    <n v="146"/>
  </r>
  <r>
    <x v="4"/>
    <x v="59"/>
    <s v="MEZCAL"/>
    <x v="7"/>
    <n v="1594"/>
    <n v="46550"/>
    <m/>
    <n v="2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3DA46-9943-4300-81AF-E3A5A57EDD86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6" firstHeaderRow="1" firstDataRow="1" firstDataCol="1" rowPageCount="1" colPageCount="1"/>
  <pivotFields count="10">
    <pivotField showAll="0">
      <items count="6">
        <item sd="0" x="0"/>
        <item x="2"/>
        <item x="3"/>
        <item x="1"/>
        <item x="4"/>
        <item t="default"/>
      </items>
    </pivotField>
    <pivotField axis="axisRow" numFmtId="14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showAll="0"/>
    <pivotField axis="axisPage" showAll="0">
      <items count="9">
        <item x="1"/>
        <item x="4"/>
        <item x="2"/>
        <item x="3"/>
        <item x="0"/>
        <item x="7"/>
        <item x="5"/>
        <item x="6"/>
        <item t="default"/>
      </items>
    </pivotField>
    <pivotField showAll="0"/>
    <pivotField dataField="1"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3" hier="-1"/>
  </pageFields>
  <dataFields count="1">
    <dataField name="Sum of sum_sale_dollars" fld="5" baseField="0" baseItem="0" numFmtId="44"/>
  </dataFields>
  <formats count="1">
    <format dxfId="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61CB9AA-4876-4F52-843C-DD7E099556A5}" autoFormatId="16" applyNumberFormats="0" applyBorderFormats="0" applyFontFormats="0" applyPatternFormats="0" applyAlignmentFormats="0" applyWidthHeightFormats="0">
  <queryTableRefresh nextId="9">
    <queryTableFields count="8">
      <queryTableField id="1" name="Year" tableColumnId="1"/>
      <queryTableField id="2" name="Start of Month" tableColumnId="2"/>
      <queryTableField id="3" name="category_name" tableColumnId="3"/>
      <queryTableField id="8" dataBound="0" tableColumnId="8"/>
      <queryTableField id="4" name="sum_sale_bottles" tableColumnId="4"/>
      <queryTableField id="5" name="sum_sale_dollars" tableColumnId="5"/>
      <queryTableField id="6" name="sum_sale_liters" tableColumnId="6"/>
      <queryTableField id="7" name="transaction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C81CB3-BBBD-4FA4-9B4B-FD89240ACBAD}" name="Monthly_Category" displayName="Monthly_Category" ref="A1:H2671" tableType="queryTable" totalsRowShown="0" headerRowCellStyle="Normal" dataCellStyle="Normal">
  <autoFilter ref="A1:H2671" xr:uid="{39C81CB3-BBBD-4FA4-9B4B-FD89240ACBAD}"/>
  <tableColumns count="8">
    <tableColumn id="1" xr3:uid="{476DF44D-B777-4AEC-8869-52F2AEF4E997}" uniqueName="1" name="Year" queryTableFieldId="1" dataDxfId="7" dataCellStyle="Normal"/>
    <tableColumn id="2" xr3:uid="{DBF3E34C-F5B1-4FB1-B3E1-2072C50C0E71}" uniqueName="2" name="Start of Month" queryTableFieldId="2" dataDxfId="6" dataCellStyle="Normal"/>
    <tableColumn id="3" xr3:uid="{E5E6C075-EA36-4FF2-8472-3119B0EE0F22}" uniqueName="3" name="category_name" queryTableFieldId="3" dataDxfId="5" dataCellStyle="Normal"/>
    <tableColumn id="8" xr3:uid="{3AE544C3-4E21-40DF-8DE1-EAD879DC415B}" uniqueName="8" name="category" queryTableFieldId="8" dataDxfId="4">
      <calculatedColumnFormula array="1">_xlfn.IFS(
 ISNUMBER(SEARCH("WHISK",C2)),"Whiskey",
 ISNUMBER(SEARCH("BOURBON",C2)),"Whiskey",
 ISNUMBER(SEARCH("SCOTCH",C2)),"Whiskey",
 ISNUMBER(SEARCH("RYE",C2)),"Whiskey",
 ISNUMBER(SEARCH("VODKA",C2)),"Vodka",
 ISNUMBER(SEARCH("TEQUILA",C2)),"Tequila/Mezcal",
 ISNUMBER(SEARCH("MEZCAL",C2)),"Tequila/Mezcal",
 ISNUMBER(SEARCH("RUM",C2)),"Rum",
 ISNUMBER(SEARCH("BRAND",C2)),"Brandy",
 ISNUMBER(SEARCH("COGNAC",C2)),"Brandy",
 ISNUMBER(SEARCH("LIQUEUR",C2)),"Liqueurs",
 ISNUMBER(SEARCH("CORDIAL",C2)),"Liqueurs",
 ISNUMBER(SEARCH("SCHNAPP",C2)),"Liqueurs",
 ISNUMBER(SEARCH("GIN",C2)),"Gin",
 TRUE,"Other")</calculatedColumnFormula>
    </tableColumn>
    <tableColumn id="4" xr3:uid="{9D5E883A-C679-4B9A-8E07-D78FEC6E7F2C}" uniqueName="4" name="sum_sale_bottles" queryTableFieldId="4" dataDxfId="3" dataCellStyle="Normal"/>
    <tableColumn id="5" xr3:uid="{F14FB6B6-DF13-46D5-9236-8E469524091E}" uniqueName="5" name="sum_sale_dollars" queryTableFieldId="5" dataDxfId="2" dataCellStyle="Normal"/>
    <tableColumn id="6" xr3:uid="{22DA66C2-580A-4BCE-9189-0903EC4480B7}" uniqueName="6" name="sum_sale_liters" queryTableFieldId="6" dataDxfId="1" dataCellStyle="Normal"/>
    <tableColumn id="7" xr3:uid="{B828DC9C-AAFE-43B1-900E-DE4E042D1877}" uniqueName="7" name="transactions" queryTableFieldId="7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51BC-BB2B-457D-9A2B-7DADB391C8AB}">
  <sheetPr>
    <tabColor theme="4"/>
  </sheetPr>
  <dimension ref="A1"/>
  <sheetViews>
    <sheetView zoomScale="89" zoomScaleNormal="89" workbookViewId="0">
      <selection activeCell="A57" sqref="A1:AM57"/>
    </sheetView>
  </sheetViews>
  <sheetFormatPr defaultRowHeight="15"/>
  <cols>
    <col min="1" max="16384" width="9.140625" style="36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C0FD-414F-493F-AB07-DC8077A17ACF}">
  <dimension ref="A1:P61"/>
  <sheetViews>
    <sheetView tabSelected="1" workbookViewId="0">
      <selection activeCell="K7" sqref="K7"/>
    </sheetView>
  </sheetViews>
  <sheetFormatPr defaultRowHeight="15"/>
  <cols>
    <col min="1" max="1" width="9.7109375" bestFit="1" customWidth="1"/>
    <col min="2" max="2" width="15.28515625" bestFit="1" customWidth="1"/>
    <col min="3" max="3" width="12" bestFit="1" customWidth="1"/>
    <col min="5" max="5" width="15.7109375" bestFit="1" customWidth="1"/>
    <col min="6" max="7" width="11.5703125" bestFit="1" customWidth="1"/>
    <col min="8" max="8" width="12" bestFit="1" customWidth="1"/>
    <col min="9" max="11" width="11.5703125" bestFit="1" customWidth="1"/>
    <col min="12" max="12" width="14.5703125" bestFit="1" customWidth="1"/>
    <col min="14" max="14" width="12.140625" bestFit="1" customWidth="1"/>
    <col min="15" max="15" width="14.28515625" bestFit="1" customWidth="1"/>
    <col min="16" max="16" width="14" bestFit="1" customWidth="1"/>
  </cols>
  <sheetData>
    <row r="1" spans="1:16" ht="15.75" thickBot="1">
      <c r="A1" s="8" t="s">
        <v>74</v>
      </c>
      <c r="B1" s="8" t="s">
        <v>75</v>
      </c>
      <c r="E1" s="12" t="s">
        <v>76</v>
      </c>
      <c r="F1" s="12" t="s">
        <v>80</v>
      </c>
      <c r="G1" s="12" t="s">
        <v>77</v>
      </c>
      <c r="H1" s="12" t="s">
        <v>81</v>
      </c>
      <c r="I1" s="12" t="s">
        <v>82</v>
      </c>
      <c r="J1" s="12" t="s">
        <v>78</v>
      </c>
      <c r="K1" s="12" t="s">
        <v>79</v>
      </c>
      <c r="L1" s="12" t="s">
        <v>148</v>
      </c>
    </row>
    <row r="2" spans="1:16" ht="16.5" thickTop="1" thickBot="1">
      <c r="A2" s="4">
        <v>44197</v>
      </c>
      <c r="B2" s="9">
        <f>SUMIFS(Monthly_Category[sum_sale_dollars], Monthly_Category[Start of Month], A2)</f>
        <v>28665659.860000025</v>
      </c>
      <c r="E2" s="4">
        <f t="shared" ref="E2:E25" si="0">EDATE(A37,1)</f>
        <v>45292</v>
      </c>
      <c r="F2" s="9">
        <f>SUMIFS(Monthly_Category[sum_sale_dollars], Monthly_Category[Start of Month], E2)</f>
        <v>32972812.839999665</v>
      </c>
      <c r="G2" s="9">
        <f>_xlfn.FORECAST.ETS(E2,$B$2:$B$37,$A$2:$A$37,12,1)</f>
        <v>29640676.924484778</v>
      </c>
      <c r="H2" s="9">
        <f>_xlfn.FORECAST.ETS.CONFINT(E2,$B$2:$B$37,$A$2:$A$37,0.95,12,1)</f>
        <v>4102515.0322653363</v>
      </c>
      <c r="I2" s="9">
        <f>G2+H2</f>
        <v>33743191.956750117</v>
      </c>
      <c r="J2" s="9">
        <f>G2-H2</f>
        <v>25538161.892219443</v>
      </c>
      <c r="K2" s="9">
        <f>_xlfn.FORECAST.LINEAR(E2,$B$2:$B$37,$A$2:$A$37)</f>
        <v>39043295.000384271</v>
      </c>
      <c r="L2" s="9">
        <f t="shared" ref="L2:L13" si="1">B26</f>
        <v>32547784.889999595</v>
      </c>
      <c r="N2" s="38">
        <v>2024</v>
      </c>
      <c r="O2" s="38"/>
      <c r="P2" s="38"/>
    </row>
    <row r="3" spans="1:16" ht="15.75" thickTop="1">
      <c r="A3" s="4">
        <f>EDATE(A2,1)</f>
        <v>44228</v>
      </c>
      <c r="B3" s="9">
        <f>SUMIFS(Monthly_Category[sum_sale_dollars], Monthly_Category[Start of Month], A3)</f>
        <v>29617805.950000193</v>
      </c>
      <c r="E3" s="4">
        <f t="shared" si="0"/>
        <v>45323</v>
      </c>
      <c r="F3" s="9">
        <f>SUMIFS(Monthly_Category[sum_sale_dollars], Monthly_Category[Start of Month], E3)</f>
        <v>35101475.44999963</v>
      </c>
      <c r="G3" s="9">
        <f t="shared" ref="G3:G12" si="2">_xlfn.FORECAST.ETS(E3,$B$2:$B$37,$A$2:$A$37,12,1)</f>
        <v>30526623.233394489</v>
      </c>
      <c r="H3" s="9">
        <f t="shared" ref="H3:H13" si="3">_xlfn.FORECAST.ETS.CONFINT(E3,$B$2:$B$37,$A$2:$A$37,0.95,12,1)</f>
        <v>4230773.2025534138</v>
      </c>
      <c r="I3" s="9">
        <f t="shared" ref="I3:I13" si="4">G3+H3</f>
        <v>34757396.435947903</v>
      </c>
      <c r="J3" s="9">
        <f t="shared" ref="J3:J13" si="5">G3-H3</f>
        <v>26295850.030841075</v>
      </c>
      <c r="K3" s="9">
        <f t="shared" ref="K3:K13" si="6">_xlfn.FORECAST.LINEAR(E3,$B$2:$B$37,$A$2:$A$37)</f>
        <v>39200059.122277141</v>
      </c>
      <c r="L3" s="9">
        <f t="shared" si="1"/>
        <v>32114831.479999702</v>
      </c>
      <c r="N3" s="10" t="s">
        <v>83</v>
      </c>
      <c r="O3" s="10" t="s">
        <v>84</v>
      </c>
      <c r="P3" s="10" t="s">
        <v>85</v>
      </c>
    </row>
    <row r="4" spans="1:16">
      <c r="A4" s="4">
        <f t="shared" ref="A4:A61" si="7">EDATE(A3,1)</f>
        <v>44256</v>
      </c>
      <c r="B4" s="9">
        <f>SUMIFS(Monthly_Category[sum_sale_dollars], Monthly_Category[Start of Month], A4)</f>
        <v>36654828.860000014</v>
      </c>
      <c r="E4" s="4">
        <f t="shared" si="0"/>
        <v>45352</v>
      </c>
      <c r="F4" s="9">
        <f>SUMIFS(Monthly_Category[sum_sale_dollars], Monthly_Category[Start of Month], E4)</f>
        <v>34164169.289999776</v>
      </c>
      <c r="G4" s="9">
        <f t="shared" si="2"/>
        <v>33043870.729127247</v>
      </c>
      <c r="H4" s="9">
        <f t="shared" si="3"/>
        <v>4356231.5894437954</v>
      </c>
      <c r="I4" s="9">
        <f t="shared" si="4"/>
        <v>37400102.318571046</v>
      </c>
      <c r="J4" s="9">
        <f t="shared" si="5"/>
        <v>28687639.139683452</v>
      </c>
      <c r="K4" s="9">
        <f t="shared" si="6"/>
        <v>39346709.429854393</v>
      </c>
      <c r="L4" s="9">
        <f t="shared" si="1"/>
        <v>36403505.899999313</v>
      </c>
      <c r="N4" s="11" cm="1">
        <f t="array" ref="N4">AVERAGE(ABS((F2:F13-G2:G13)/F2:F13))</f>
        <v>6.8073699020882214E-2</v>
      </c>
      <c r="O4" s="11" cm="1">
        <f t="array" ref="O4">AVERAGE(ABS((F2:F13-K2:K13)/F2:F13))</f>
        <v>8.6477218239337447E-2</v>
      </c>
      <c r="P4" s="11" cm="1">
        <f t="array" ref="P4">AVERAGE((ABS(F2:F13-L2:L13)/F2:F13))</f>
        <v>5.2163642897734591E-2</v>
      </c>
    </row>
    <row r="5" spans="1:16">
      <c r="A5" s="4">
        <f t="shared" si="7"/>
        <v>44287</v>
      </c>
      <c r="B5" s="9">
        <f>SUMIFS(Monthly_Category[sum_sale_dollars], Monthly_Category[Start of Month], A5)</f>
        <v>34734921.829999819</v>
      </c>
      <c r="E5" s="4">
        <f t="shared" si="0"/>
        <v>45383</v>
      </c>
      <c r="F5" s="9">
        <f>SUMIFS(Monthly_Category[sum_sale_dollars], Monthly_Category[Start of Month], E5)</f>
        <v>36385547.8699999</v>
      </c>
      <c r="G5" s="9">
        <f t="shared" si="2"/>
        <v>34341900.831170909</v>
      </c>
      <c r="H5" s="9">
        <f t="shared" si="3"/>
        <v>4479129.2188877594</v>
      </c>
      <c r="I5" s="9">
        <f t="shared" si="4"/>
        <v>38821030.05005867</v>
      </c>
      <c r="J5" s="9">
        <f t="shared" si="5"/>
        <v>29862771.612283148</v>
      </c>
      <c r="K5" s="9">
        <f t="shared" si="6"/>
        <v>39503473.551747292</v>
      </c>
      <c r="L5" s="9">
        <f t="shared" si="1"/>
        <v>32884344.369999547</v>
      </c>
    </row>
    <row r="6" spans="1:16" ht="15.75" thickBot="1">
      <c r="A6" s="4">
        <f t="shared" si="7"/>
        <v>44317</v>
      </c>
      <c r="B6" s="9">
        <f>SUMIFS(Monthly_Category[sum_sale_dollars], Monthly_Category[Start of Month], A6)</f>
        <v>33659554.939999729</v>
      </c>
      <c r="E6" s="4">
        <f t="shared" si="0"/>
        <v>45413</v>
      </c>
      <c r="F6" s="9">
        <f>SUMIFS(Monthly_Category[sum_sale_dollars], Monthly_Category[Start of Month], E6)</f>
        <v>39359095.649999924</v>
      </c>
      <c r="G6" s="9">
        <f t="shared" si="2"/>
        <v>36921054.632337257</v>
      </c>
      <c r="H6" s="9">
        <f t="shared" si="3"/>
        <v>4599675.0155398389</v>
      </c>
      <c r="I6" s="9">
        <f t="shared" si="4"/>
        <v>41520729.647877097</v>
      </c>
      <c r="J6" s="9">
        <f t="shared" si="5"/>
        <v>32321379.616797417</v>
      </c>
      <c r="K6" s="9">
        <f t="shared" si="6"/>
        <v>39655180.766482353</v>
      </c>
      <c r="L6" s="9">
        <f t="shared" si="1"/>
        <v>39684933.969999507</v>
      </c>
    </row>
    <row r="7" spans="1:16" ht="16.5" thickTop="1" thickBot="1">
      <c r="A7" s="4">
        <f t="shared" si="7"/>
        <v>44348</v>
      </c>
      <c r="B7" s="9">
        <f>SUMIFS(Monthly_Category[sum_sale_dollars], Monthly_Category[Start of Month], A7)</f>
        <v>38890929.249999784</v>
      </c>
      <c r="E7" s="4">
        <f t="shared" si="0"/>
        <v>45444</v>
      </c>
      <c r="F7" s="9">
        <f>SUMIFS(Monthly_Category[sum_sale_dollars], Monthly_Category[Start of Month], E7)</f>
        <v>36769358.279999934</v>
      </c>
      <c r="G7" s="9">
        <f>_xlfn.FORECAST.ETS(E7,$B$2:$B$37,$A$2:$A$37,12,1)</f>
        <v>39843077.013566248</v>
      </c>
      <c r="H7" s="9">
        <f t="shared" si="3"/>
        <v>4718052.8175709555</v>
      </c>
      <c r="I7" s="9">
        <f t="shared" si="4"/>
        <v>44561129.831137203</v>
      </c>
      <c r="J7" s="9">
        <f t="shared" si="5"/>
        <v>35125024.195995294</v>
      </c>
      <c r="K7" s="9">
        <f t="shared" si="6"/>
        <v>39811944.888375223</v>
      </c>
      <c r="L7" s="9">
        <f t="shared" si="1"/>
        <v>41194749.129999429</v>
      </c>
      <c r="N7" s="38">
        <v>2025</v>
      </c>
      <c r="O7" s="38"/>
      <c r="P7" s="38"/>
    </row>
    <row r="8" spans="1:16" ht="15.75" thickTop="1">
      <c r="A8" s="4">
        <f t="shared" si="7"/>
        <v>44378</v>
      </c>
      <c r="B8" s="9">
        <f>SUMIFS(Monthly_Category[sum_sale_dollars], Monthly_Category[Start of Month], A8)</f>
        <v>35176467.619999871</v>
      </c>
      <c r="E8" s="4">
        <f t="shared" si="0"/>
        <v>45474</v>
      </c>
      <c r="F8" s="9">
        <f>SUMIFS(Monthly_Category[sum_sale_dollars], Monthly_Category[Start of Month], E8)</f>
        <v>37563557.730000034</v>
      </c>
      <c r="G8" s="9">
        <f t="shared" si="2"/>
        <v>35306060.499554649</v>
      </c>
      <c r="H8" s="9">
        <f t="shared" si="3"/>
        <v>4834425.3684565974</v>
      </c>
      <c r="I8" s="9">
        <f t="shared" si="4"/>
        <v>40140485.868011244</v>
      </c>
      <c r="J8" s="9">
        <f t="shared" si="5"/>
        <v>30471635.131098051</v>
      </c>
      <c r="K8" s="9">
        <f t="shared" si="6"/>
        <v>39963652.103110284</v>
      </c>
      <c r="L8" s="9">
        <f t="shared" si="1"/>
        <v>35838999.869999573</v>
      </c>
      <c r="N8" s="10" t="s">
        <v>83</v>
      </c>
      <c r="O8" s="10" t="s">
        <v>84</v>
      </c>
      <c r="P8" s="10" t="s">
        <v>85</v>
      </c>
    </row>
    <row r="9" spans="1:16">
      <c r="A9" s="4">
        <f t="shared" si="7"/>
        <v>44409</v>
      </c>
      <c r="B9" s="9">
        <f>SUMIFS(Monthly_Category[sum_sale_dollars], Monthly_Category[Start of Month], A9)</f>
        <v>36501798.739999466</v>
      </c>
      <c r="E9" s="4">
        <f t="shared" si="0"/>
        <v>45505</v>
      </c>
      <c r="F9" s="9">
        <f>SUMIFS(Monthly_Category[sum_sale_dollars], Monthly_Category[Start of Month], E9)</f>
        <v>36529981.189999826</v>
      </c>
      <c r="G9" s="9">
        <f t="shared" si="2"/>
        <v>39889379.581642754</v>
      </c>
      <c r="H9" s="9">
        <f t="shared" si="3"/>
        <v>4948937.5295312637</v>
      </c>
      <c r="I9" s="9">
        <f t="shared" si="4"/>
        <v>44838317.111174017</v>
      </c>
      <c r="J9" s="9">
        <f t="shared" si="5"/>
        <v>34940442.052111492</v>
      </c>
      <c r="K9" s="9">
        <f t="shared" si="6"/>
        <v>40120416.225003183</v>
      </c>
      <c r="L9" s="9">
        <f t="shared" si="1"/>
        <v>39788043.979999289</v>
      </c>
      <c r="N9" s="11" cm="1">
        <f t="array" ref="N9">AVERAGE(ABS((F14:F25-G14:G25)/F14:F25))</f>
        <v>7.2524333146262776E-2</v>
      </c>
      <c r="O9" s="11" cm="1">
        <f t="array" ref="O9">AVERAGE(ABS((F14:F25-K14:K25)/F14:F25))</f>
        <v>0.12880060709442687</v>
      </c>
      <c r="P9" s="11" cm="1">
        <f t="array" ref="P9">AVERAGE(ABS((F14:F25-L14:L25)/F14:F25))</f>
        <v>5.971826065345618E-2</v>
      </c>
    </row>
    <row r="10" spans="1:16">
      <c r="A10" s="4">
        <f t="shared" si="7"/>
        <v>44440</v>
      </c>
      <c r="B10" s="9">
        <f>SUMIFS(Monthly_Category[sum_sale_dollars], Monthly_Category[Start of Month], A10)</f>
        <v>35837061.019999869</v>
      </c>
      <c r="E10" s="4">
        <f t="shared" si="0"/>
        <v>45536</v>
      </c>
      <c r="F10" s="9">
        <f>SUMIFS(Monthly_Category[sum_sale_dollars], Monthly_Category[Start of Month], E10)</f>
        <v>34410490.219999775</v>
      </c>
      <c r="G10" s="9">
        <f t="shared" si="2"/>
        <v>36606304.540778957</v>
      </c>
      <c r="H10" s="9">
        <f t="shared" si="3"/>
        <v>5061718.8913181769</v>
      </c>
      <c r="I10" s="9">
        <f t="shared" si="4"/>
        <v>41668023.432097137</v>
      </c>
      <c r="J10" s="9">
        <f t="shared" si="5"/>
        <v>31544585.649460781</v>
      </c>
      <c r="K10" s="9">
        <f t="shared" si="6"/>
        <v>40277180.346896082</v>
      </c>
      <c r="L10" s="9">
        <f t="shared" si="1"/>
        <v>35096963.959999636</v>
      </c>
    </row>
    <row r="11" spans="1:16">
      <c r="A11" s="4">
        <f t="shared" si="7"/>
        <v>44470</v>
      </c>
      <c r="B11" s="9">
        <f>SUMIFS(Monthly_Category[sum_sale_dollars], Monthly_Category[Start of Month], A11)</f>
        <v>38085762.35999959</v>
      </c>
      <c r="E11" s="4">
        <f t="shared" si="0"/>
        <v>45566</v>
      </c>
      <c r="F11" s="9">
        <f>SUMIFS(Monthly_Category[sum_sale_dollars], Monthly_Category[Start of Month], E11)</f>
        <v>42691915.199999519</v>
      </c>
      <c r="G11" s="9">
        <f t="shared" si="2"/>
        <v>40144177.104754061</v>
      </c>
      <c r="H11" s="9">
        <f t="shared" si="3"/>
        <v>5172885.9155222839</v>
      </c>
      <c r="I11" s="9">
        <f t="shared" si="4"/>
        <v>45317063.020276345</v>
      </c>
      <c r="J11" s="9">
        <f t="shared" si="5"/>
        <v>34971291.189231776</v>
      </c>
      <c r="K11" s="9">
        <f t="shared" si="6"/>
        <v>40428887.561631143</v>
      </c>
      <c r="L11" s="9">
        <f t="shared" si="1"/>
        <v>40281758.899999708</v>
      </c>
      <c r="N11" t="s">
        <v>120</v>
      </c>
    </row>
    <row r="12" spans="1:16">
      <c r="A12" s="4">
        <f t="shared" si="7"/>
        <v>44501</v>
      </c>
      <c r="B12" s="9">
        <f>SUMIFS(Monthly_Category[sum_sale_dollars], Monthly_Category[Start of Month], A12)</f>
        <v>38007977.909999527</v>
      </c>
      <c r="E12" s="4">
        <f t="shared" si="0"/>
        <v>45597</v>
      </c>
      <c r="F12" s="9">
        <f>SUMIFS(Monthly_Category[sum_sale_dollars], Monthly_Category[Start of Month], E12)</f>
        <v>40090042.219999351</v>
      </c>
      <c r="G12" s="9">
        <f t="shared" si="2"/>
        <v>38970460.275735043</v>
      </c>
      <c r="H12" s="9">
        <f t="shared" si="3"/>
        <v>5282543.7067104988</v>
      </c>
      <c r="I12" s="9">
        <f t="shared" si="4"/>
        <v>44253003.982445538</v>
      </c>
      <c r="J12" s="9">
        <f t="shared" si="5"/>
        <v>33687916.569024548</v>
      </c>
      <c r="K12" s="9">
        <f t="shared" si="6"/>
        <v>40585651.683524042</v>
      </c>
      <c r="L12" s="9">
        <f t="shared" si="1"/>
        <v>39289673.489999481</v>
      </c>
      <c r="N12" s="11" cm="1">
        <f t="array" ref="N12">AVERAGE(ABS((F14:F25-L14:L25)/F14:F25))</f>
        <v>5.971826065345618E-2</v>
      </c>
    </row>
    <row r="13" spans="1:16">
      <c r="A13" s="4">
        <f t="shared" si="7"/>
        <v>44531</v>
      </c>
      <c r="B13" s="9">
        <f>SUMIFS(Monthly_Category[sum_sale_dollars], Monthly_Category[Start of Month], A13)</f>
        <v>42290767.059999816</v>
      </c>
      <c r="E13" s="4">
        <f t="shared" si="0"/>
        <v>45627</v>
      </c>
      <c r="F13" s="9">
        <f>SUMIFS(Monthly_Category[sum_sale_dollars], Monthly_Category[Start of Month], E13)</f>
        <v>41196967.679999635</v>
      </c>
      <c r="G13" s="9">
        <f>_xlfn.FORECAST.ETS(E13,$B$2:$B$37,$A$2:$A$37,12,1)</f>
        <v>43154721.112494759</v>
      </c>
      <c r="H13" s="9">
        <f t="shared" si="3"/>
        <v>5390787.4889370399</v>
      </c>
      <c r="I13" s="9">
        <f t="shared" si="4"/>
        <v>48545508.601431802</v>
      </c>
      <c r="J13" s="9">
        <f t="shared" si="5"/>
        <v>37763933.623557717</v>
      </c>
      <c r="K13" s="9">
        <f t="shared" si="6"/>
        <v>40737358.898259103</v>
      </c>
      <c r="L13" s="9">
        <f t="shared" si="1"/>
        <v>40945072.579999782</v>
      </c>
    </row>
    <row r="14" spans="1:16">
      <c r="A14" s="4">
        <f t="shared" si="7"/>
        <v>44562</v>
      </c>
      <c r="B14" s="9">
        <f>SUMIFS(Monthly_Category[sum_sale_dollars], Monthly_Category[Start of Month], A14)</f>
        <v>27597708.299999963</v>
      </c>
      <c r="E14" s="4">
        <f t="shared" si="0"/>
        <v>45658</v>
      </c>
      <c r="F14" s="9">
        <f>SUMIFS(Monthly_Category[sum_sale_dollars], Monthly_Category[Start of Month], E14)</f>
        <v>31111677.659999739</v>
      </c>
      <c r="G14" s="9">
        <f>_xlfn.FORECAST.ETS(E14,$B$2:$B$49,$A$2:$A$49,12,1)</f>
        <v>31691741.493855529</v>
      </c>
      <c r="H14" s="9">
        <f>_xlfn.FORECAST.ETS.CONFINT(E14,$B$2:$B$49,$A$2:$A$49,0.95,12,1)</f>
        <v>3804595.9946852275</v>
      </c>
      <c r="I14" s="9">
        <f>G14+H14</f>
        <v>35496337.488540754</v>
      </c>
      <c r="J14" s="9">
        <f>G14-H14</f>
        <v>27887145.4991703</v>
      </c>
      <c r="K14" s="9">
        <f>_xlfn.FORECAST.LINEAR(E14,$B$2:$B$49,$A$2:$A$49)</f>
        <v>38908949.69983232</v>
      </c>
      <c r="L14" s="9">
        <f>F2</f>
        <v>32972812.839999665</v>
      </c>
    </row>
    <row r="15" spans="1:16">
      <c r="A15" s="4">
        <f t="shared" si="7"/>
        <v>44593</v>
      </c>
      <c r="B15" s="9">
        <f>SUMIFS(Monthly_Category[sum_sale_dollars], Monthly_Category[Start of Month], A15)</f>
        <v>29474100.929999929</v>
      </c>
      <c r="E15" s="4">
        <f t="shared" si="0"/>
        <v>45689</v>
      </c>
      <c r="F15" s="9">
        <f>SUMIFS(Monthly_Category[sum_sale_dollars], Monthly_Category[Start of Month], E15)</f>
        <v>31308695.749999795</v>
      </c>
      <c r="G15" s="9">
        <f t="shared" ref="G15:G25" si="8">_xlfn.FORECAST.ETS(E15,$B$2:$B$49,$A$2:$A$49,12,1)</f>
        <v>32646957.466874506</v>
      </c>
      <c r="H15" s="9">
        <f>_xlfn.FORECAST.ETS.CONFINT(E15,$B$2:$B$49,$A$2:$A$49,0.95,12,1)</f>
        <v>3804613.1153286821</v>
      </c>
      <c r="I15" s="9">
        <f t="shared" ref="I15:I25" si="9">G15+H15</f>
        <v>36451570.582203187</v>
      </c>
      <c r="J15" s="9">
        <f t="shared" ref="J15:J25" si="10">G15-H15</f>
        <v>28842344.351545826</v>
      </c>
      <c r="K15" s="9">
        <f>_xlfn.FORECAST.LINEAR(E15,$B$2:$B$49,$A$2:$A$49)</f>
        <v>39010495.73251158</v>
      </c>
      <c r="L15" s="9">
        <f>F3</f>
        <v>35101475.44999963</v>
      </c>
    </row>
    <row r="16" spans="1:16">
      <c r="A16" s="4">
        <f t="shared" si="7"/>
        <v>44621</v>
      </c>
      <c r="B16" s="9">
        <f>SUMIFS(Monthly_Category[sum_sale_dollars], Monthly_Category[Start of Month], A16)</f>
        <v>30225874.550000023</v>
      </c>
      <c r="E16" s="4">
        <f t="shared" si="0"/>
        <v>45717</v>
      </c>
      <c r="F16" s="9">
        <f>SUMIFS(Monthly_Category[sum_sale_dollars], Monthly_Category[Start of Month], E16)</f>
        <v>33518798.609999597</v>
      </c>
      <c r="G16" s="9">
        <f t="shared" si="8"/>
        <v>35207718.412059836</v>
      </c>
      <c r="H16" s="9">
        <f>_xlfn.FORECAST.ETS.CONFINT(E16,$B$2:$B$49,$A$2:$A$49,0.95,12,1)</f>
        <v>3804643.5518379305</v>
      </c>
      <c r="I16" s="9">
        <f t="shared" si="9"/>
        <v>39012361.963897765</v>
      </c>
      <c r="J16" s="9">
        <f t="shared" si="10"/>
        <v>31403074.860221907</v>
      </c>
      <c r="K16" s="9">
        <f t="shared" ref="K16:K25" si="11">_xlfn.FORECAST.LINEAR(E16,$B$2:$B$49,$A$2:$A$49)</f>
        <v>39102214.729770273</v>
      </c>
      <c r="L16" s="9">
        <f t="shared" ref="L16:L23" si="12">F4</f>
        <v>34164169.289999776</v>
      </c>
      <c r="N16" s="37"/>
    </row>
    <row r="17" spans="1:14">
      <c r="A17" s="4">
        <f t="shared" si="7"/>
        <v>44652</v>
      </c>
      <c r="B17" s="9">
        <f>SUMIFS(Monthly_Category[sum_sale_dollars], Monthly_Category[Start of Month], A17)</f>
        <v>34781761.589999452</v>
      </c>
      <c r="E17" s="4">
        <f t="shared" si="0"/>
        <v>45748</v>
      </c>
      <c r="F17" s="9">
        <f>SUMIFS(Monthly_Category[sum_sale_dollars], Monthly_Category[Start of Month], E17)</f>
        <v>35499986.349999756</v>
      </c>
      <c r="G17" s="9">
        <f>_xlfn.FORECAST.ETS(E17,$B$2:$B$49,$A$2:$A$49,12,1)</f>
        <v>35650394.277216643</v>
      </c>
      <c r="H17" s="9">
        <f>_xlfn.FORECAST.ETS.CONFINT(E17,$B$2:$B$49,$A$2:$A$49,0.95,12,1)</f>
        <v>3804691.1083961884</v>
      </c>
      <c r="I17" s="9">
        <f t="shared" si="9"/>
        <v>39455085.385612831</v>
      </c>
      <c r="J17" s="9">
        <f t="shared" si="10"/>
        <v>31845703.168820456</v>
      </c>
      <c r="K17" s="9">
        <f t="shared" si="11"/>
        <v>39203760.762449533</v>
      </c>
      <c r="L17" s="9">
        <f t="shared" si="12"/>
        <v>36385547.8699999</v>
      </c>
    </row>
    <row r="18" spans="1:14">
      <c r="A18" s="4">
        <f t="shared" si="7"/>
        <v>44682</v>
      </c>
      <c r="B18" s="9">
        <f>SUMIFS(Monthly_Category[sum_sale_dollars], Monthly_Category[Start of Month], A18)</f>
        <v>35948167.339999266</v>
      </c>
      <c r="E18" s="4">
        <f t="shared" si="0"/>
        <v>45778</v>
      </c>
      <c r="F18" s="9">
        <f>SUMIFS(Monthly_Category[sum_sale_dollars], Monthly_Category[Start of Month], E18)</f>
        <v>35589683.489999615</v>
      </c>
      <c r="G18" s="9">
        <f t="shared" si="8"/>
        <v>39109325.11058788</v>
      </c>
      <c r="H18" s="9">
        <f t="shared" ref="H18:H25" si="13">_xlfn.FORECAST.ETS.CONFINT(E18,$B$2:$B$49,$A$2:$A$49,0.95,12,1)</f>
        <v>3804759.5887958012</v>
      </c>
      <c r="I18" s="9">
        <f t="shared" si="9"/>
        <v>42914084.699383684</v>
      </c>
      <c r="J18" s="9">
        <f t="shared" si="10"/>
        <v>35304565.521792077</v>
      </c>
      <c r="K18" s="9">
        <f t="shared" si="11"/>
        <v>39302031.11665529</v>
      </c>
      <c r="L18" s="9">
        <f t="shared" si="12"/>
        <v>39359095.649999924</v>
      </c>
    </row>
    <row r="19" spans="1:14">
      <c r="A19" s="4">
        <f t="shared" si="7"/>
        <v>44713</v>
      </c>
      <c r="B19" s="9">
        <f>SUMIFS(Monthly_Category[sum_sale_dollars], Monthly_Category[Start of Month], A19)</f>
        <v>38614152.409999266</v>
      </c>
      <c r="E19" s="4">
        <f t="shared" si="0"/>
        <v>45809</v>
      </c>
      <c r="F19" s="9">
        <f>SUMIFS(Monthly_Category[sum_sale_dollars], Monthly_Category[Start of Month], E19)</f>
        <v>35946281.009999692</v>
      </c>
      <c r="G19" s="9">
        <f t="shared" si="8"/>
        <v>40711816.12531884</v>
      </c>
      <c r="H19" s="9">
        <f t="shared" si="13"/>
        <v>3804852.7962481081</v>
      </c>
      <c r="I19" s="9">
        <f t="shared" si="9"/>
        <v>44516668.921566948</v>
      </c>
      <c r="J19" s="9">
        <f t="shared" si="10"/>
        <v>36906963.329070732</v>
      </c>
      <c r="K19" s="9">
        <f t="shared" si="11"/>
        <v>39403577.14933455</v>
      </c>
      <c r="L19" s="9">
        <f t="shared" si="12"/>
        <v>36769358.279999934</v>
      </c>
    </row>
    <row r="20" spans="1:14">
      <c r="A20" s="4">
        <f t="shared" si="7"/>
        <v>44743</v>
      </c>
      <c r="B20" s="9">
        <f>SUMIFS(Monthly_Category[sum_sale_dollars], Monthly_Category[Start of Month], A20)</f>
        <v>33792893.139999226</v>
      </c>
      <c r="E20" s="4">
        <f t="shared" si="0"/>
        <v>45839</v>
      </c>
      <c r="F20" s="9">
        <f>SUMIFS(Monthly_Category[sum_sale_dollars], Monthly_Category[Start of Month], E20)</f>
        <v>36094242.389999636</v>
      </c>
      <c r="G20" s="9">
        <f t="shared" si="8"/>
        <v>36873440.854737572</v>
      </c>
      <c r="H20" s="9">
        <f t="shared" si="13"/>
        <v>3804974.5331553468</v>
      </c>
      <c r="I20" s="9">
        <f t="shared" si="9"/>
        <v>40678415.387892917</v>
      </c>
      <c r="J20" s="9">
        <f>G20-H20</f>
        <v>33068466.321582224</v>
      </c>
      <c r="K20" s="9">
        <f t="shared" si="11"/>
        <v>39501847.503540307</v>
      </c>
      <c r="L20" s="9">
        <f t="shared" si="12"/>
        <v>37563557.730000034</v>
      </c>
    </row>
    <row r="21" spans="1:14">
      <c r="A21" s="4">
        <f t="shared" si="7"/>
        <v>44774</v>
      </c>
      <c r="B21" s="9">
        <f>SUMIFS(Monthly_Category[sum_sale_dollars], Monthly_Category[Start of Month], A21)</f>
        <v>41374068.239998654</v>
      </c>
      <c r="E21" s="4">
        <f t="shared" si="0"/>
        <v>45870</v>
      </c>
      <c r="F21" s="9">
        <f>SUMIFS(Monthly_Category[sum_sale_dollars], Monthly_Category[Start of Month], E21)</f>
        <v>34213226.45999974</v>
      </c>
      <c r="G21" s="9">
        <f t="shared" si="8"/>
        <v>40557852.308362491</v>
      </c>
      <c r="H21" s="9">
        <f t="shared" si="13"/>
        <v>3805128.6008446622</v>
      </c>
      <c r="I21" s="9">
        <f t="shared" si="9"/>
        <v>44362980.90920715</v>
      </c>
      <c r="J21" s="9">
        <f t="shared" si="10"/>
        <v>36752723.707517833</v>
      </c>
      <c r="K21" s="9">
        <f t="shared" si="11"/>
        <v>39603393.536219567</v>
      </c>
      <c r="L21" s="9">
        <f t="shared" si="12"/>
        <v>36529981.189999826</v>
      </c>
    </row>
    <row r="22" spans="1:14">
      <c r="A22" s="4">
        <f t="shared" si="7"/>
        <v>44805</v>
      </c>
      <c r="B22" s="9">
        <f>SUMIFS(Monthly_Category[sum_sale_dollars], Monthly_Category[Start of Month], A22)</f>
        <v>36622693.60999915</v>
      </c>
      <c r="E22" s="4">
        <f t="shared" si="0"/>
        <v>45901</v>
      </c>
      <c r="F22" s="9">
        <f>SUMIFS(Monthly_Category[sum_sale_dollars], Monthly_Category[Start of Month], E22)</f>
        <v>35151175.729999729</v>
      </c>
      <c r="G22" s="9">
        <f>_xlfn.FORECAST.ETS(E22,$B$2:$B$49,$A$2:$A$49,12,1)</f>
        <v>37672558.853045128</v>
      </c>
      <c r="H22" s="9">
        <f t="shared" si="13"/>
        <v>3805318.7992643048</v>
      </c>
      <c r="I22" s="9">
        <f t="shared" si="9"/>
        <v>41477877.652309433</v>
      </c>
      <c r="J22" s="9">
        <f t="shared" si="10"/>
        <v>33867240.053780824</v>
      </c>
      <c r="K22" s="9">
        <f t="shared" si="11"/>
        <v>39704939.568898827</v>
      </c>
      <c r="L22" s="9">
        <f t="shared" si="12"/>
        <v>34410490.219999775</v>
      </c>
    </row>
    <row r="23" spans="1:14">
      <c r="A23" s="4">
        <f t="shared" si="7"/>
        <v>44835</v>
      </c>
      <c r="B23" s="9">
        <f>SUMIFS(Monthly_Category[sum_sale_dollars], Monthly_Category[Start of Month], A23)</f>
        <v>39688632.579999156</v>
      </c>
      <c r="E23" s="4">
        <f t="shared" si="0"/>
        <v>45931</v>
      </c>
      <c r="F23" s="9">
        <f>SUMIFS(Monthly_Category[sum_sale_dollars], Monthly_Category[Start of Month], E23)</f>
        <v>40038767.559999704</v>
      </c>
      <c r="G23" s="9">
        <f t="shared" si="8"/>
        <v>41353565.407434493</v>
      </c>
      <c r="H23" s="9">
        <f t="shared" si="13"/>
        <v>3805548.9266421143</v>
      </c>
      <c r="I23" s="9">
        <f t="shared" si="9"/>
        <v>45159114.334076606</v>
      </c>
      <c r="J23" s="9">
        <f t="shared" si="10"/>
        <v>37548016.480792381</v>
      </c>
      <c r="K23" s="9">
        <f t="shared" si="11"/>
        <v>39803209.923104584</v>
      </c>
      <c r="L23" s="9">
        <f t="shared" si="12"/>
        <v>42691915.199999519</v>
      </c>
    </row>
    <row r="24" spans="1:14">
      <c r="A24" s="4">
        <f t="shared" si="7"/>
        <v>44866</v>
      </c>
      <c r="B24" s="9">
        <f>SUMIFS(Monthly_Category[sum_sale_dollars], Monthly_Category[Start of Month], A24)</f>
        <v>37513438.629999042</v>
      </c>
      <c r="E24" s="4">
        <f t="shared" si="0"/>
        <v>45962</v>
      </c>
      <c r="F24" s="9">
        <f>SUMIFS(Monthly_Category[sum_sale_dollars], Monthly_Category[Start of Month], E24)</f>
        <v>34684681</v>
      </c>
      <c r="G24" s="9">
        <f t="shared" si="8"/>
        <v>39963591.774693459</v>
      </c>
      <c r="H24" s="9">
        <f t="shared" si="13"/>
        <v>3805822.7791064139</v>
      </c>
      <c r="I24" s="9">
        <f t="shared" si="9"/>
        <v>43769414.553799875</v>
      </c>
      <c r="J24" s="9">
        <f t="shared" si="10"/>
        <v>36157768.995587043</v>
      </c>
      <c r="K24" s="9">
        <f t="shared" si="11"/>
        <v>39904755.955783844</v>
      </c>
      <c r="L24" s="9">
        <f>F12</f>
        <v>40090042.219999351</v>
      </c>
    </row>
    <row r="25" spans="1:14">
      <c r="A25" s="4">
        <f t="shared" si="7"/>
        <v>44896</v>
      </c>
      <c r="B25" s="9">
        <f>SUMIFS(Monthly_Category[sum_sale_dollars], Monthly_Category[Start of Month], A25)</f>
        <v>43146512.169999652</v>
      </c>
      <c r="E25" s="4">
        <f t="shared" si="0"/>
        <v>45992</v>
      </c>
      <c r="F25" s="9">
        <f>SUMIFS(Monthly_Category[sum_sale_dollars], Monthly_Category[Start of Month], E25)</f>
        <v>41657070</v>
      </c>
      <c r="G25" s="9">
        <f t="shared" si="8"/>
        <v>44115416.563732877</v>
      </c>
      <c r="H25" s="9">
        <f t="shared" si="13"/>
        <v>3806144.1502694897</v>
      </c>
      <c r="I25" s="9">
        <f t="shared" si="9"/>
        <v>47921560.714002371</v>
      </c>
      <c r="J25" s="9">
        <f t="shared" si="10"/>
        <v>40309272.413463384</v>
      </c>
      <c r="K25" s="9">
        <f t="shared" si="11"/>
        <v>40003026.309989601</v>
      </c>
      <c r="L25" s="9">
        <f>F13</f>
        <v>41196967.679999635</v>
      </c>
      <c r="N25" s="14"/>
    </row>
    <row r="26" spans="1:14">
      <c r="A26" s="4">
        <f t="shared" si="7"/>
        <v>44927</v>
      </c>
      <c r="B26" s="9">
        <f>SUMIFS(Monthly_Category[sum_sale_dollars], Monthly_Category[Start of Month], A26)</f>
        <v>32547784.889999595</v>
      </c>
      <c r="E26" s="4"/>
    </row>
    <row r="27" spans="1:14">
      <c r="A27" s="4">
        <f t="shared" si="7"/>
        <v>44958</v>
      </c>
      <c r="B27" s="9">
        <f>SUMIFS(Monthly_Category[sum_sale_dollars], Monthly_Category[Start of Month], A27)</f>
        <v>32114831.479999702</v>
      </c>
    </row>
    <row r="28" spans="1:14">
      <c r="A28" s="4">
        <f t="shared" si="7"/>
        <v>44986</v>
      </c>
      <c r="B28" s="9">
        <f>SUMIFS(Monthly_Category[sum_sale_dollars], Monthly_Category[Start of Month], A28)</f>
        <v>36403505.899999313</v>
      </c>
    </row>
    <row r="29" spans="1:14">
      <c r="A29" s="4">
        <f t="shared" si="7"/>
        <v>45017</v>
      </c>
      <c r="B29" s="9">
        <f>SUMIFS(Monthly_Category[sum_sale_dollars], Monthly_Category[Start of Month], A29)</f>
        <v>32884344.369999547</v>
      </c>
    </row>
    <row r="30" spans="1:14">
      <c r="A30" s="4">
        <f t="shared" si="7"/>
        <v>45047</v>
      </c>
      <c r="B30" s="9">
        <f>SUMIFS(Monthly_Category[sum_sale_dollars], Monthly_Category[Start of Month], A30)</f>
        <v>39684933.969999507</v>
      </c>
    </row>
    <row r="31" spans="1:14">
      <c r="A31" s="4">
        <f t="shared" si="7"/>
        <v>45078</v>
      </c>
      <c r="B31" s="9">
        <f>SUMIFS(Monthly_Category[sum_sale_dollars], Monthly_Category[Start of Month], A31)</f>
        <v>41194749.129999429</v>
      </c>
    </row>
    <row r="32" spans="1:14">
      <c r="A32" s="4">
        <f t="shared" si="7"/>
        <v>45108</v>
      </c>
      <c r="B32" s="9">
        <f>SUMIFS(Monthly_Category[sum_sale_dollars], Monthly_Category[Start of Month], A32)</f>
        <v>35838999.869999573</v>
      </c>
    </row>
    <row r="33" spans="1:2">
      <c r="A33" s="4">
        <f t="shared" si="7"/>
        <v>45139</v>
      </c>
      <c r="B33" s="9">
        <f>SUMIFS(Monthly_Category[sum_sale_dollars], Monthly_Category[Start of Month], A33)</f>
        <v>39788043.979999289</v>
      </c>
    </row>
    <row r="34" spans="1:2">
      <c r="A34" s="4">
        <f t="shared" si="7"/>
        <v>45170</v>
      </c>
      <c r="B34" s="9">
        <f>SUMIFS(Monthly_Category[sum_sale_dollars], Monthly_Category[Start of Month], A34)</f>
        <v>35096963.959999636</v>
      </c>
    </row>
    <row r="35" spans="1:2">
      <c r="A35" s="4">
        <f t="shared" si="7"/>
        <v>45200</v>
      </c>
      <c r="B35" s="9">
        <f>SUMIFS(Monthly_Category[sum_sale_dollars], Monthly_Category[Start of Month], A35)</f>
        <v>40281758.899999708</v>
      </c>
    </row>
    <row r="36" spans="1:2">
      <c r="A36" s="4">
        <f t="shared" si="7"/>
        <v>45231</v>
      </c>
      <c r="B36" s="9">
        <f>SUMIFS(Monthly_Category[sum_sale_dollars], Monthly_Category[Start of Month], A36)</f>
        <v>39289673.489999481</v>
      </c>
    </row>
    <row r="37" spans="1:2">
      <c r="A37" s="4">
        <f t="shared" si="7"/>
        <v>45261</v>
      </c>
      <c r="B37" s="9">
        <f>SUMIFS(Monthly_Category[sum_sale_dollars], Monthly_Category[Start of Month], A37)</f>
        <v>40945072.579999782</v>
      </c>
    </row>
    <row r="38" spans="1:2">
      <c r="A38" s="4">
        <f>EDATE(A37,1)</f>
        <v>45292</v>
      </c>
      <c r="B38" s="9">
        <f>SUMIFS(Monthly_Category[sum_sale_dollars], Monthly_Category[Start of Month], A38)</f>
        <v>32972812.839999665</v>
      </c>
    </row>
    <row r="39" spans="1:2">
      <c r="A39" s="4">
        <f t="shared" si="7"/>
        <v>45323</v>
      </c>
      <c r="B39" s="9">
        <f>SUMIFS(Monthly_Category[sum_sale_dollars], Monthly_Category[Start of Month], A39)</f>
        <v>35101475.44999963</v>
      </c>
    </row>
    <row r="40" spans="1:2">
      <c r="A40" s="4">
        <f t="shared" si="7"/>
        <v>45352</v>
      </c>
      <c r="B40" s="9">
        <f>SUMIFS(Monthly_Category[sum_sale_dollars], Monthly_Category[Start of Month], A40)</f>
        <v>34164169.289999776</v>
      </c>
    </row>
    <row r="41" spans="1:2">
      <c r="A41" s="4">
        <f t="shared" si="7"/>
        <v>45383</v>
      </c>
      <c r="B41" s="9">
        <f>SUMIFS(Monthly_Category[sum_sale_dollars], Monthly_Category[Start of Month], A41)</f>
        <v>36385547.8699999</v>
      </c>
    </row>
    <row r="42" spans="1:2">
      <c r="A42" s="4">
        <f t="shared" si="7"/>
        <v>45413</v>
      </c>
      <c r="B42" s="9">
        <f>SUMIFS(Monthly_Category[sum_sale_dollars], Monthly_Category[Start of Month], A42)</f>
        <v>39359095.649999924</v>
      </c>
    </row>
    <row r="43" spans="1:2">
      <c r="A43" s="4">
        <f t="shared" si="7"/>
        <v>45444</v>
      </c>
      <c r="B43" s="9">
        <f>SUMIFS(Monthly_Category[sum_sale_dollars], Monthly_Category[Start of Month], A43)</f>
        <v>36769358.279999934</v>
      </c>
    </row>
    <row r="44" spans="1:2">
      <c r="A44" s="4">
        <f t="shared" si="7"/>
        <v>45474</v>
      </c>
      <c r="B44" s="9">
        <f>SUMIFS(Monthly_Category[sum_sale_dollars], Monthly_Category[Start of Month], A44)</f>
        <v>37563557.730000034</v>
      </c>
    </row>
    <row r="45" spans="1:2">
      <c r="A45" s="4">
        <f t="shared" si="7"/>
        <v>45505</v>
      </c>
      <c r="B45" s="9">
        <f>SUMIFS(Monthly_Category[sum_sale_dollars], Monthly_Category[Start of Month], A45)</f>
        <v>36529981.189999826</v>
      </c>
    </row>
    <row r="46" spans="1:2">
      <c r="A46" s="4">
        <f t="shared" si="7"/>
        <v>45536</v>
      </c>
      <c r="B46" s="9">
        <f>SUMIFS(Monthly_Category[sum_sale_dollars], Monthly_Category[Start of Month], A46)</f>
        <v>34410490.219999775</v>
      </c>
    </row>
    <row r="47" spans="1:2">
      <c r="A47" s="4">
        <f t="shared" si="7"/>
        <v>45566</v>
      </c>
      <c r="B47" s="9">
        <f>SUMIFS(Monthly_Category[sum_sale_dollars], Monthly_Category[Start of Month], A47)</f>
        <v>42691915.199999519</v>
      </c>
    </row>
    <row r="48" spans="1:2">
      <c r="A48" s="4">
        <f t="shared" si="7"/>
        <v>45597</v>
      </c>
      <c r="B48" s="9">
        <f>SUMIFS(Monthly_Category[sum_sale_dollars], Monthly_Category[Start of Month], A48)</f>
        <v>40090042.219999351</v>
      </c>
    </row>
    <row r="49" spans="1:2">
      <c r="A49" s="4">
        <f t="shared" si="7"/>
        <v>45627</v>
      </c>
      <c r="B49" s="9">
        <f>SUMIFS(Monthly_Category[sum_sale_dollars], Monthly_Category[Start of Month], A49)</f>
        <v>41196967.679999635</v>
      </c>
    </row>
    <row r="50" spans="1:2">
      <c r="A50" s="4">
        <f t="shared" si="7"/>
        <v>45658</v>
      </c>
      <c r="B50" s="9">
        <f>SUMIFS(Monthly_Category[sum_sale_dollars], Monthly_Category[Start of Month], A50)</f>
        <v>31111677.659999739</v>
      </c>
    </row>
    <row r="51" spans="1:2">
      <c r="A51" s="4">
        <f t="shared" si="7"/>
        <v>45689</v>
      </c>
      <c r="B51" s="9">
        <f>SUMIFS(Monthly_Category[sum_sale_dollars], Monthly_Category[Start of Month], A51)</f>
        <v>31308695.749999795</v>
      </c>
    </row>
    <row r="52" spans="1:2">
      <c r="A52" s="4">
        <f t="shared" si="7"/>
        <v>45717</v>
      </c>
      <c r="B52" s="9">
        <f>SUMIFS(Monthly_Category[sum_sale_dollars], Monthly_Category[Start of Month], A52)</f>
        <v>33518798.609999597</v>
      </c>
    </row>
    <row r="53" spans="1:2">
      <c r="A53" s="4">
        <f t="shared" si="7"/>
        <v>45748</v>
      </c>
      <c r="B53" s="9">
        <f>SUMIFS(Monthly_Category[sum_sale_dollars], Monthly_Category[Start of Month], A53)</f>
        <v>35499986.349999756</v>
      </c>
    </row>
    <row r="54" spans="1:2">
      <c r="A54" s="4">
        <f t="shared" si="7"/>
        <v>45778</v>
      </c>
      <c r="B54" s="9">
        <f>SUMIFS(Monthly_Category[sum_sale_dollars], Monthly_Category[Start of Month], A54)</f>
        <v>35589683.489999615</v>
      </c>
    </row>
    <row r="55" spans="1:2">
      <c r="A55" s="4">
        <f t="shared" si="7"/>
        <v>45809</v>
      </c>
      <c r="B55" s="9">
        <f>SUMIFS(Monthly_Category[sum_sale_dollars], Monthly_Category[Start of Month], A55)</f>
        <v>35946281.009999692</v>
      </c>
    </row>
    <row r="56" spans="1:2">
      <c r="A56" s="4">
        <f t="shared" si="7"/>
        <v>45839</v>
      </c>
      <c r="B56" s="9">
        <f>SUMIFS(Monthly_Category[sum_sale_dollars], Monthly_Category[Start of Month], A56)</f>
        <v>36094242.389999636</v>
      </c>
    </row>
    <row r="57" spans="1:2">
      <c r="A57" s="4">
        <f t="shared" si="7"/>
        <v>45870</v>
      </c>
      <c r="B57" s="9">
        <f>SUMIFS(Monthly_Category[sum_sale_dollars], Monthly_Category[Start of Month], A57)</f>
        <v>34213226.45999974</v>
      </c>
    </row>
    <row r="58" spans="1:2">
      <c r="A58" s="4">
        <f t="shared" si="7"/>
        <v>45901</v>
      </c>
      <c r="B58" s="9">
        <f>SUMIFS(Monthly_Category[sum_sale_dollars], Monthly_Category[Start of Month], A58)</f>
        <v>35151175.729999729</v>
      </c>
    </row>
    <row r="59" spans="1:2">
      <c r="A59" s="4">
        <f t="shared" si="7"/>
        <v>45931</v>
      </c>
      <c r="B59" s="9">
        <f>SUMIFS(Monthly_Category[sum_sale_dollars], Monthly_Category[Start of Month], A59)</f>
        <v>40038767.559999704</v>
      </c>
    </row>
    <row r="60" spans="1:2">
      <c r="A60" s="4">
        <f t="shared" si="7"/>
        <v>45962</v>
      </c>
      <c r="B60" s="9">
        <f>SUMIFS(Monthly_Category[sum_sale_dollars], Monthly_Category[Start of Month], A60)</f>
        <v>34684681</v>
      </c>
    </row>
    <row r="61" spans="1:2">
      <c r="A61" s="4">
        <f t="shared" si="7"/>
        <v>45992</v>
      </c>
      <c r="B61" s="9">
        <f>SUMIFS(Monthly_Category[sum_sale_dollars], Monthly_Category[Start of Month], A61)</f>
        <v>41657070</v>
      </c>
    </row>
  </sheetData>
  <mergeCells count="2">
    <mergeCell ref="N2:P2"/>
    <mergeCell ref="N7:P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C1C5-5CBA-4F71-B0F4-D010AAB08A32}">
  <sheetPr>
    <outlinePr summaryBelow="0"/>
  </sheetPr>
  <dimension ref="B1:G13"/>
  <sheetViews>
    <sheetView showGridLines="0" workbookViewId="0">
      <selection activeCell="H47" sqref="H47"/>
    </sheetView>
  </sheetViews>
  <sheetFormatPr defaultRowHeight="15" outlineLevelRow="1" outlineLevelCol="1"/>
  <cols>
    <col min="3" max="3" width="6.140625" bestFit="1" customWidth="1"/>
    <col min="4" max="7" width="13.140625" bestFit="1" customWidth="1" outlineLevel="1"/>
  </cols>
  <sheetData>
    <row r="1" spans="2:7" ht="15.75" thickBot="1"/>
    <row r="2" spans="2:7" ht="15.75">
      <c r="B2" s="27" t="s">
        <v>138</v>
      </c>
      <c r="C2" s="27"/>
      <c r="D2" s="32"/>
      <c r="E2" s="32"/>
      <c r="F2" s="32"/>
      <c r="G2" s="32"/>
    </row>
    <row r="3" spans="2:7" ht="15.75" collapsed="1">
      <c r="B3" s="26"/>
      <c r="C3" s="26"/>
      <c r="D3" s="33" t="s">
        <v>140</v>
      </c>
      <c r="E3" s="33" t="s">
        <v>134</v>
      </c>
      <c r="F3" s="33" t="s">
        <v>136</v>
      </c>
      <c r="G3" s="33" t="s">
        <v>137</v>
      </c>
    </row>
    <row r="4" spans="2:7" ht="33.75" hidden="1" outlineLevel="1">
      <c r="B4" s="29"/>
      <c r="C4" s="29"/>
      <c r="D4" s="23"/>
      <c r="E4" s="35" t="s">
        <v>135</v>
      </c>
      <c r="F4" s="35" t="s">
        <v>135</v>
      </c>
      <c r="G4" s="35" t="s">
        <v>135</v>
      </c>
    </row>
    <row r="5" spans="2:7">
      <c r="B5" s="30" t="s">
        <v>139</v>
      </c>
      <c r="C5" s="30"/>
      <c r="D5" s="28"/>
      <c r="E5" s="28"/>
      <c r="F5" s="28"/>
      <c r="G5" s="28"/>
    </row>
    <row r="6" spans="2:7" outlineLevel="1">
      <c r="B6" s="29"/>
      <c r="C6" s="29" t="s">
        <v>130</v>
      </c>
      <c r="D6" s="23">
        <v>-3.02491369055953E-2</v>
      </c>
      <c r="E6" s="34">
        <v>0.01</v>
      </c>
      <c r="F6" s="34">
        <v>-0.03</v>
      </c>
      <c r="G6" s="34">
        <v>-0.05</v>
      </c>
    </row>
    <row r="7" spans="2:7" outlineLevel="1">
      <c r="B7" s="29"/>
      <c r="C7" s="29" t="s">
        <v>131</v>
      </c>
      <c r="D7" s="23">
        <v>-2.05038051568944E-2</v>
      </c>
      <c r="E7" s="34">
        <v>0.02</v>
      </c>
      <c r="F7" s="34">
        <v>-0.02</v>
      </c>
      <c r="G7" s="34">
        <v>-0.03</v>
      </c>
    </row>
    <row r="8" spans="2:7">
      <c r="B8" s="30" t="s">
        <v>141</v>
      </c>
      <c r="C8" s="30"/>
      <c r="D8" s="28"/>
      <c r="E8" s="28"/>
      <c r="F8" s="28"/>
      <c r="G8" s="28"/>
    </row>
    <row r="9" spans="2:7" outlineLevel="1">
      <c r="B9" s="29"/>
      <c r="C9" s="29" t="s">
        <v>132</v>
      </c>
      <c r="D9" s="24">
        <v>403517190.50477803</v>
      </c>
      <c r="E9" s="24">
        <v>437643677.44749898</v>
      </c>
      <c r="F9" s="24">
        <v>403828460.28110301</v>
      </c>
      <c r="G9" s="24">
        <v>391466364.55821198</v>
      </c>
    </row>
    <row r="10" spans="2:7" ht="15.75" outlineLevel="1" thickBot="1">
      <c r="B10" s="31"/>
      <c r="C10" s="31" t="s">
        <v>133</v>
      </c>
      <c r="D10" s="25">
        <v>-21297095.505219098</v>
      </c>
      <c r="E10" s="25">
        <v>12829391.4375019</v>
      </c>
      <c r="F10" s="25">
        <v>-20985825.728893898</v>
      </c>
      <c r="G10" s="25">
        <v>-33347921.451784801</v>
      </c>
    </row>
    <row r="11" spans="2:7">
      <c r="B11" t="s">
        <v>142</v>
      </c>
    </row>
    <row r="12" spans="2:7">
      <c r="B12" t="s">
        <v>143</v>
      </c>
    </row>
    <row r="13" spans="2:7">
      <c r="B13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E2D5-0FF4-47D9-AC6D-448417D8CE11}">
  <dimension ref="A2:O14"/>
  <sheetViews>
    <sheetView workbookViewId="0">
      <selection activeCell="B56" sqref="B56:B57"/>
    </sheetView>
  </sheetViews>
  <sheetFormatPr defaultRowHeight="15"/>
  <cols>
    <col min="1" max="1" width="17.28515625" bestFit="1" customWidth="1"/>
    <col min="2" max="2" width="16.28515625" bestFit="1" customWidth="1"/>
    <col min="4" max="15" width="12.5703125" bestFit="1" customWidth="1"/>
  </cols>
  <sheetData>
    <row r="2" spans="1:15">
      <c r="A2" t="s">
        <v>121</v>
      </c>
      <c r="B2" s="18">
        <f>PVM!E10</f>
        <v>30440723</v>
      </c>
      <c r="D2" s="18"/>
    </row>
    <row r="3" spans="1:15">
      <c r="A3" t="s">
        <v>122</v>
      </c>
      <c r="B3" s="22">
        <f>PVM!G10</f>
        <v>13.955459796733372</v>
      </c>
      <c r="D3" s="18">
        <f>B9</f>
        <v>403828460.28110301</v>
      </c>
      <c r="E3" s="11">
        <v>-0.05</v>
      </c>
      <c r="F3" s="11">
        <v>-0.04</v>
      </c>
      <c r="G3" s="11">
        <v>-0.03</v>
      </c>
      <c r="H3" s="11">
        <v>-0.02</v>
      </c>
      <c r="I3" s="11">
        <v>-0.01</v>
      </c>
      <c r="J3" s="11">
        <v>0</v>
      </c>
      <c r="K3" s="11">
        <v>0.01</v>
      </c>
      <c r="L3" s="11">
        <v>0.02</v>
      </c>
      <c r="M3" s="11">
        <v>0.03</v>
      </c>
      <c r="N3" s="11">
        <v>0.04</v>
      </c>
      <c r="O3" s="11">
        <v>0.05</v>
      </c>
    </row>
    <row r="4" spans="1:15">
      <c r="A4" t="s">
        <v>123</v>
      </c>
      <c r="B4" s="11">
        <v>-0.03</v>
      </c>
      <c r="D4" s="11">
        <v>-0.05</v>
      </c>
      <c r="E4" s="21">
        <f t="dataTable" ref="E4:O14" dt2D="1" dtr="1" r1="B5" r2="B4"/>
        <v>383394893.12402213</v>
      </c>
      <c r="F4" s="21">
        <v>387430628.84111714</v>
      </c>
      <c r="G4" s="21">
        <v>391466364.55821204</v>
      </c>
      <c r="H4" s="21">
        <v>395502100.27530706</v>
      </c>
      <c r="I4" s="21">
        <v>399537835.99240202</v>
      </c>
      <c r="J4" s="21">
        <v>403573571.70949703</v>
      </c>
      <c r="K4" s="21">
        <v>407609307.42659199</v>
      </c>
      <c r="L4" s="21">
        <v>411645043.14368695</v>
      </c>
      <c r="M4" s="21">
        <v>415680778.86078197</v>
      </c>
      <c r="N4" s="21">
        <v>419716514.57787693</v>
      </c>
      <c r="O4" s="21">
        <v>423752250.29497188</v>
      </c>
    </row>
    <row r="5" spans="1:15">
      <c r="A5" t="s">
        <v>124</v>
      </c>
      <c r="B5" s="11">
        <v>-0.02</v>
      </c>
      <c r="D5" s="11">
        <v>-0.04</v>
      </c>
      <c r="E5" s="21">
        <v>387430628.84111708</v>
      </c>
      <c r="F5" s="21">
        <v>391508845.98681307</v>
      </c>
      <c r="G5" s="21">
        <v>395587063.13250905</v>
      </c>
      <c r="H5" s="21">
        <v>399665280.27820504</v>
      </c>
      <c r="I5" s="21">
        <v>403743497.42390096</v>
      </c>
      <c r="J5" s="21">
        <v>407821714.56959701</v>
      </c>
      <c r="K5" s="21">
        <v>411899931.71529299</v>
      </c>
      <c r="L5" s="21">
        <v>415978148.86098891</v>
      </c>
      <c r="M5" s="21">
        <v>420056366.0066849</v>
      </c>
      <c r="N5" s="21">
        <v>424134583.15238088</v>
      </c>
      <c r="O5" s="21">
        <v>428212800.29807687</v>
      </c>
    </row>
    <row r="6" spans="1:15">
      <c r="D6" s="11">
        <v>-0.03</v>
      </c>
      <c r="E6" s="21">
        <v>391466364.55821204</v>
      </c>
      <c r="F6" s="21">
        <v>395587063.13250905</v>
      </c>
      <c r="G6" s="21">
        <v>399707761.706806</v>
      </c>
      <c r="H6" s="21">
        <v>403828460.28110301</v>
      </c>
      <c r="I6" s="21">
        <v>407949158.85539997</v>
      </c>
      <c r="J6" s="21">
        <v>412069857.42969698</v>
      </c>
      <c r="K6" s="21">
        <v>416190556.00399393</v>
      </c>
      <c r="L6" s="21">
        <v>420311254.57829088</v>
      </c>
      <c r="M6" s="21">
        <v>424431953.15258789</v>
      </c>
      <c r="N6" s="21">
        <v>428552651.72688484</v>
      </c>
      <c r="O6" s="21">
        <v>432673350.30118185</v>
      </c>
    </row>
    <row r="7" spans="1:15">
      <c r="A7" t="s">
        <v>125</v>
      </c>
      <c r="B7" s="18">
        <f>B2*(1+B4)</f>
        <v>29527501.309999999</v>
      </c>
      <c r="D7" s="11">
        <v>-0.02</v>
      </c>
      <c r="E7" s="21">
        <v>395502100.27530706</v>
      </c>
      <c r="F7" s="21">
        <v>399665280.27820504</v>
      </c>
      <c r="G7" s="21">
        <v>403828460.28110301</v>
      </c>
      <c r="H7" s="21">
        <v>407991640.28400099</v>
      </c>
      <c r="I7" s="21">
        <v>412154820.28689891</v>
      </c>
      <c r="J7" s="21">
        <v>416318000.28979695</v>
      </c>
      <c r="K7" s="21">
        <v>420481180.29269493</v>
      </c>
      <c r="L7" s="21">
        <v>424644360.2955929</v>
      </c>
      <c r="M7" s="21">
        <v>428807540.29849088</v>
      </c>
      <c r="N7" s="21">
        <v>432970720.3013888</v>
      </c>
      <c r="O7" s="21">
        <v>437133900.30428684</v>
      </c>
    </row>
    <row r="8" spans="1:15">
      <c r="A8" t="s">
        <v>126</v>
      </c>
      <c r="B8" s="18">
        <f>B3*(1+B5)</f>
        <v>13.676350600798704</v>
      </c>
      <c r="D8" s="11">
        <v>-0.01</v>
      </c>
      <c r="E8" s="21">
        <v>399537835.99240202</v>
      </c>
      <c r="F8" s="21">
        <v>403743497.42390102</v>
      </c>
      <c r="G8" s="21">
        <v>407949158.85539997</v>
      </c>
      <c r="H8" s="21">
        <v>412154820.28689897</v>
      </c>
      <c r="I8" s="21">
        <v>416360481.71839792</v>
      </c>
      <c r="J8" s="21">
        <v>420566143.14989692</v>
      </c>
      <c r="K8" s="21">
        <v>424771804.58139592</v>
      </c>
      <c r="L8" s="21">
        <v>428977466.01289487</v>
      </c>
      <c r="M8" s="21">
        <v>433183127.44439387</v>
      </c>
      <c r="N8" s="21">
        <v>437388788.87589282</v>
      </c>
      <c r="O8" s="21">
        <v>441594450.30739182</v>
      </c>
    </row>
    <row r="9" spans="1:15">
      <c r="A9" t="s">
        <v>127</v>
      </c>
      <c r="B9" s="18">
        <f>B7*B8</f>
        <v>403828460.28110301</v>
      </c>
      <c r="D9" s="11">
        <v>0</v>
      </c>
      <c r="E9" s="21">
        <v>403573571.70949697</v>
      </c>
      <c r="F9" s="21">
        <v>407821714.56959701</v>
      </c>
      <c r="G9" s="21">
        <v>412069857.42969692</v>
      </c>
      <c r="H9" s="21">
        <v>416318000.28979695</v>
      </c>
      <c r="I9" s="21">
        <v>420566143.14989686</v>
      </c>
      <c r="J9" s="21">
        <v>424814286.00999689</v>
      </c>
      <c r="K9" s="21">
        <v>429062428.87009686</v>
      </c>
      <c r="L9" s="21">
        <v>433310571.73019683</v>
      </c>
      <c r="M9" s="21">
        <v>437558714.5902968</v>
      </c>
      <c r="N9" s="21">
        <v>441806857.45039678</v>
      </c>
      <c r="O9" s="21">
        <v>446055000.31049675</v>
      </c>
    </row>
    <row r="10" spans="1:15">
      <c r="A10" t="s">
        <v>128</v>
      </c>
      <c r="B10" s="18">
        <f>B9-PVM!C10</f>
        <v>-20985825.728893876</v>
      </c>
      <c r="D10" s="11">
        <v>0.01</v>
      </c>
      <c r="E10" s="21">
        <v>407609307.42659199</v>
      </c>
      <c r="F10" s="21">
        <v>411899931.71529299</v>
      </c>
      <c r="G10" s="21">
        <v>416190556.00399393</v>
      </c>
      <c r="H10" s="21">
        <v>420481180.29269493</v>
      </c>
      <c r="I10" s="21">
        <v>424771804.58139586</v>
      </c>
      <c r="J10" s="21">
        <v>429062428.87009686</v>
      </c>
      <c r="K10" s="21">
        <v>433353053.15879786</v>
      </c>
      <c r="L10" s="21">
        <v>437643677.4474988</v>
      </c>
      <c r="M10" s="21">
        <v>441934301.7361998</v>
      </c>
      <c r="N10" s="21">
        <v>446224926.02490073</v>
      </c>
      <c r="O10" s="21">
        <v>450515550.31360173</v>
      </c>
    </row>
    <row r="11" spans="1:15">
      <c r="A11" t="s">
        <v>129</v>
      </c>
      <c r="B11" s="11">
        <f>B10/PVM!C10</f>
        <v>-4.9400000000000069E-2</v>
      </c>
      <c r="D11" s="11">
        <v>0.02</v>
      </c>
      <c r="E11" s="21">
        <v>411645043.14368695</v>
      </c>
      <c r="F11" s="21">
        <v>415978148.86098897</v>
      </c>
      <c r="G11" s="21">
        <v>420311254.57829088</v>
      </c>
      <c r="H11" s="21">
        <v>424644360.2955929</v>
      </c>
      <c r="I11" s="21">
        <v>428977466.01289481</v>
      </c>
      <c r="J11" s="21">
        <v>433310571.73019683</v>
      </c>
      <c r="K11" s="21">
        <v>437643677.44749886</v>
      </c>
      <c r="L11" s="21">
        <v>441976783.16480076</v>
      </c>
      <c r="M11" s="21">
        <v>446309888.88210279</v>
      </c>
      <c r="N11" s="21">
        <v>450642994.59940469</v>
      </c>
      <c r="O11" s="21">
        <v>454976100.31670672</v>
      </c>
    </row>
    <row r="12" spans="1:15">
      <c r="B12" s="11"/>
      <c r="D12" s="11">
        <v>0.03</v>
      </c>
      <c r="E12" s="21">
        <v>415680778.86078191</v>
      </c>
      <c r="F12" s="21">
        <v>420056366.0066849</v>
      </c>
      <c r="G12" s="21">
        <v>424431953.15258789</v>
      </c>
      <c r="H12" s="21">
        <v>428807540.29849088</v>
      </c>
      <c r="I12" s="21">
        <v>433183127.44439381</v>
      </c>
      <c r="J12" s="21">
        <v>437558714.5902968</v>
      </c>
      <c r="K12" s="21">
        <v>441934301.7361998</v>
      </c>
      <c r="L12" s="21">
        <v>446309888.88210273</v>
      </c>
      <c r="M12" s="21">
        <v>450685476.02800578</v>
      </c>
      <c r="N12" s="21">
        <v>455061063.17390871</v>
      </c>
      <c r="O12" s="21">
        <v>459436650.3198117</v>
      </c>
    </row>
    <row r="13" spans="1:15">
      <c r="D13" s="11">
        <v>0.04</v>
      </c>
      <c r="E13" s="21">
        <v>419716514.57787693</v>
      </c>
      <c r="F13" s="21">
        <v>424134583.15238088</v>
      </c>
      <c r="G13" s="21">
        <v>428552651.72688484</v>
      </c>
      <c r="H13" s="21">
        <v>432970720.30138886</v>
      </c>
      <c r="I13" s="21">
        <v>437388788.87589276</v>
      </c>
      <c r="J13" s="21">
        <v>441806857.45039678</v>
      </c>
      <c r="K13" s="21">
        <v>446224926.02490079</v>
      </c>
      <c r="L13" s="21">
        <v>450642994.59940475</v>
      </c>
      <c r="M13" s="21">
        <v>455061063.17390871</v>
      </c>
      <c r="N13" s="21">
        <v>459479131.74841267</v>
      </c>
      <c r="O13" s="21">
        <v>463897200.32291669</v>
      </c>
    </row>
    <row r="14" spans="1:15">
      <c r="D14" s="11">
        <v>0.05</v>
      </c>
      <c r="E14" s="21">
        <v>423752250.29497188</v>
      </c>
      <c r="F14" s="21">
        <v>428212800.29807687</v>
      </c>
      <c r="G14" s="21">
        <v>432673350.30118179</v>
      </c>
      <c r="H14" s="21">
        <v>437133900.30428684</v>
      </c>
      <c r="I14" s="21">
        <v>441594450.30739176</v>
      </c>
      <c r="J14" s="21">
        <v>446055000.31049675</v>
      </c>
      <c r="K14" s="21">
        <v>450515550.31360173</v>
      </c>
      <c r="L14" s="21">
        <v>454976100.31670672</v>
      </c>
      <c r="M14" s="21">
        <v>459436650.3198117</v>
      </c>
      <c r="N14" s="21">
        <v>463897200.32291663</v>
      </c>
      <c r="O14" s="21">
        <v>468357750.32602161</v>
      </c>
    </row>
  </sheetData>
  <scenarios current="1" show="1" sqref="B9:B10">
    <scenario name="Best" locked="1" count="2" user="Andres Martinez" comment="Created by Andres Martinez on 10/17/2026">
      <inputCells r="B4" val="0.01"/>
      <inputCells r="B5" val="0.02"/>
    </scenario>
    <scenario name="Base" locked="1" count="2" user="Andres Martinez" comment="Created by Andres Martinez on 10/17/2026">
      <inputCells r="B4" val="-0.03"/>
      <inputCells r="B5" val="-0.02"/>
    </scenario>
    <scenario name="Worst" locked="1" count="2" user="Andres Martinez" comment="Created by Andres Martinez on 10/17/2026">
      <inputCells r="B4" val="-0.05"/>
      <inputCells r="B5" val="-0.03"/>
    </scenario>
  </scenarios>
  <conditionalFormatting sqref="E4:O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6911-CFE5-40A5-B8D4-B1BD7F680858}">
  <dimension ref="A1:C9"/>
  <sheetViews>
    <sheetView workbookViewId="0">
      <selection activeCell="B2" sqref="B2"/>
    </sheetView>
  </sheetViews>
  <sheetFormatPr defaultRowHeight="15"/>
  <cols>
    <col min="1" max="1" width="15.5703125" bestFit="1" customWidth="1"/>
    <col min="2" max="2" width="14.28515625" bestFit="1" customWidth="1"/>
    <col min="3" max="3" width="10.42578125" bestFit="1" customWidth="1"/>
    <col min="7" max="7" width="12.7109375" bestFit="1" customWidth="1"/>
  </cols>
  <sheetData>
    <row r="1" spans="1:3">
      <c r="A1" t="s">
        <v>145</v>
      </c>
      <c r="B1" t="s">
        <v>146</v>
      </c>
      <c r="C1" t="s">
        <v>147</v>
      </c>
    </row>
    <row r="2" spans="1:3">
      <c r="A2" s="13" t="s">
        <v>93</v>
      </c>
      <c r="B2" s="21">
        <v>-8141592.0669998964</v>
      </c>
      <c r="C2" s="21">
        <v>8141592.0669998964</v>
      </c>
    </row>
    <row r="3" spans="1:3">
      <c r="A3" s="13" t="s">
        <v>92</v>
      </c>
      <c r="B3" s="21">
        <v>-4559262.7105000494</v>
      </c>
      <c r="C3" s="21">
        <v>4559262.7105000494</v>
      </c>
    </row>
    <row r="4" spans="1:3">
      <c r="A4" s="13" t="s">
        <v>91</v>
      </c>
      <c r="B4" s="21">
        <v>-2213465.1384999682</v>
      </c>
      <c r="C4" s="21">
        <v>2213465.1384999682</v>
      </c>
    </row>
    <row r="5" spans="1:3">
      <c r="A5" s="13" t="s">
        <v>88</v>
      </c>
      <c r="B5" s="21">
        <v>-1984981.090499989</v>
      </c>
      <c r="C5" s="21">
        <v>1984981.090499989</v>
      </c>
    </row>
    <row r="6" spans="1:3">
      <c r="A6" s="13" t="s">
        <v>90</v>
      </c>
      <c r="B6" s="21">
        <v>-1692588.7519999535</v>
      </c>
      <c r="C6" s="21">
        <v>1692588.7519999535</v>
      </c>
    </row>
    <row r="7" spans="1:3">
      <c r="A7" s="13" t="s">
        <v>89</v>
      </c>
      <c r="B7" s="21">
        <v>-1586409.0849999895</v>
      </c>
      <c r="C7" s="21">
        <v>1586409.0849999895</v>
      </c>
    </row>
    <row r="8" spans="1:3">
      <c r="A8" s="13" t="s">
        <v>86</v>
      </c>
      <c r="B8" s="21">
        <v>-607572.89100000064</v>
      </c>
      <c r="C8" s="21">
        <v>607572.89100000064</v>
      </c>
    </row>
    <row r="9" spans="1:3">
      <c r="A9" s="13" t="s">
        <v>87</v>
      </c>
      <c r="B9" s="21">
        <v>-454842.56600000057</v>
      </c>
      <c r="C9" s="21">
        <v>454842.56600000057</v>
      </c>
    </row>
  </sheetData>
  <sortState xmlns:xlrd2="http://schemas.microsoft.com/office/spreadsheetml/2017/richdata2" ref="A2:C9">
    <sortCondition descending="1" ref="C2:C9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7546-9123-4D88-9E49-F4964513D2CC}">
  <dimension ref="A1:F14"/>
  <sheetViews>
    <sheetView workbookViewId="0">
      <selection activeCell="K10" sqref="K10"/>
    </sheetView>
  </sheetViews>
  <sheetFormatPr defaultRowHeight="15"/>
  <cols>
    <col min="1" max="1" width="9.7109375" bestFit="1" customWidth="1"/>
    <col min="2" max="3" width="16.28515625" bestFit="1" customWidth="1"/>
    <col min="4" max="4" width="16" bestFit="1" customWidth="1"/>
    <col min="5" max="5" width="10.7109375" bestFit="1" customWidth="1"/>
    <col min="6" max="6" width="7.85546875" bestFit="1" customWidth="1"/>
  </cols>
  <sheetData>
    <row r="1" spans="1:6">
      <c r="A1" s="8" t="s">
        <v>113</v>
      </c>
      <c r="B1" s="8" t="s">
        <v>114</v>
      </c>
      <c r="C1" s="8" t="s">
        <v>115</v>
      </c>
      <c r="D1" s="8" t="s">
        <v>116</v>
      </c>
      <c r="E1" s="8" t="s">
        <v>117</v>
      </c>
      <c r="F1" s="8" t="s">
        <v>118</v>
      </c>
    </row>
    <row r="2" spans="1:6">
      <c r="A2" s="4">
        <f>'Forecast '!E14</f>
        <v>45658</v>
      </c>
      <c r="B2" s="21">
        <f>'Forecast '!L14</f>
        <v>32972812.839999665</v>
      </c>
      <c r="C2" s="21">
        <f>'Forecast '!F14</f>
        <v>31111677.659999739</v>
      </c>
      <c r="D2" s="21">
        <f>C2-B2</f>
        <v>-1861135.1799999252</v>
      </c>
      <c r="E2" s="39">
        <f>IFERROR(D2/B2,0)</f>
        <v>-5.6444537778171072E-2</v>
      </c>
      <c r="F2" t="str">
        <f>IF(ABS(E2)&gt;0.05,"REVIEW","")</f>
        <v>REVIEW</v>
      </c>
    </row>
    <row r="3" spans="1:6">
      <c r="A3" s="4">
        <f>'Forecast '!E15</f>
        <v>45689</v>
      </c>
      <c r="B3" s="21">
        <f>'Forecast '!L15</f>
        <v>35101475.44999963</v>
      </c>
      <c r="C3" s="21">
        <f>'Forecast '!F15</f>
        <v>31308695.749999795</v>
      </c>
      <c r="D3" s="21">
        <f t="shared" ref="D3:D13" si="0">C3-B3</f>
        <v>-3792779.6999998353</v>
      </c>
      <c r="E3" s="39">
        <f t="shared" ref="E3:E13" si="1">IFERROR(D3/B3,0)</f>
        <v>-0.10805185968329076</v>
      </c>
      <c r="F3" t="str">
        <f t="shared" ref="F3:F13" si="2">IF(ABS(E3)&gt;0.05,"REVIEW","")</f>
        <v>REVIEW</v>
      </c>
    </row>
    <row r="4" spans="1:6">
      <c r="A4" s="4">
        <f>'Forecast '!E16</f>
        <v>45717</v>
      </c>
      <c r="B4" s="21">
        <f>'Forecast '!L16</f>
        <v>34164169.289999776</v>
      </c>
      <c r="C4" s="21">
        <f>'Forecast '!F16</f>
        <v>33518798.609999597</v>
      </c>
      <c r="D4" s="21">
        <f t="shared" si="0"/>
        <v>-645370.68000017852</v>
      </c>
      <c r="E4" s="39">
        <f t="shared" si="1"/>
        <v>-1.8890278716335876E-2</v>
      </c>
      <c r="F4" t="str">
        <f t="shared" si="2"/>
        <v/>
      </c>
    </row>
    <row r="5" spans="1:6">
      <c r="A5" s="4">
        <f>'Forecast '!E17</f>
        <v>45748</v>
      </c>
      <c r="B5" s="21">
        <f>'Forecast '!L17</f>
        <v>36385547.8699999</v>
      </c>
      <c r="C5" s="21">
        <f>'Forecast '!F17</f>
        <v>35499986.349999756</v>
      </c>
      <c r="D5" s="21">
        <f t="shared" si="0"/>
        <v>-885561.52000014484</v>
      </c>
      <c r="E5" s="39">
        <f t="shared" si="1"/>
        <v>-2.4338276371820022E-2</v>
      </c>
      <c r="F5" t="str">
        <f t="shared" si="2"/>
        <v/>
      </c>
    </row>
    <row r="6" spans="1:6">
      <c r="A6" s="4">
        <f>'Forecast '!E18</f>
        <v>45778</v>
      </c>
      <c r="B6" s="21">
        <f>'Forecast '!L18</f>
        <v>39359095.649999924</v>
      </c>
      <c r="C6" s="21">
        <f>'Forecast '!F18</f>
        <v>35589683.489999615</v>
      </c>
      <c r="D6" s="21">
        <f t="shared" si="0"/>
        <v>-3769412.1600003093</v>
      </c>
      <c r="E6" s="39">
        <f t="shared" si="1"/>
        <v>-9.5769785808082111E-2</v>
      </c>
      <c r="F6" t="str">
        <f t="shared" si="2"/>
        <v>REVIEW</v>
      </c>
    </row>
    <row r="7" spans="1:6">
      <c r="A7" s="4">
        <f>'Forecast '!E19</f>
        <v>45809</v>
      </c>
      <c r="B7" s="21">
        <f>'Forecast '!L19</f>
        <v>36769358.279999934</v>
      </c>
      <c r="C7" s="21">
        <f>'Forecast '!F19</f>
        <v>35946281.009999692</v>
      </c>
      <c r="D7" s="21">
        <f t="shared" si="0"/>
        <v>-823077.2700002417</v>
      </c>
      <c r="E7" s="39">
        <f t="shared" si="1"/>
        <v>-2.2384869045918066E-2</v>
      </c>
      <c r="F7" t="str">
        <f t="shared" si="2"/>
        <v/>
      </c>
    </row>
    <row r="8" spans="1:6">
      <c r="A8" s="4">
        <f>'Forecast '!E20</f>
        <v>45839</v>
      </c>
      <c r="B8" s="21">
        <f>'Forecast '!L20</f>
        <v>37563557.730000034</v>
      </c>
      <c r="C8" s="21">
        <f>'Forecast '!F20</f>
        <v>36094242.389999636</v>
      </c>
      <c r="D8" s="21">
        <f t="shared" si="0"/>
        <v>-1469315.3400003985</v>
      </c>
      <c r="E8" s="39">
        <f t="shared" si="1"/>
        <v>-3.9115446693350181E-2</v>
      </c>
      <c r="F8" t="str">
        <f t="shared" si="2"/>
        <v/>
      </c>
    </row>
    <row r="9" spans="1:6">
      <c r="A9" s="4">
        <f>'Forecast '!E21</f>
        <v>45870</v>
      </c>
      <c r="B9" s="21">
        <f>'Forecast '!L21</f>
        <v>36529981.189999826</v>
      </c>
      <c r="C9" s="21">
        <f>'Forecast '!F21</f>
        <v>34213226.45999974</v>
      </c>
      <c r="D9" s="21">
        <f t="shared" si="0"/>
        <v>-2316754.7300000861</v>
      </c>
      <c r="E9" s="39">
        <f t="shared" si="1"/>
        <v>-6.3420638459959114E-2</v>
      </c>
      <c r="F9" t="str">
        <f t="shared" si="2"/>
        <v>REVIEW</v>
      </c>
    </row>
    <row r="10" spans="1:6">
      <c r="A10" s="4">
        <f>'Forecast '!E22</f>
        <v>45901</v>
      </c>
      <c r="B10" s="21">
        <f>'Forecast '!L22</f>
        <v>34410490.219999775</v>
      </c>
      <c r="C10" s="21">
        <f>'Forecast '!F22</f>
        <v>35151175.729999729</v>
      </c>
      <c r="D10" s="21">
        <f t="shared" si="0"/>
        <v>740685.50999995321</v>
      </c>
      <c r="E10" s="39">
        <f t="shared" si="1"/>
        <v>2.1524991514635796E-2</v>
      </c>
      <c r="F10" t="str">
        <f t="shared" si="2"/>
        <v/>
      </c>
    </row>
    <row r="11" spans="1:6">
      <c r="A11" s="4">
        <f>'Forecast '!E23</f>
        <v>45931</v>
      </c>
      <c r="B11" s="21">
        <f>'Forecast '!L23</f>
        <v>42691915.199999519</v>
      </c>
      <c r="C11" s="21">
        <f>'Forecast '!F23</f>
        <v>40038767.559999704</v>
      </c>
      <c r="D11" s="21">
        <f t="shared" si="0"/>
        <v>-2653147.6399998143</v>
      </c>
      <c r="E11" s="39">
        <f t="shared" si="1"/>
        <v>-6.2146371920082995E-2</v>
      </c>
      <c r="F11" t="str">
        <f t="shared" si="2"/>
        <v>REVIEW</v>
      </c>
    </row>
    <row r="12" spans="1:6">
      <c r="A12" s="4">
        <f>'Forecast '!E24</f>
        <v>45962</v>
      </c>
      <c r="B12" s="21">
        <f>'Forecast '!L24</f>
        <v>40090042.219999351</v>
      </c>
      <c r="C12" s="21">
        <f>'Forecast '!F24</f>
        <v>34684681</v>
      </c>
      <c r="D12" s="21">
        <f t="shared" si="0"/>
        <v>-5405361.2199993506</v>
      </c>
      <c r="E12" s="39">
        <f t="shared" si="1"/>
        <v>-0.13483051951745834</v>
      </c>
      <c r="F12" t="str">
        <f t="shared" si="2"/>
        <v>REVIEW</v>
      </c>
    </row>
    <row r="13" spans="1:6">
      <c r="A13" s="4">
        <f>'Forecast '!E25</f>
        <v>45992</v>
      </c>
      <c r="B13" s="21">
        <f>'Forecast '!L25</f>
        <v>41196967.679999635</v>
      </c>
      <c r="C13" s="21">
        <f>'Forecast '!F25</f>
        <v>41657070</v>
      </c>
      <c r="D13" s="21">
        <f t="shared" si="0"/>
        <v>460102.32000036538</v>
      </c>
      <c r="E13" s="39">
        <f t="shared" si="1"/>
        <v>1.1168354029700504E-2</v>
      </c>
      <c r="F13" t="str">
        <f t="shared" si="2"/>
        <v/>
      </c>
    </row>
    <row r="14" spans="1:6">
      <c r="A14" s="4" t="s">
        <v>119</v>
      </c>
      <c r="B14" s="20">
        <f>SUM(B2:B13)</f>
        <v>447235413.61999702</v>
      </c>
      <c r="C14" s="20">
        <f>SUM(C2:C13)</f>
        <v>424814286.00999695</v>
      </c>
      <c r="D14" s="20">
        <f>SUM(D2:D13)</f>
        <v>-22421127.609999966</v>
      </c>
      <c r="E14" s="11">
        <f>D14/B14</f>
        <v>-5.0132719653212768E-2</v>
      </c>
    </row>
  </sheetData>
  <conditionalFormatting sqref="E2:E13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B76F-A1DE-43ED-9579-0168C6230377}">
  <dimension ref="A1:P17"/>
  <sheetViews>
    <sheetView workbookViewId="0">
      <selection activeCell="N35" sqref="N35"/>
    </sheetView>
  </sheetViews>
  <sheetFormatPr defaultRowHeight="15"/>
  <cols>
    <col min="1" max="1" width="14.85546875" bestFit="1" customWidth="1"/>
    <col min="2" max="3" width="18.42578125" bestFit="1" customWidth="1"/>
    <col min="4" max="4" width="24" bestFit="1" customWidth="1"/>
    <col min="5" max="5" width="17.42578125" bestFit="1" customWidth="1"/>
    <col min="6" max="7" width="11.7109375" bestFit="1" customWidth="1"/>
    <col min="8" max="9" width="10.7109375" bestFit="1" customWidth="1"/>
    <col min="10" max="10" width="17" bestFit="1" customWidth="1"/>
    <col min="11" max="11" width="18.140625" bestFit="1" customWidth="1"/>
    <col min="12" max="12" width="15.28515625" bestFit="1" customWidth="1"/>
    <col min="13" max="14" width="18.140625" bestFit="1" customWidth="1"/>
    <col min="15" max="15" width="12.140625" bestFit="1" customWidth="1"/>
  </cols>
  <sheetData>
    <row r="1" spans="1:16">
      <c r="A1" s="17" t="s">
        <v>98</v>
      </c>
      <c r="B1" s="17" t="s">
        <v>94</v>
      </c>
      <c r="C1" s="17" t="s">
        <v>95</v>
      </c>
      <c r="D1" s="17" t="s">
        <v>103</v>
      </c>
      <c r="E1" s="17" t="s">
        <v>96</v>
      </c>
      <c r="F1" s="17" t="s">
        <v>99</v>
      </c>
      <c r="G1" s="17" t="s">
        <v>102</v>
      </c>
      <c r="H1" s="17" t="s">
        <v>100</v>
      </c>
      <c r="I1" s="17" t="s">
        <v>101</v>
      </c>
      <c r="J1" s="17" t="s">
        <v>104</v>
      </c>
      <c r="K1" s="17" t="s">
        <v>105</v>
      </c>
      <c r="L1" s="17" t="s">
        <v>106</v>
      </c>
      <c r="M1" s="17" t="s">
        <v>107</v>
      </c>
      <c r="N1" s="17" t="s">
        <v>108</v>
      </c>
      <c r="O1" s="17" t="s">
        <v>117</v>
      </c>
      <c r="P1" s="17" t="s">
        <v>118</v>
      </c>
    </row>
    <row r="2" spans="1:16">
      <c r="A2" s="16" t="s">
        <v>86</v>
      </c>
      <c r="B2" s="18">
        <v>14162341.909999963</v>
      </c>
      <c r="C2" s="18">
        <v>12151457.820000013</v>
      </c>
      <c r="D2" s="18">
        <v>1115164</v>
      </c>
      <c r="E2" s="18">
        <v>987761</v>
      </c>
      <c r="F2" s="18">
        <f>B2/D2</f>
        <v>12.699783986929244</v>
      </c>
      <c r="G2" s="18">
        <f>C2/E2</f>
        <v>12.302022270569514</v>
      </c>
      <c r="H2" s="11">
        <f>D2/$D$10</f>
        <v>3.5525807041173391E-2</v>
      </c>
      <c r="I2" s="11">
        <f>E2/$E$10</f>
        <v>3.2448670815078864E-2</v>
      </c>
      <c r="J2" s="18">
        <f>(G2-F2)*E2</f>
        <v>-392893.51071320305</v>
      </c>
      <c r="K2" s="18">
        <f>($E$10-$D$10)*H2*F2</f>
        <v>-428398.61933943909</v>
      </c>
      <c r="L2" s="18">
        <f>(I2-H2)*$E$10*F2</f>
        <v>-1189591.959947309</v>
      </c>
      <c r="M2" s="18">
        <f>J2+K2+L2</f>
        <v>-2010884.0899999512</v>
      </c>
      <c r="N2" s="18">
        <f>C2-B2</f>
        <v>-2010884.0899999496</v>
      </c>
      <c r="O2" s="11">
        <f>IFERROR(N2/B2,0)</f>
        <v>-0.14198810498848879</v>
      </c>
      <c r="P2" t="str">
        <f>IF(ABS(O2)&gt;0.05,"REVIEW","")</f>
        <v>REVIEW</v>
      </c>
    </row>
    <row r="3" spans="1:16">
      <c r="A3" s="16" t="s">
        <v>87</v>
      </c>
      <c r="B3" s="18">
        <v>9677368.740000017</v>
      </c>
      <c r="C3" s="18">
        <v>9096851.3200000115</v>
      </c>
      <c r="D3" s="18">
        <v>595708</v>
      </c>
      <c r="E3" s="18">
        <v>549333</v>
      </c>
      <c r="F3" s="18">
        <f t="shared" ref="F3:F9" si="0">B3/D3</f>
        <v>16.24515490810937</v>
      </c>
      <c r="G3" s="18">
        <f t="shared" ref="G3:G9" si="1">C3/E3</f>
        <v>16.559812208623935</v>
      </c>
      <c r="H3" s="11">
        <f t="shared" ref="H3:H9" si="2">D3/$D$10</f>
        <v>1.8977484442542367E-2</v>
      </c>
      <c r="I3" s="11">
        <f t="shared" ref="I3:I9" si="3">E3/$E$10</f>
        <v>1.8045990563364742E-2</v>
      </c>
      <c r="J3" s="18">
        <f t="shared" ref="J3:J9" si="4">(G3-F3)*E3</f>
        <v>172851.63886356741</v>
      </c>
      <c r="K3" s="18">
        <f t="shared" ref="K3:K9" si="5">($E$10-$D$10)*H3*F3</f>
        <v>-292732.0519021888</v>
      </c>
      <c r="L3" s="18">
        <f t="shared" ref="L3:L9" si="6">(I3-H3)*$E$10*F3</f>
        <v>-460637.00696138194</v>
      </c>
      <c r="M3" s="18">
        <f t="shared" ref="M3:M9" si="7">J3+K3+L3</f>
        <v>-580517.4200000033</v>
      </c>
      <c r="N3" s="18">
        <f t="shared" ref="N3:N9" si="8">C3-B3</f>
        <v>-580517.42000000551</v>
      </c>
      <c r="O3" s="11">
        <f t="shared" ref="O3:O9" si="9">IFERROR(N3/B3,0)</f>
        <v>-5.9987113811269789E-2</v>
      </c>
      <c r="P3" t="str">
        <f t="shared" ref="P3:P9" si="10">IF(ABS(O3)&gt;0.05,"REVIEW","")</f>
        <v>REVIEW</v>
      </c>
    </row>
    <row r="4" spans="1:16">
      <c r="A4" s="16" t="s">
        <v>88</v>
      </c>
      <c r="B4" s="18">
        <v>39965838.120000213</v>
      </c>
      <c r="C4" s="18">
        <v>39699621.809999779</v>
      </c>
      <c r="D4" s="18">
        <v>2778353</v>
      </c>
      <c r="E4" s="18">
        <v>2822040</v>
      </c>
      <c r="F4" s="18">
        <f t="shared" si="0"/>
        <v>14.384722934774743</v>
      </c>
      <c r="G4" s="18">
        <f t="shared" si="1"/>
        <v>14.067703437938434</v>
      </c>
      <c r="H4" s="11">
        <f t="shared" si="2"/>
        <v>8.8510060018315878E-2</v>
      </c>
      <c r="I4" s="11">
        <f t="shared" si="3"/>
        <v>9.2706076659217332E-2</v>
      </c>
      <c r="J4" s="18">
        <f t="shared" si="4"/>
        <v>-894641.70085193787</v>
      </c>
      <c r="K4" s="18">
        <f>($E$10-$D$10)*H4*F4</f>
        <v>-1208932.1088387463</v>
      </c>
      <c r="L4" s="18">
        <f t="shared" si="6"/>
        <v>1837357.4996902531</v>
      </c>
      <c r="M4" s="18">
        <f t="shared" si="7"/>
        <v>-266216.31000043103</v>
      </c>
      <c r="N4" s="18">
        <f t="shared" si="8"/>
        <v>-266216.31000043452</v>
      </c>
      <c r="O4" s="11">
        <f t="shared" si="9"/>
        <v>-6.661096639612599E-3</v>
      </c>
      <c r="P4" t="str">
        <f t="shared" si="10"/>
        <v/>
      </c>
    </row>
    <row r="5" spans="1:16">
      <c r="A5" s="16" t="s">
        <v>89</v>
      </c>
      <c r="B5" s="18">
        <v>34959619.689999469</v>
      </c>
      <c r="C5" s="18">
        <v>31728181.699999787</v>
      </c>
      <c r="D5" s="18">
        <v>2269527</v>
      </c>
      <c r="E5" s="18">
        <v>2134009</v>
      </c>
      <c r="F5" s="18">
        <f t="shared" si="0"/>
        <v>15.403923235986824</v>
      </c>
      <c r="G5" s="18">
        <f t="shared" si="1"/>
        <v>14.867876236698059</v>
      </c>
      <c r="H5" s="11">
        <f t="shared" si="2"/>
        <v>7.2300377591756115E-2</v>
      </c>
      <c r="I5" s="11">
        <f t="shared" si="3"/>
        <v>7.0103755420001024E-2</v>
      </c>
      <c r="J5" s="18">
        <f t="shared" si="4"/>
        <v>-1143929.1209052168</v>
      </c>
      <c r="K5" s="18">
        <f t="shared" si="5"/>
        <v>-1057498.3221703391</v>
      </c>
      <c r="L5" s="18">
        <f t="shared" si="6"/>
        <v>-1030010.5469241256</v>
      </c>
      <c r="M5" s="18">
        <f t="shared" si="7"/>
        <v>-3231437.9899996817</v>
      </c>
      <c r="N5" s="18">
        <f t="shared" si="8"/>
        <v>-3231437.9899996817</v>
      </c>
      <c r="O5" s="11">
        <f t="shared" si="9"/>
        <v>-9.2433442315851766E-2</v>
      </c>
      <c r="P5" t="str">
        <f t="shared" si="10"/>
        <v>REVIEW</v>
      </c>
    </row>
    <row r="6" spans="1:16">
      <c r="A6" s="16" t="s">
        <v>90</v>
      </c>
      <c r="B6" s="18">
        <v>36797823.169998743</v>
      </c>
      <c r="C6" s="18">
        <v>33851775.039999068</v>
      </c>
      <c r="D6" s="18">
        <v>2416235</v>
      </c>
      <c r="E6" s="18">
        <v>2240677</v>
      </c>
      <c r="F6" s="18">
        <f t="shared" si="0"/>
        <v>15.229405736610364</v>
      </c>
      <c r="G6" s="18">
        <f t="shared" si="1"/>
        <v>15.107833498535964</v>
      </c>
      <c r="H6" s="11">
        <f t="shared" si="2"/>
        <v>7.6974057964684636E-2</v>
      </c>
      <c r="I6" s="11">
        <f t="shared" si="3"/>
        <v>7.3607877184783024E-2</v>
      </c>
      <c r="J6" s="18">
        <f t="shared" si="4"/>
        <v>-272404.11769183184</v>
      </c>
      <c r="K6" s="18">
        <f t="shared" si="5"/>
        <v>-1113102.390897179</v>
      </c>
      <c r="L6" s="18">
        <f t="shared" si="6"/>
        <v>-1560541.6214106635</v>
      </c>
      <c r="M6" s="18">
        <f t="shared" si="7"/>
        <v>-2946048.1299996744</v>
      </c>
      <c r="N6" s="18">
        <f t="shared" si="8"/>
        <v>-2946048.1299996749</v>
      </c>
      <c r="O6" s="11">
        <f t="shared" si="9"/>
        <v>-8.0060391517984886E-2</v>
      </c>
      <c r="P6" t="str">
        <f t="shared" si="10"/>
        <v>REVIEW</v>
      </c>
    </row>
    <row r="7" spans="1:16">
      <c r="A7" s="16" t="s">
        <v>91</v>
      </c>
      <c r="B7" s="18">
        <v>46241498.669999473</v>
      </c>
      <c r="C7" s="18">
        <v>44269302.769999363</v>
      </c>
      <c r="D7" s="18">
        <v>1986930</v>
      </c>
      <c r="E7" s="18">
        <v>1950324</v>
      </c>
      <c r="F7" s="18">
        <f t="shared" si="0"/>
        <v>23.272837326931231</v>
      </c>
      <c r="G7" s="18">
        <f t="shared" si="1"/>
        <v>22.698435116421354</v>
      </c>
      <c r="H7" s="11">
        <f t="shared" si="2"/>
        <v>6.3297677995629922E-2</v>
      </c>
      <c r="I7" s="11">
        <f t="shared" si="3"/>
        <v>6.4069568912670044E-2</v>
      </c>
      <c r="J7" s="18">
        <f t="shared" si="4"/>
        <v>-1120270.4168104657</v>
      </c>
      <c r="K7" s="18">
        <f t="shared" si="5"/>
        <v>-1398765.4239887176</v>
      </c>
      <c r="L7" s="18">
        <f t="shared" si="6"/>
        <v>546839.94079906901</v>
      </c>
      <c r="M7" s="18">
        <f t="shared" si="7"/>
        <v>-1972195.9000001145</v>
      </c>
      <c r="N7" s="18">
        <f t="shared" si="8"/>
        <v>-1972195.9000001103</v>
      </c>
      <c r="O7" s="11">
        <f t="shared" si="9"/>
        <v>-4.2649913102397567E-2</v>
      </c>
      <c r="P7" t="str">
        <f t="shared" si="10"/>
        <v/>
      </c>
    </row>
    <row r="8" spans="1:16">
      <c r="A8" s="16" t="s">
        <v>92</v>
      </c>
      <c r="B8" s="18">
        <v>94552480.800001293</v>
      </c>
      <c r="C8" s="18">
        <v>91185254.210000992</v>
      </c>
      <c r="D8" s="18">
        <v>8531713</v>
      </c>
      <c r="E8" s="18">
        <v>8347999</v>
      </c>
      <c r="F8" s="18">
        <f t="shared" si="0"/>
        <v>11.082473214933659</v>
      </c>
      <c r="G8" s="18">
        <f t="shared" si="1"/>
        <v>10.92300732307239</v>
      </c>
      <c r="H8" s="11">
        <f t="shared" si="2"/>
        <v>0.27179499138124125</v>
      </c>
      <c r="I8" s="11">
        <f t="shared" si="3"/>
        <v>0.27423786879174977</v>
      </c>
      <c r="J8" s="18">
        <f t="shared" si="4"/>
        <v>-1331221.1057919764</v>
      </c>
      <c r="K8" s="18">
        <f t="shared" si="5"/>
        <v>-2860130.9364829105</v>
      </c>
      <c r="L8" s="18">
        <f t="shared" si="6"/>
        <v>824125.45227458933</v>
      </c>
      <c r="M8" s="18">
        <f t="shared" si="7"/>
        <v>-3367226.5900002974</v>
      </c>
      <c r="N8" s="18">
        <f t="shared" si="8"/>
        <v>-3367226.5900003016</v>
      </c>
      <c r="O8" s="11">
        <f t="shared" si="9"/>
        <v>-3.5612250059548468E-2</v>
      </c>
      <c r="P8" t="str">
        <f t="shared" si="10"/>
        <v/>
      </c>
    </row>
    <row r="9" spans="1:16">
      <c r="A9" s="16" t="s">
        <v>93</v>
      </c>
      <c r="B9" s="18">
        <v>170878442.51999784</v>
      </c>
      <c r="C9" s="18">
        <v>162831841.33999792</v>
      </c>
      <c r="D9" s="18">
        <v>11696621</v>
      </c>
      <c r="E9" s="18">
        <v>11408580</v>
      </c>
      <c r="F9" s="18">
        <f t="shared" si="0"/>
        <v>14.609214278208881</v>
      </c>
      <c r="G9" s="18">
        <f t="shared" si="1"/>
        <v>14.272752729962704</v>
      </c>
      <c r="H9" s="11">
        <f t="shared" si="2"/>
        <v>0.37261954356465643</v>
      </c>
      <c r="I9" s="11">
        <f t="shared" si="3"/>
        <v>0.3747801916531352</v>
      </c>
      <c r="J9" s="18">
        <f t="shared" si="4"/>
        <v>-3838548.490090373</v>
      </c>
      <c r="K9" s="18">
        <f t="shared" si="5"/>
        <v>-5168925.4020023132</v>
      </c>
      <c r="L9" s="18">
        <f t="shared" si="6"/>
        <v>960872.71209275688</v>
      </c>
      <c r="M9" s="18">
        <f t="shared" si="7"/>
        <v>-8046601.1799999289</v>
      </c>
      <c r="N9" s="18">
        <f t="shared" si="8"/>
        <v>-8046601.1799999177</v>
      </c>
      <c r="O9" s="11">
        <f t="shared" si="9"/>
        <v>-4.7089621495457083E-2</v>
      </c>
      <c r="P9" t="str">
        <f t="shared" si="10"/>
        <v/>
      </c>
    </row>
    <row r="10" spans="1:16">
      <c r="A10" s="16" t="s">
        <v>97</v>
      </c>
      <c r="B10" s="19">
        <f>SUM(B2:B9)</f>
        <v>447235413.61999702</v>
      </c>
      <c r="C10" s="19">
        <f>SUM(C2:C9)</f>
        <v>424814286.00999689</v>
      </c>
      <c r="D10" s="19">
        <f>SUM(D2:D9)</f>
        <v>31390251</v>
      </c>
      <c r="E10" s="19">
        <f>SUM(E2:E9)</f>
        <v>30440723</v>
      </c>
      <c r="F10" s="15">
        <f>B10/D10</f>
        <v>14.247589597802103</v>
      </c>
      <c r="G10" s="15">
        <f>C10/E10</f>
        <v>13.955459796733372</v>
      </c>
      <c r="H10" s="11">
        <f t="shared" ref="H10:N10" si="11">SUM(H2:H9)</f>
        <v>1</v>
      </c>
      <c r="I10" s="11">
        <f t="shared" si="11"/>
        <v>1</v>
      </c>
      <c r="J10" s="19">
        <f t="shared" si="11"/>
        <v>-8821056.8239914365</v>
      </c>
      <c r="K10" s="19">
        <f t="shared" si="11"/>
        <v>-13528485.255621832</v>
      </c>
      <c r="L10" s="19">
        <f t="shared" si="11"/>
        <v>-71585.530386811472</v>
      </c>
      <c r="M10" s="19">
        <f t="shared" si="11"/>
        <v>-22421127.610000081</v>
      </c>
      <c r="N10" s="19">
        <f t="shared" si="11"/>
        <v>-22421127.610000074</v>
      </c>
      <c r="O10" s="11">
        <f>N10/B10</f>
        <v>-5.0132719653213011E-2</v>
      </c>
    </row>
    <row r="13" spans="1:16">
      <c r="A13" s="16" t="s">
        <v>109</v>
      </c>
      <c r="B13" s="19">
        <f>B10</f>
        <v>447235413.61999702</v>
      </c>
    </row>
    <row r="14" spans="1:16">
      <c r="A14" s="16" t="s">
        <v>110</v>
      </c>
      <c r="B14" s="19">
        <f>J10</f>
        <v>-8821056.8239914365</v>
      </c>
    </row>
    <row r="15" spans="1:16">
      <c r="A15" s="16" t="s">
        <v>111</v>
      </c>
      <c r="B15" s="19">
        <f>K10</f>
        <v>-13528485.255621832</v>
      </c>
    </row>
    <row r="16" spans="1:16">
      <c r="A16" s="16" t="s">
        <v>112</v>
      </c>
      <c r="B16" s="19">
        <f>L10</f>
        <v>-71585.530386811472</v>
      </c>
    </row>
    <row r="17" spans="1:2">
      <c r="A17" s="16" t="s">
        <v>149</v>
      </c>
      <c r="B17" s="19">
        <f>C10</f>
        <v>424814286.00999689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235C-15D7-4B8D-8F90-37AAAA918BB3}">
  <dimension ref="A1:H2671"/>
  <sheetViews>
    <sheetView workbookViewId="0">
      <selection activeCell="E5" sqref="E5"/>
    </sheetView>
  </sheetViews>
  <sheetFormatPr defaultRowHeight="15"/>
  <cols>
    <col min="1" max="1" width="7.28515625" bestFit="1" customWidth="1"/>
    <col min="2" max="2" width="16.28515625" bestFit="1" customWidth="1"/>
    <col min="3" max="3" width="36.5703125" bestFit="1" customWidth="1"/>
    <col min="4" max="4" width="14.7109375" style="1" bestFit="1" customWidth="1"/>
    <col min="5" max="5" width="19" style="1" bestFit="1" customWidth="1"/>
    <col min="6" max="6" width="18.7109375" style="1" bestFit="1" customWidth="1"/>
    <col min="7" max="7" width="17.28515625" bestFit="1" customWidth="1"/>
    <col min="8" max="8" width="14" bestFit="1" customWidth="1"/>
  </cols>
  <sheetData>
    <row r="1" spans="1:8">
      <c r="A1" t="s">
        <v>0</v>
      </c>
      <c r="B1" t="s">
        <v>1</v>
      </c>
      <c r="C1" t="s">
        <v>2</v>
      </c>
      <c r="D1" t="s">
        <v>55</v>
      </c>
      <c r="E1" t="s">
        <v>3</v>
      </c>
      <c r="F1" t="s">
        <v>4</v>
      </c>
      <c r="G1" t="s">
        <v>5</v>
      </c>
      <c r="H1" t="s">
        <v>6</v>
      </c>
    </row>
    <row r="2" spans="1:8">
      <c r="A2" s="5">
        <v>2021</v>
      </c>
      <c r="B2" s="6">
        <v>44378</v>
      </c>
      <c r="C2" s="5" t="s">
        <v>7</v>
      </c>
      <c r="D2" s="3" t="str" cm="1">
        <f t="array" ref="D2">_xlfn.IFS(
 ISNUMBER(SEARCH("WHISK",C2)),"Whiskey",
 ISNUMBER(SEARCH("BOURBON",C2)),"Whiskey",
 ISNUMBER(SEARCH("SCOTCH",C2)),"Whiskey",
 ISNUMBER(SEARCH("RYE",C2)),"Whiskey",
 ISNUMBER(SEARCH("VODKA",C2)),"Vodka",
 ISNUMBER(SEARCH("TEQUILA",C2)),"Tequila/Mezcal",
 ISNUMBER(SEARCH("MEZCAL",C2)),"Tequila/Mezcal",
 ISNUMBER(SEARCH("RUM",C2)),"Rum",
 ISNUMBER(SEARCH("BRAND",C2)),"Brandy",
 ISNUMBER(SEARCH("COGNAC",C2)),"Brandy",
 ISNUMBER(SEARCH("LIQUEUR",C2)),"Liqueurs",
 ISNUMBER(SEARCH("CORDIAL",C2)),"Liqueurs",
 ISNUMBER(SEARCH("SCHNAPP",C2)),"Liqueurs",
 ISNUMBER(SEARCH("GIN",C2)),"Gin",
 TRUE,"Other")</f>
        <v>Rum</v>
      </c>
      <c r="E2" s="5">
        <v>5026</v>
      </c>
      <c r="F2" s="5">
        <v>105773.77000000006</v>
      </c>
      <c r="G2" s="5">
        <v>4061</v>
      </c>
      <c r="H2" s="5">
        <v>800</v>
      </c>
    </row>
    <row r="3" spans="1:8">
      <c r="A3" s="5">
        <v>2021</v>
      </c>
      <c r="B3" s="6">
        <v>44378</v>
      </c>
      <c r="C3" s="5" t="s">
        <v>8</v>
      </c>
      <c r="D3" s="3" t="str" cm="1">
        <f t="array" ref="D3">_xlfn.IFS(
 ISNUMBER(SEARCH("WHISK",C3)),"Whiskey",
 ISNUMBER(SEARCH("BOURBON",C3)),"Whiskey",
 ISNUMBER(SEARCH("SCOTCH",C3)),"Whiskey",
 ISNUMBER(SEARCH("RYE",C3)),"Whiskey",
 ISNUMBER(SEARCH("VODKA",C3)),"Vodka",
 ISNUMBER(SEARCH("TEQUILA",C3)),"Tequila/Mezcal",
 ISNUMBER(SEARCH("MEZCAL",C3)),"Tequila/Mezcal",
 ISNUMBER(SEARCH("RUM",C3)),"Rum",
 ISNUMBER(SEARCH("BRAND",C3)),"Brandy",
 ISNUMBER(SEARCH("COGNAC",C3)),"Brandy",
 ISNUMBER(SEARCH("LIQUEUR",C3)),"Liqueurs",
 ISNUMBER(SEARCH("CORDIAL",C3)),"Liqueurs",
 ISNUMBER(SEARCH("SCHNAPP",C3)),"Liqueurs",
 ISNUMBER(SEARCH("GIN",C3)),"Gin",
 TRUE,"Other")</f>
        <v>Brandy</v>
      </c>
      <c r="E3" s="5">
        <v>56089</v>
      </c>
      <c r="F3" s="5">
        <v>377706.06000000023</v>
      </c>
      <c r="G3" s="5">
        <v>30324.009999999649</v>
      </c>
      <c r="H3" s="5">
        <v>5059</v>
      </c>
    </row>
    <row r="4" spans="1:8">
      <c r="A4" s="5">
        <v>2021</v>
      </c>
      <c r="B4" s="6">
        <v>44378</v>
      </c>
      <c r="C4" s="5" t="s">
        <v>59</v>
      </c>
      <c r="D4" s="3" t="str" cm="1">
        <f t="array" ref="D4">_xlfn.IFS(
 ISNUMBER(SEARCH("WHISK",C4)),"Whiskey",
 ISNUMBER(SEARCH("BOURBON",C4)),"Whiskey",
 ISNUMBER(SEARCH("SCOTCH",C4)),"Whiskey",
 ISNUMBER(SEARCH("RYE",C4)),"Whiskey",
 ISNUMBER(SEARCH("VODKA",C4)),"Vodka",
 ISNUMBER(SEARCH("TEQUILA",C4)),"Tequila/Mezcal",
 ISNUMBER(SEARCH("MEZCAL",C4)),"Tequila/Mezcal",
 ISNUMBER(SEARCH("RUM",C4)),"Rum",
 ISNUMBER(SEARCH("BRAND",C4)),"Brandy",
 ISNUMBER(SEARCH("COGNAC",C4)),"Brandy",
 ISNUMBER(SEARCH("LIQUEUR",C4)),"Liqueurs",
 ISNUMBER(SEARCH("CORDIAL",C4)),"Liqueurs",
 ISNUMBER(SEARCH("SCHNAPP",C4)),"Liqueurs",
 ISNUMBER(SEARCH("GIN",C4)),"Gin",
 TRUE,"Other")</f>
        <v>Liqueurs</v>
      </c>
      <c r="E4" s="5">
        <v>40402</v>
      </c>
      <c r="F4" s="5">
        <v>384991.3900000109</v>
      </c>
      <c r="G4" s="5">
        <v>20433.929999999396</v>
      </c>
      <c r="H4" s="5">
        <v>5462</v>
      </c>
    </row>
    <row r="5" spans="1:8">
      <c r="A5" s="5">
        <v>2021</v>
      </c>
      <c r="B5" s="6">
        <v>44378</v>
      </c>
      <c r="C5" s="5" t="s">
        <v>10</v>
      </c>
      <c r="D5" s="3" t="str" cm="1">
        <f t="array" ref="D5">_xlfn.IFS(
 ISNUMBER(SEARCH("WHISK",C5)),"Whiskey",
 ISNUMBER(SEARCH("BOURBON",C5)),"Whiskey",
 ISNUMBER(SEARCH("SCOTCH",C5)),"Whiskey",
 ISNUMBER(SEARCH("RYE",C5)),"Whiskey",
 ISNUMBER(SEARCH("VODKA",C5)),"Vodka",
 ISNUMBER(SEARCH("TEQUILA",C5)),"Tequila/Mezcal",
 ISNUMBER(SEARCH("MEZCAL",C5)),"Tequila/Mezcal",
 ISNUMBER(SEARCH("RUM",C5)),"Rum",
 ISNUMBER(SEARCH("BRAND",C5)),"Brandy",
 ISNUMBER(SEARCH("COGNAC",C5)),"Brandy",
 ISNUMBER(SEARCH("LIQUEUR",C5)),"Liqueurs",
 ISNUMBER(SEARCH("CORDIAL",C5)),"Liqueurs",
 ISNUMBER(SEARCH("SCHNAPP",C5)),"Liqueurs",
 ISNUMBER(SEARCH("GIN",C5)),"Gin",
 TRUE,"Other")</f>
        <v>Other</v>
      </c>
      <c r="E5" s="5">
        <v>6318</v>
      </c>
      <c r="F5" s="5">
        <v>124077.31999999945</v>
      </c>
      <c r="G5" s="5">
        <v>4754.2500000000018</v>
      </c>
      <c r="H5" s="5">
        <v>872</v>
      </c>
    </row>
    <row r="6" spans="1:8">
      <c r="A6" s="5">
        <v>2021</v>
      </c>
      <c r="B6" s="6">
        <v>44378</v>
      </c>
      <c r="C6" s="5" t="s">
        <v>11</v>
      </c>
      <c r="D6" s="3" t="str" cm="1">
        <f t="array" ref="D6">_xlfn.IFS(
 ISNUMBER(SEARCH("WHISK",C6)),"Whiskey",
 ISNUMBER(SEARCH("BOURBON",C6)),"Whiskey",
 ISNUMBER(SEARCH("SCOTCH",C6)),"Whiskey",
 ISNUMBER(SEARCH("RYE",C6)),"Whiskey",
 ISNUMBER(SEARCH("VODKA",C6)),"Vodka",
 ISNUMBER(SEARCH("TEQUILA",C6)),"Tequila/Mezcal",
 ISNUMBER(SEARCH("MEZCAL",C6)),"Tequila/Mezcal",
 ISNUMBER(SEARCH("RUM",C6)),"Rum",
 ISNUMBER(SEARCH("BRAND",C6)),"Brandy",
 ISNUMBER(SEARCH("COGNAC",C6)),"Brandy",
 ISNUMBER(SEARCH("LIQUEUR",C6)),"Liqueurs",
 ISNUMBER(SEARCH("CORDIAL",C6)),"Liqueurs",
 ISNUMBER(SEARCH("SCHNAPP",C6)),"Liqueurs",
 ISNUMBER(SEARCH("GIN",C6)),"Gin",
 TRUE,"Other")</f>
        <v>Gin</v>
      </c>
      <c r="E6" s="5">
        <v>40517</v>
      </c>
      <c r="F6" s="5">
        <v>347140.36000000383</v>
      </c>
      <c r="G6" s="5">
        <v>32409.639999999723</v>
      </c>
      <c r="H6" s="5">
        <v>3926</v>
      </c>
    </row>
    <row r="7" spans="1:8">
      <c r="A7" s="5">
        <v>2021</v>
      </c>
      <c r="B7" s="6">
        <v>44378</v>
      </c>
      <c r="C7" s="5" t="s">
        <v>12</v>
      </c>
      <c r="D7" s="3" t="str" cm="1">
        <f t="array" ref="D7">_xlfn.IFS(
 ISNUMBER(SEARCH("WHISK",C7)),"Whiskey",
 ISNUMBER(SEARCH("BOURBON",C7)),"Whiskey",
 ISNUMBER(SEARCH("SCOTCH",C7)),"Whiskey",
 ISNUMBER(SEARCH("RYE",C7)),"Whiskey",
 ISNUMBER(SEARCH("VODKA",C7)),"Vodka",
 ISNUMBER(SEARCH("TEQUILA",C7)),"Tequila/Mezcal",
 ISNUMBER(SEARCH("MEZCAL",C7)),"Tequila/Mezcal",
 ISNUMBER(SEARCH("RUM",C7)),"Rum",
 ISNUMBER(SEARCH("BRAND",C7)),"Brandy",
 ISNUMBER(SEARCH("COGNAC",C7)),"Brandy",
 ISNUMBER(SEARCH("LIQUEUR",C7)),"Liqueurs",
 ISNUMBER(SEARCH("CORDIAL",C7)),"Liqueurs",
 ISNUMBER(SEARCH("SCHNAPP",C7)),"Liqueurs",
 ISNUMBER(SEARCH("GIN",C7)),"Gin",
 TRUE,"Other")</f>
        <v>Vodka</v>
      </c>
      <c r="E7" s="5">
        <v>89407</v>
      </c>
      <c r="F7" s="5">
        <v>965550.13000004506</v>
      </c>
      <c r="G7" s="5">
        <v>64752.060000000274</v>
      </c>
      <c r="H7" s="5">
        <v>10790</v>
      </c>
    </row>
    <row r="8" spans="1:8">
      <c r="A8" s="5">
        <v>2021</v>
      </c>
      <c r="B8" s="6">
        <v>44378</v>
      </c>
      <c r="C8" s="5" t="s">
        <v>13</v>
      </c>
      <c r="D8" s="3" t="str" cm="1">
        <f t="array" ref="D8">_xlfn.IFS(
 ISNUMBER(SEARCH("WHISK",C8)),"Whiskey",
 ISNUMBER(SEARCH("BOURBON",C8)),"Whiskey",
 ISNUMBER(SEARCH("SCOTCH",C8)),"Whiskey",
 ISNUMBER(SEARCH("RYE",C8)),"Whiskey",
 ISNUMBER(SEARCH("VODKA",C8)),"Vodka",
 ISNUMBER(SEARCH("TEQUILA",C8)),"Tequila/Mezcal",
 ISNUMBER(SEARCH("MEZCAL",C8)),"Tequila/Mezcal",
 ISNUMBER(SEARCH("RUM",C8)),"Rum",
 ISNUMBER(SEARCH("BRAND",C8)),"Brandy",
 ISNUMBER(SEARCH("COGNAC",C8)),"Brandy",
 ISNUMBER(SEARCH("LIQUEUR",C8)),"Liqueurs",
 ISNUMBER(SEARCH("CORDIAL",C8)),"Liqueurs",
 ISNUMBER(SEARCH("SCHNAPP",C8)),"Liqueurs",
 ISNUMBER(SEARCH("GIN",C8)),"Gin",
 TRUE,"Other")</f>
        <v>Liqueurs</v>
      </c>
      <c r="E8" s="5">
        <v>64267</v>
      </c>
      <c r="F8" s="5">
        <v>531857.1199999915</v>
      </c>
      <c r="G8" s="5">
        <v>41582.599999999875</v>
      </c>
      <c r="H8" s="5">
        <v>6476</v>
      </c>
    </row>
    <row r="9" spans="1:8">
      <c r="A9" s="5">
        <v>2021</v>
      </c>
      <c r="B9" s="6">
        <v>44378</v>
      </c>
      <c r="C9" s="5" t="s">
        <v>14</v>
      </c>
      <c r="D9" s="3" t="str" cm="1">
        <f t="array" ref="D9">_xlfn.IFS(
 ISNUMBER(SEARCH("WHISK",C9)),"Whiskey",
 ISNUMBER(SEARCH("BOURBON",C9)),"Whiskey",
 ISNUMBER(SEARCH("SCOTCH",C9)),"Whiskey",
 ISNUMBER(SEARCH("RYE",C9)),"Whiskey",
 ISNUMBER(SEARCH("VODKA",C9)),"Vodka",
 ISNUMBER(SEARCH("TEQUILA",C9)),"Tequila/Mezcal",
 ISNUMBER(SEARCH("MEZCAL",C9)),"Tequila/Mezcal",
 ISNUMBER(SEARCH("RUM",C9)),"Rum",
 ISNUMBER(SEARCH("BRAND",C9)),"Brandy",
 ISNUMBER(SEARCH("COGNAC",C9)),"Brandy",
 ISNUMBER(SEARCH("LIQUEUR",C9)),"Liqueurs",
 ISNUMBER(SEARCH("CORDIAL",C9)),"Liqueurs",
 ISNUMBER(SEARCH("SCHNAPP",C9)),"Liqueurs",
 ISNUMBER(SEARCH("GIN",C9)),"Gin",
 TRUE,"Other")</f>
        <v>Gin</v>
      </c>
      <c r="E9" s="5">
        <v>252</v>
      </c>
      <c r="F9" s="5">
        <v>2048.7600000000011</v>
      </c>
      <c r="G9" s="5">
        <v>252</v>
      </c>
      <c r="H9" s="5">
        <v>73</v>
      </c>
    </row>
    <row r="10" spans="1:8">
      <c r="A10" s="5">
        <v>2021</v>
      </c>
      <c r="B10" s="6">
        <v>44378</v>
      </c>
      <c r="C10" s="5" t="s">
        <v>15</v>
      </c>
      <c r="D10" s="3" t="str" cm="1">
        <f t="array" ref="D10">_xlfn.IFS(
 ISNUMBER(SEARCH("WHISK",C10)),"Whiskey",
 ISNUMBER(SEARCH("BOURBON",C10)),"Whiskey",
 ISNUMBER(SEARCH("SCOTCH",C10)),"Whiskey",
 ISNUMBER(SEARCH("RYE",C10)),"Whiskey",
 ISNUMBER(SEARCH("VODKA",C10)),"Vodka",
 ISNUMBER(SEARCH("TEQUILA",C10)),"Tequila/Mezcal",
 ISNUMBER(SEARCH("MEZCAL",C10)),"Tequila/Mezcal",
 ISNUMBER(SEARCH("RUM",C10)),"Rum",
 ISNUMBER(SEARCH("BRAND",C10)),"Brandy",
 ISNUMBER(SEARCH("COGNAC",C10)),"Brandy",
 ISNUMBER(SEARCH("LIQUEUR",C10)),"Liqueurs",
 ISNUMBER(SEARCH("CORDIAL",C10)),"Liqueurs",
 ISNUMBER(SEARCH("SCHNAPP",C10)),"Liqueurs",
 ISNUMBER(SEARCH("GIN",C10)),"Gin",
 TRUE,"Other")</f>
        <v>Vodka</v>
      </c>
      <c r="E10" s="5">
        <v>526149</v>
      </c>
      <c r="F10" s="5">
        <v>5204743.4399998086</v>
      </c>
      <c r="G10" s="5">
        <v>485603.2799999814</v>
      </c>
      <c r="H10" s="5">
        <v>32930</v>
      </c>
    </row>
    <row r="11" spans="1:8">
      <c r="A11" s="5">
        <v>2021</v>
      </c>
      <c r="B11" s="6">
        <v>44378</v>
      </c>
      <c r="C11" s="5" t="s">
        <v>16</v>
      </c>
      <c r="D11" s="3" t="str" cm="1">
        <f t="array" ref="D11">_xlfn.IFS(
 ISNUMBER(SEARCH("WHISK",C11)),"Whiskey",
 ISNUMBER(SEARCH("BOURBON",C11)),"Whiskey",
 ISNUMBER(SEARCH("SCOTCH",C11)),"Whiskey",
 ISNUMBER(SEARCH("RYE",C11)),"Whiskey",
 ISNUMBER(SEARCH("VODKA",C11)),"Vodka",
 ISNUMBER(SEARCH("TEQUILA",C11)),"Tequila/Mezcal",
 ISNUMBER(SEARCH("MEZCAL",C11)),"Tequila/Mezcal",
 ISNUMBER(SEARCH("RUM",C11)),"Rum",
 ISNUMBER(SEARCH("BRAND",C11)),"Brandy",
 ISNUMBER(SEARCH("COGNAC",C11)),"Brandy",
 ISNUMBER(SEARCH("LIQUEUR",C11)),"Liqueurs",
 ISNUMBER(SEARCH("CORDIAL",C11)),"Liqueurs",
 ISNUMBER(SEARCH("SCHNAPP",C11)),"Liqueurs",
 ISNUMBER(SEARCH("GIN",C11)),"Gin",
 TRUE,"Other")</f>
        <v>Whiskey</v>
      </c>
      <c r="E11" s="5">
        <v>77666</v>
      </c>
      <c r="F11" s="5">
        <v>952919.95999999775</v>
      </c>
      <c r="G11" s="5">
        <v>66502.290000000401</v>
      </c>
      <c r="H11" s="5">
        <v>8891</v>
      </c>
    </row>
    <row r="12" spans="1:8">
      <c r="A12" s="5">
        <v>2021</v>
      </c>
      <c r="B12" s="6">
        <v>44378</v>
      </c>
      <c r="C12" s="5" t="s">
        <v>17</v>
      </c>
      <c r="D12" s="3" t="str" cm="1">
        <f t="array" ref="D12">_xlfn.IFS(
 ISNUMBER(SEARCH("WHISK",C12)),"Whiskey",
 ISNUMBER(SEARCH("BOURBON",C12)),"Whiskey",
 ISNUMBER(SEARCH("SCOTCH",C12)),"Whiskey",
 ISNUMBER(SEARCH("RYE",C12)),"Whiskey",
 ISNUMBER(SEARCH("VODKA",C12)),"Vodka",
 ISNUMBER(SEARCH("TEQUILA",C12)),"Tequila/Mezcal",
 ISNUMBER(SEARCH("MEZCAL",C12)),"Tequila/Mezcal",
 ISNUMBER(SEARCH("RUM",C12)),"Rum",
 ISNUMBER(SEARCH("BRAND",C12)),"Brandy",
 ISNUMBER(SEARCH("COGNAC",C12)),"Brandy",
 ISNUMBER(SEARCH("LIQUEUR",C12)),"Liqueurs",
 ISNUMBER(SEARCH("CORDIAL",C12)),"Liqueurs",
 ISNUMBER(SEARCH("SCHNAPP",C12)),"Liqueurs",
 ISNUMBER(SEARCH("GIN",C12)),"Gin",
 TRUE,"Other")</f>
        <v>Whiskey</v>
      </c>
      <c r="E12" s="5">
        <v>1428</v>
      </c>
      <c r="F12" s="5">
        <v>36977.23000000001</v>
      </c>
      <c r="G12" s="5">
        <v>1071</v>
      </c>
      <c r="H12" s="5">
        <v>241</v>
      </c>
    </row>
    <row r="13" spans="1:8">
      <c r="A13" s="5">
        <v>2021</v>
      </c>
      <c r="B13" s="6">
        <v>44378</v>
      </c>
      <c r="C13" s="5" t="s">
        <v>18</v>
      </c>
      <c r="D13" s="3" t="str" cm="1">
        <f t="array" ref="D13">_xlfn.IFS(
 ISNUMBER(SEARCH("WHISK",C13)),"Whiskey",
 ISNUMBER(SEARCH("BOURBON",C13)),"Whiskey",
 ISNUMBER(SEARCH("SCOTCH",C13)),"Whiskey",
 ISNUMBER(SEARCH("RYE",C13)),"Whiskey",
 ISNUMBER(SEARCH("VODKA",C13)),"Vodka",
 ISNUMBER(SEARCH("TEQUILA",C13)),"Tequila/Mezcal",
 ISNUMBER(SEARCH("MEZCAL",C13)),"Tequila/Mezcal",
 ISNUMBER(SEARCH("RUM",C13)),"Rum",
 ISNUMBER(SEARCH("BRAND",C13)),"Brandy",
 ISNUMBER(SEARCH("COGNAC",C13)),"Brandy",
 ISNUMBER(SEARCH("LIQUEUR",C13)),"Liqueurs",
 ISNUMBER(SEARCH("CORDIAL",C13)),"Liqueurs",
 ISNUMBER(SEARCH("SCHNAPP",C13)),"Liqueurs",
 ISNUMBER(SEARCH("GIN",C13)),"Gin",
 TRUE,"Other")</f>
        <v>Whiskey</v>
      </c>
      <c r="E13" s="5">
        <v>252179</v>
      </c>
      <c r="F13" s="5">
        <v>3731650.2900001649</v>
      </c>
      <c r="G13" s="5">
        <v>258720.89999999813</v>
      </c>
      <c r="H13" s="5">
        <v>18754</v>
      </c>
    </row>
    <row r="14" spans="1:8">
      <c r="A14" s="5">
        <v>2021</v>
      </c>
      <c r="B14" s="6">
        <v>44378</v>
      </c>
      <c r="C14" s="5" t="s">
        <v>19</v>
      </c>
      <c r="D14" s="3" t="str" cm="1">
        <f t="array" ref="D14">_xlfn.IFS(
 ISNUMBER(SEARCH("WHISK",C14)),"Whiskey",
 ISNUMBER(SEARCH("BOURBON",C14)),"Whiskey",
 ISNUMBER(SEARCH("SCOTCH",C14)),"Whiskey",
 ISNUMBER(SEARCH("RYE",C14)),"Whiskey",
 ISNUMBER(SEARCH("VODKA",C14)),"Vodka",
 ISNUMBER(SEARCH("TEQUILA",C14)),"Tequila/Mezcal",
 ISNUMBER(SEARCH("MEZCAL",C14)),"Tequila/Mezcal",
 ISNUMBER(SEARCH("RUM",C14)),"Rum",
 ISNUMBER(SEARCH("BRAND",C14)),"Brandy",
 ISNUMBER(SEARCH("COGNAC",C14)),"Brandy",
 ISNUMBER(SEARCH("LIQUEUR",C14)),"Liqueurs",
 ISNUMBER(SEARCH("CORDIAL",C14)),"Liqueurs",
 ISNUMBER(SEARCH("SCHNAPP",C14)),"Liqueurs",
 ISNUMBER(SEARCH("GIN",C14)),"Gin",
 TRUE,"Other")</f>
        <v>Other</v>
      </c>
      <c r="E14" s="5">
        <v>75018</v>
      </c>
      <c r="F14" s="5">
        <v>810491.08999999915</v>
      </c>
      <c r="G14" s="5">
        <v>101511.62999999955</v>
      </c>
      <c r="H14" s="5">
        <v>7700</v>
      </c>
    </row>
    <row r="15" spans="1:8">
      <c r="A15" s="5">
        <v>2021</v>
      </c>
      <c r="B15" s="6">
        <v>44378</v>
      </c>
      <c r="C15" s="5" t="s">
        <v>20</v>
      </c>
      <c r="D15" s="3" t="str" cm="1">
        <f t="array" ref="D15">_xlfn.IFS(
 ISNUMBER(SEARCH("WHISK",C15)),"Whiskey",
 ISNUMBER(SEARCH("BOURBON",C15)),"Whiskey",
 ISNUMBER(SEARCH("SCOTCH",C15)),"Whiskey",
 ISNUMBER(SEARCH("RYE",C15)),"Whiskey",
 ISNUMBER(SEARCH("VODKA",C15)),"Vodka",
 ISNUMBER(SEARCH("TEQUILA",C15)),"Tequila/Mezcal",
 ISNUMBER(SEARCH("MEZCAL",C15)),"Tequila/Mezcal",
 ISNUMBER(SEARCH("RUM",C15)),"Rum",
 ISNUMBER(SEARCH("BRAND",C15)),"Brandy",
 ISNUMBER(SEARCH("COGNAC",C15)),"Brandy",
 ISNUMBER(SEARCH("LIQUEUR",C15)),"Liqueurs",
 ISNUMBER(SEARCH("CORDIAL",C15)),"Liqueurs",
 ISNUMBER(SEARCH("SCHNAPP",C15)),"Liqueurs",
 ISNUMBER(SEARCH("GIN",C15)),"Gin",
 TRUE,"Other")</f>
        <v>Liqueurs</v>
      </c>
      <c r="E15" s="5">
        <v>6978</v>
      </c>
      <c r="F15" s="5">
        <v>131212.73000000088</v>
      </c>
      <c r="G15" s="5">
        <v>5893.2800000000025</v>
      </c>
      <c r="H15" s="5">
        <v>1000</v>
      </c>
    </row>
    <row r="16" spans="1:8">
      <c r="A16" s="5">
        <v>2021</v>
      </c>
      <c r="B16" s="6">
        <v>44378</v>
      </c>
      <c r="C16" s="5" t="s">
        <v>21</v>
      </c>
      <c r="D16" s="3" t="str" cm="1">
        <f t="array" ref="D16">_xlfn.IFS(
 ISNUMBER(SEARCH("WHISK",C16)),"Whiskey",
 ISNUMBER(SEARCH("BOURBON",C16)),"Whiskey",
 ISNUMBER(SEARCH("SCOTCH",C16)),"Whiskey",
 ISNUMBER(SEARCH("RYE",C16)),"Whiskey",
 ISNUMBER(SEARCH("VODKA",C16)),"Vodka",
 ISNUMBER(SEARCH("TEQUILA",C16)),"Tequila/Mezcal",
 ISNUMBER(SEARCH("MEZCAL",C16)),"Tequila/Mezcal",
 ISNUMBER(SEARCH("RUM",C16)),"Rum",
 ISNUMBER(SEARCH("BRAND",C16)),"Brandy",
 ISNUMBER(SEARCH("COGNAC",C16)),"Brandy",
 ISNUMBER(SEARCH("LIQUEUR",C16)),"Liqueurs",
 ISNUMBER(SEARCH("CORDIAL",C16)),"Liqueurs",
 ISNUMBER(SEARCH("SCHNAPP",C16)),"Liqueurs",
 ISNUMBER(SEARCH("GIN",C16)),"Gin",
 TRUE,"Other")</f>
        <v>Whiskey</v>
      </c>
      <c r="E16" s="5">
        <v>898</v>
      </c>
      <c r="F16" s="5">
        <v>29514.01</v>
      </c>
      <c r="G16" s="5">
        <v>671.4</v>
      </c>
      <c r="H16" s="5">
        <v>162</v>
      </c>
    </row>
    <row r="17" spans="1:8">
      <c r="A17" s="5">
        <v>2021</v>
      </c>
      <c r="B17" s="6">
        <v>44378</v>
      </c>
      <c r="C17" s="5" t="s">
        <v>22</v>
      </c>
      <c r="D17" s="3" t="str" cm="1">
        <f t="array" ref="D17">_xlfn.IFS(
 ISNUMBER(SEARCH("WHISK",C17)),"Whiskey",
 ISNUMBER(SEARCH("BOURBON",C17)),"Whiskey",
 ISNUMBER(SEARCH("SCOTCH",C17)),"Whiskey",
 ISNUMBER(SEARCH("RYE",C17)),"Whiskey",
 ISNUMBER(SEARCH("VODKA",C17)),"Vodka",
 ISNUMBER(SEARCH("TEQUILA",C17)),"Tequila/Mezcal",
 ISNUMBER(SEARCH("MEZCAL",C17)),"Tequila/Mezcal",
 ISNUMBER(SEARCH("RUM",C17)),"Rum",
 ISNUMBER(SEARCH("BRAND",C17)),"Brandy",
 ISNUMBER(SEARCH("COGNAC",C17)),"Brandy",
 ISNUMBER(SEARCH("LIQUEUR",C17)),"Liqueurs",
 ISNUMBER(SEARCH("CORDIAL",C17)),"Liqueurs",
 ISNUMBER(SEARCH("SCHNAPP",C17)),"Liqueurs",
 ISNUMBER(SEARCH("GIN",C17)),"Gin",
 TRUE,"Other")</f>
        <v>Liqueurs</v>
      </c>
      <c r="E17" s="5">
        <v>24859</v>
      </c>
      <c r="F17" s="5">
        <v>492575.41999999841</v>
      </c>
      <c r="G17" s="5">
        <v>20224.74999999992</v>
      </c>
      <c r="H17" s="5">
        <v>3982</v>
      </c>
    </row>
    <row r="18" spans="1:8">
      <c r="A18" s="5">
        <v>2021</v>
      </c>
      <c r="B18" s="6">
        <v>44378</v>
      </c>
      <c r="C18" s="5" t="s">
        <v>23</v>
      </c>
      <c r="D18" s="3" t="str" cm="1">
        <f t="array" ref="D18">_xlfn.IFS(
 ISNUMBER(SEARCH("WHISK",C18)),"Whiskey",
 ISNUMBER(SEARCH("BOURBON",C18)),"Whiskey",
 ISNUMBER(SEARCH("SCOTCH",C18)),"Whiskey",
 ISNUMBER(SEARCH("RYE",C18)),"Whiskey",
 ISNUMBER(SEARCH("VODKA",C18)),"Vodka",
 ISNUMBER(SEARCH("TEQUILA",C18)),"Tequila/Mezcal",
 ISNUMBER(SEARCH("MEZCAL",C18)),"Tequila/Mezcal",
 ISNUMBER(SEARCH("RUM",C18)),"Rum",
 ISNUMBER(SEARCH("BRAND",C18)),"Brandy",
 ISNUMBER(SEARCH("COGNAC",C18)),"Brandy",
 ISNUMBER(SEARCH("LIQUEUR",C18)),"Liqueurs",
 ISNUMBER(SEARCH("CORDIAL",C18)),"Liqueurs",
 ISNUMBER(SEARCH("SCHNAPP",C18)),"Liqueurs",
 ISNUMBER(SEARCH("GIN",C18)),"Gin",
 TRUE,"Other")</f>
        <v>Gin</v>
      </c>
      <c r="E18" s="5">
        <v>872</v>
      </c>
      <c r="F18" s="5">
        <v>21856.74</v>
      </c>
      <c r="G18" s="5">
        <v>616.9</v>
      </c>
      <c r="H18" s="5">
        <v>117</v>
      </c>
    </row>
    <row r="19" spans="1:8">
      <c r="A19" s="5">
        <v>2021</v>
      </c>
      <c r="B19" s="6">
        <v>44378</v>
      </c>
      <c r="C19" s="5" t="s">
        <v>24</v>
      </c>
      <c r="D19" s="3" t="str" cm="1">
        <f t="array" ref="D19">_xlfn.IFS(
 ISNUMBER(SEARCH("WHISK",C19)),"Whiskey",
 ISNUMBER(SEARCH("BOURBON",C19)),"Whiskey",
 ISNUMBER(SEARCH("SCOTCH",C19)),"Whiskey",
 ISNUMBER(SEARCH("RYE",C19)),"Whiskey",
 ISNUMBER(SEARCH("VODKA",C19)),"Vodka",
 ISNUMBER(SEARCH("TEQUILA",C19)),"Tequila/Mezcal",
 ISNUMBER(SEARCH("MEZCAL",C19)),"Tequila/Mezcal",
 ISNUMBER(SEARCH("RUM",C19)),"Rum",
 ISNUMBER(SEARCH("BRAND",C19)),"Brandy",
 ISNUMBER(SEARCH("COGNAC",C19)),"Brandy",
 ISNUMBER(SEARCH("LIQUEUR",C19)),"Liqueurs",
 ISNUMBER(SEARCH("CORDIAL",C19)),"Liqueurs",
 ISNUMBER(SEARCH("SCHNAPP",C19)),"Liqueurs",
 ISNUMBER(SEARCH("GIN",C19)),"Gin",
 TRUE,"Other")</f>
        <v>Rum</v>
      </c>
      <c r="E19" s="5">
        <v>67165</v>
      </c>
      <c r="F19" s="5">
        <v>937846.73999999929</v>
      </c>
      <c r="G19" s="5">
        <v>60190.690000000046</v>
      </c>
      <c r="H19" s="5">
        <v>6052</v>
      </c>
    </row>
    <row r="20" spans="1:8">
      <c r="A20" s="5">
        <v>2021</v>
      </c>
      <c r="B20" s="6">
        <v>44378</v>
      </c>
      <c r="C20" s="5" t="s">
        <v>25</v>
      </c>
      <c r="D20" s="3" t="str" cm="1">
        <f t="array" ref="D20">_xlfn.IFS(
 ISNUMBER(SEARCH("WHISK",C20)),"Whiskey",
 ISNUMBER(SEARCH("BOURBON",C20)),"Whiskey",
 ISNUMBER(SEARCH("SCOTCH",C20)),"Whiskey",
 ISNUMBER(SEARCH("RYE",C20)),"Whiskey",
 ISNUMBER(SEARCH("VODKA",C20)),"Vodka",
 ISNUMBER(SEARCH("TEQUILA",C20)),"Tequila/Mezcal",
 ISNUMBER(SEARCH("MEZCAL",C20)),"Tequila/Mezcal",
 ISNUMBER(SEARCH("RUM",C20)),"Rum",
 ISNUMBER(SEARCH("BRAND",C20)),"Brandy",
 ISNUMBER(SEARCH("COGNAC",C20)),"Brandy",
 ISNUMBER(SEARCH("LIQUEUR",C20)),"Liqueurs",
 ISNUMBER(SEARCH("CORDIAL",C20)),"Liqueurs",
 ISNUMBER(SEARCH("SCHNAPP",C20)),"Liqueurs",
 ISNUMBER(SEARCH("GIN",C20)),"Gin",
 TRUE,"Other")</f>
        <v>Rum</v>
      </c>
      <c r="E20" s="5">
        <v>7359</v>
      </c>
      <c r="F20" s="5">
        <v>97478.60999999971</v>
      </c>
      <c r="G20" s="5">
        <v>8181.2400000000034</v>
      </c>
      <c r="H20" s="5">
        <v>1078</v>
      </c>
    </row>
    <row r="21" spans="1:8">
      <c r="A21" s="5">
        <v>2021</v>
      </c>
      <c r="B21" s="6">
        <v>44378</v>
      </c>
      <c r="C21" s="5" t="s">
        <v>26</v>
      </c>
      <c r="D21" s="3" t="str" cm="1">
        <f t="array" ref="D21">_xlfn.IFS(
 ISNUMBER(SEARCH("WHISK",C21)),"Whiskey",
 ISNUMBER(SEARCH("BOURBON",C21)),"Whiskey",
 ISNUMBER(SEARCH("SCOTCH",C21)),"Whiskey",
 ISNUMBER(SEARCH("RYE",C21)),"Whiskey",
 ISNUMBER(SEARCH("VODKA",C21)),"Vodka",
 ISNUMBER(SEARCH("TEQUILA",C21)),"Tequila/Mezcal",
 ISNUMBER(SEARCH("MEZCAL",C21)),"Tequila/Mezcal",
 ISNUMBER(SEARCH("RUM",C21)),"Rum",
 ISNUMBER(SEARCH("BRAND",C21)),"Brandy",
 ISNUMBER(SEARCH("COGNAC",C21)),"Brandy",
 ISNUMBER(SEARCH("LIQUEUR",C21)),"Liqueurs",
 ISNUMBER(SEARCH("CORDIAL",C21)),"Liqueurs",
 ISNUMBER(SEARCH("SCHNAPP",C21)),"Liqueurs",
 ISNUMBER(SEARCH("GIN",C21)),"Gin",
 TRUE,"Other")</f>
        <v>Brandy</v>
      </c>
      <c r="E21" s="5">
        <v>46637</v>
      </c>
      <c r="F21" s="5">
        <v>1138178.4699999823</v>
      </c>
      <c r="G21" s="5">
        <v>24393.349999999893</v>
      </c>
      <c r="H21" s="5">
        <v>3322</v>
      </c>
    </row>
    <row r="22" spans="1:8">
      <c r="A22" s="5">
        <v>2021</v>
      </c>
      <c r="B22" s="6">
        <v>44378</v>
      </c>
      <c r="C22" s="5" t="s">
        <v>60</v>
      </c>
      <c r="D22" s="3" t="str" cm="1">
        <f t="array" ref="D22">_xlfn.IFS(
 ISNUMBER(SEARCH("WHISK",C22)),"Whiskey",
 ISNUMBER(SEARCH("BOURBON",C22)),"Whiskey",
 ISNUMBER(SEARCH("SCOTCH",C22)),"Whiskey",
 ISNUMBER(SEARCH("RYE",C22)),"Whiskey",
 ISNUMBER(SEARCH("VODKA",C22)),"Vodka",
 ISNUMBER(SEARCH("TEQUILA",C22)),"Tequila/Mezcal",
 ISNUMBER(SEARCH("MEZCAL",C22)),"Tequila/Mezcal",
 ISNUMBER(SEARCH("RUM",C22)),"Rum",
 ISNUMBER(SEARCH("BRAND",C22)),"Brandy",
 ISNUMBER(SEARCH("COGNAC",C22)),"Brandy",
 ISNUMBER(SEARCH("LIQUEUR",C22)),"Liqueurs",
 ISNUMBER(SEARCH("CORDIAL",C22)),"Liqueurs",
 ISNUMBER(SEARCH("SCHNAPP",C22)),"Liqueurs",
 ISNUMBER(SEARCH("GIN",C22)),"Gin",
 TRUE,"Other")</f>
        <v>Liqueurs</v>
      </c>
      <c r="E22" s="5">
        <v>46532</v>
      </c>
      <c r="F22" s="5">
        <v>1011162.8000000017</v>
      </c>
      <c r="G22" s="5">
        <v>31495.119999999777</v>
      </c>
      <c r="H22" s="5">
        <v>5208</v>
      </c>
    </row>
    <row r="23" spans="1:8">
      <c r="A23" s="5">
        <v>2021</v>
      </c>
      <c r="B23" s="6">
        <v>44378</v>
      </c>
      <c r="C23" s="5" t="s">
        <v>28</v>
      </c>
      <c r="D23" s="3" t="str" cm="1">
        <f t="array" ref="D23">_xlfn.IFS(
 ISNUMBER(SEARCH("WHISK",C23)),"Whiskey",
 ISNUMBER(SEARCH("BOURBON",C23)),"Whiskey",
 ISNUMBER(SEARCH("SCOTCH",C23)),"Whiskey",
 ISNUMBER(SEARCH("RYE",C23)),"Whiskey",
 ISNUMBER(SEARCH("VODKA",C23)),"Vodka",
 ISNUMBER(SEARCH("TEQUILA",C23)),"Tequila/Mezcal",
 ISNUMBER(SEARCH("MEZCAL",C23)),"Tequila/Mezcal",
 ISNUMBER(SEARCH("RUM",C23)),"Rum",
 ISNUMBER(SEARCH("BRAND",C23)),"Brandy",
 ISNUMBER(SEARCH("COGNAC",C23)),"Brandy",
 ISNUMBER(SEARCH("LIQUEUR",C23)),"Liqueurs",
 ISNUMBER(SEARCH("CORDIAL",C23)),"Liqueurs",
 ISNUMBER(SEARCH("SCHNAPP",C23)),"Liqueurs",
 ISNUMBER(SEARCH("GIN",C23)),"Gin",
 TRUE,"Other")</f>
        <v>Other</v>
      </c>
      <c r="E23" s="5">
        <v>13293</v>
      </c>
      <c r="F23" s="5">
        <v>121925.95999999995</v>
      </c>
      <c r="G23" s="5">
        <v>12907.25</v>
      </c>
      <c r="H23" s="5">
        <v>293</v>
      </c>
    </row>
    <row r="24" spans="1:8">
      <c r="A24" s="5">
        <v>2021</v>
      </c>
      <c r="B24" s="6">
        <v>44378</v>
      </c>
      <c r="C24" s="5" t="s">
        <v>29</v>
      </c>
      <c r="D24" s="3" t="str" cm="1">
        <f t="array" ref="D24">_xlfn.IFS(
 ISNUMBER(SEARCH("WHISK",C24)),"Whiskey",
 ISNUMBER(SEARCH("BOURBON",C24)),"Whiskey",
 ISNUMBER(SEARCH("SCOTCH",C24)),"Whiskey",
 ISNUMBER(SEARCH("RYE",C24)),"Whiskey",
 ISNUMBER(SEARCH("VODKA",C24)),"Vodka",
 ISNUMBER(SEARCH("TEQUILA",C24)),"Tequila/Mezcal",
 ISNUMBER(SEARCH("MEZCAL",C24)),"Tequila/Mezcal",
 ISNUMBER(SEARCH("RUM",C24)),"Rum",
 ISNUMBER(SEARCH("BRAND",C24)),"Brandy",
 ISNUMBER(SEARCH("COGNAC",C24)),"Brandy",
 ISNUMBER(SEARCH("LIQUEUR",C24)),"Liqueurs",
 ISNUMBER(SEARCH("CORDIAL",C24)),"Liqueurs",
 ISNUMBER(SEARCH("SCHNAPP",C24)),"Liqueurs",
 ISNUMBER(SEARCH("GIN",C24)),"Gin",
 TRUE,"Other")</f>
        <v>Gin</v>
      </c>
      <c r="E24" s="5">
        <v>24450</v>
      </c>
      <c r="F24" s="5">
        <v>603463.78999999724</v>
      </c>
      <c r="G24" s="5">
        <v>24123.879999999968</v>
      </c>
      <c r="H24" s="5">
        <v>2745</v>
      </c>
    </row>
    <row r="25" spans="1:8">
      <c r="A25" s="5">
        <v>2021</v>
      </c>
      <c r="B25" s="6">
        <v>44378</v>
      </c>
      <c r="C25" s="5" t="s">
        <v>30</v>
      </c>
      <c r="D25" s="3" t="str" cm="1">
        <f t="array" ref="D25">_xlfn.IFS(
 ISNUMBER(SEARCH("WHISK",C25)),"Whiskey",
 ISNUMBER(SEARCH("BOURBON",C25)),"Whiskey",
 ISNUMBER(SEARCH("SCOTCH",C25)),"Whiskey",
 ISNUMBER(SEARCH("RYE",C25)),"Whiskey",
 ISNUMBER(SEARCH("VODKA",C25)),"Vodka",
 ISNUMBER(SEARCH("TEQUILA",C25)),"Tequila/Mezcal",
 ISNUMBER(SEARCH("MEZCAL",C25)),"Tequila/Mezcal",
 ISNUMBER(SEARCH("RUM",C25)),"Rum",
 ISNUMBER(SEARCH("BRAND",C25)),"Brandy",
 ISNUMBER(SEARCH("COGNAC",C25)),"Brandy",
 ISNUMBER(SEARCH("LIQUEUR",C25)),"Liqueurs",
 ISNUMBER(SEARCH("CORDIAL",C25)),"Liqueurs",
 ISNUMBER(SEARCH("SCHNAPP",C25)),"Liqueurs",
 ISNUMBER(SEARCH("GIN",C25)),"Gin",
 TRUE,"Other")</f>
        <v>Vodka</v>
      </c>
      <c r="E25" s="5">
        <v>32701</v>
      </c>
      <c r="F25" s="5">
        <v>550934.97000000079</v>
      </c>
      <c r="G25" s="5">
        <v>25489.699999999946</v>
      </c>
      <c r="H25" s="5">
        <v>4102</v>
      </c>
    </row>
    <row r="26" spans="1:8">
      <c r="A26" s="5">
        <v>2021</v>
      </c>
      <c r="B26" s="6">
        <v>44378</v>
      </c>
      <c r="C26" s="5" t="s">
        <v>31</v>
      </c>
      <c r="D26" s="3" t="str" cm="1">
        <f t="array" ref="D26">_xlfn.IFS(
 ISNUMBER(SEARCH("WHISK",C26)),"Whiskey",
 ISNUMBER(SEARCH("BOURBON",C26)),"Whiskey",
 ISNUMBER(SEARCH("SCOTCH",C26)),"Whiskey",
 ISNUMBER(SEARCH("RYE",C26)),"Whiskey",
 ISNUMBER(SEARCH("VODKA",C26)),"Vodka",
 ISNUMBER(SEARCH("TEQUILA",C26)),"Tequila/Mezcal",
 ISNUMBER(SEARCH("MEZCAL",C26)),"Tequila/Mezcal",
 ISNUMBER(SEARCH("RUM",C26)),"Rum",
 ISNUMBER(SEARCH("BRAND",C26)),"Brandy",
 ISNUMBER(SEARCH("COGNAC",C26)),"Brandy",
 ISNUMBER(SEARCH("LIQUEUR",C26)),"Liqueurs",
 ISNUMBER(SEARCH("CORDIAL",C26)),"Liqueurs",
 ISNUMBER(SEARCH("SCHNAPP",C26)),"Liqueurs",
 ISNUMBER(SEARCH("GIN",C26)),"Gin",
 TRUE,"Other")</f>
        <v>Liqueurs</v>
      </c>
      <c r="E26" s="5">
        <v>32993</v>
      </c>
      <c r="F26" s="5">
        <v>556534.12999999756</v>
      </c>
      <c r="G26" s="5">
        <v>29206.819999999727</v>
      </c>
      <c r="H26" s="5">
        <v>3349</v>
      </c>
    </row>
    <row r="27" spans="1:8">
      <c r="A27" s="5">
        <v>2021</v>
      </c>
      <c r="B27" s="6">
        <v>44378</v>
      </c>
      <c r="C27" s="5" t="s">
        <v>32</v>
      </c>
      <c r="D27" s="3" t="str" cm="1">
        <f t="array" ref="D27">_xlfn.IFS(
 ISNUMBER(SEARCH("WHISK",C27)),"Whiskey",
 ISNUMBER(SEARCH("BOURBON",C27)),"Whiskey",
 ISNUMBER(SEARCH("SCOTCH",C27)),"Whiskey",
 ISNUMBER(SEARCH("RYE",C27)),"Whiskey",
 ISNUMBER(SEARCH("VODKA",C27)),"Vodka",
 ISNUMBER(SEARCH("TEQUILA",C27)),"Tequila/Mezcal",
 ISNUMBER(SEARCH("MEZCAL",C27)),"Tequila/Mezcal",
 ISNUMBER(SEARCH("RUM",C27)),"Rum",
 ISNUMBER(SEARCH("BRAND",C27)),"Brandy",
 ISNUMBER(SEARCH("COGNAC",C27)),"Brandy",
 ISNUMBER(SEARCH("LIQUEUR",C27)),"Liqueurs",
 ISNUMBER(SEARCH("CORDIAL",C27)),"Liqueurs",
 ISNUMBER(SEARCH("SCHNAPP",C27)),"Liqueurs",
 ISNUMBER(SEARCH("GIN",C27)),"Gin",
 TRUE,"Other")</f>
        <v>Vodka</v>
      </c>
      <c r="E27" s="5">
        <v>73729</v>
      </c>
      <c r="F27" s="5">
        <v>1400394.4499999378</v>
      </c>
      <c r="G27" s="5">
        <v>78738.450000000608</v>
      </c>
      <c r="H27" s="5">
        <v>6815</v>
      </c>
    </row>
    <row r="28" spans="1:8">
      <c r="A28" s="5">
        <v>2021</v>
      </c>
      <c r="B28" s="6">
        <v>44378</v>
      </c>
      <c r="C28" s="5" t="s">
        <v>33</v>
      </c>
      <c r="D28" s="3" t="str" cm="1">
        <f t="array" ref="D28">_xlfn.IFS(
 ISNUMBER(SEARCH("WHISK",C28)),"Whiskey",
 ISNUMBER(SEARCH("BOURBON",C28)),"Whiskey",
 ISNUMBER(SEARCH("SCOTCH",C28)),"Whiskey",
 ISNUMBER(SEARCH("RYE",C28)),"Whiskey",
 ISNUMBER(SEARCH("VODKA",C28)),"Vodka",
 ISNUMBER(SEARCH("TEQUILA",C28)),"Tequila/Mezcal",
 ISNUMBER(SEARCH("MEZCAL",C28)),"Tequila/Mezcal",
 ISNUMBER(SEARCH("RUM",C28)),"Rum",
 ISNUMBER(SEARCH("BRAND",C28)),"Brandy",
 ISNUMBER(SEARCH("COGNAC",C28)),"Brandy",
 ISNUMBER(SEARCH("LIQUEUR",C28)),"Liqueurs",
 ISNUMBER(SEARCH("CORDIAL",C28)),"Liqueurs",
 ISNUMBER(SEARCH("SCHNAPP",C28)),"Liqueurs",
 ISNUMBER(SEARCH("GIN",C28)),"Gin",
 TRUE,"Other")</f>
        <v>Whiskey</v>
      </c>
      <c r="E28" s="5">
        <v>29357</v>
      </c>
      <c r="F28" s="5">
        <v>764503.76999999559</v>
      </c>
      <c r="G28" s="5">
        <v>25404.799999999977</v>
      </c>
      <c r="H28" s="5">
        <v>2420</v>
      </c>
    </row>
    <row r="29" spans="1:8">
      <c r="A29" s="5">
        <v>2021</v>
      </c>
      <c r="B29" s="6">
        <v>44378</v>
      </c>
      <c r="C29" s="5" t="s">
        <v>34</v>
      </c>
      <c r="D29" s="3" t="str" cm="1">
        <f t="array" ref="D29">_xlfn.IFS(
 ISNUMBER(SEARCH("WHISK",C29)),"Whiskey",
 ISNUMBER(SEARCH("BOURBON",C29)),"Whiskey",
 ISNUMBER(SEARCH("SCOTCH",C29)),"Whiskey",
 ISNUMBER(SEARCH("RYE",C29)),"Whiskey",
 ISNUMBER(SEARCH("VODKA",C29)),"Vodka",
 ISNUMBER(SEARCH("TEQUILA",C29)),"Tequila/Mezcal",
 ISNUMBER(SEARCH("MEZCAL",C29)),"Tequila/Mezcal",
 ISNUMBER(SEARCH("RUM",C29)),"Rum",
 ISNUMBER(SEARCH("BRAND",C29)),"Brandy",
 ISNUMBER(SEARCH("COGNAC",C29)),"Brandy",
 ISNUMBER(SEARCH("LIQUEUR",C29)),"Liqueurs",
 ISNUMBER(SEARCH("CORDIAL",C29)),"Liqueurs",
 ISNUMBER(SEARCH("SCHNAPP",C29)),"Liqueurs",
 ISNUMBER(SEARCH("GIN",C29)),"Gin",
 TRUE,"Other")</f>
        <v>Tequila/Mezcal</v>
      </c>
      <c r="E29" s="5">
        <v>1152</v>
      </c>
      <c r="F29" s="5">
        <v>34549.329999999958</v>
      </c>
      <c r="G29" s="5">
        <v>870</v>
      </c>
      <c r="H29" s="5">
        <v>159</v>
      </c>
    </row>
    <row r="30" spans="1:8">
      <c r="A30" s="5">
        <v>2021</v>
      </c>
      <c r="B30" s="6">
        <v>44378</v>
      </c>
      <c r="C30" s="5" t="s">
        <v>35</v>
      </c>
      <c r="D30" s="3" t="str" cm="1">
        <f t="array" ref="D30">_xlfn.IFS(
 ISNUMBER(SEARCH("WHISK",C30)),"Whiskey",
 ISNUMBER(SEARCH("BOURBON",C30)),"Whiskey",
 ISNUMBER(SEARCH("SCOTCH",C30)),"Whiskey",
 ISNUMBER(SEARCH("RYE",C30)),"Whiskey",
 ISNUMBER(SEARCH("VODKA",C30)),"Vodka",
 ISNUMBER(SEARCH("TEQUILA",C30)),"Tequila/Mezcal",
 ISNUMBER(SEARCH("MEZCAL",C30)),"Tequila/Mezcal",
 ISNUMBER(SEARCH("RUM",C30)),"Rum",
 ISNUMBER(SEARCH("BRAND",C30)),"Brandy",
 ISNUMBER(SEARCH("COGNAC",C30)),"Brandy",
 ISNUMBER(SEARCH("LIQUEUR",C30)),"Liqueurs",
 ISNUMBER(SEARCH("CORDIAL",C30)),"Liqueurs",
 ISNUMBER(SEARCH("SCHNAPP",C30)),"Liqueurs",
 ISNUMBER(SEARCH("GIN",C30)),"Gin",
 TRUE,"Other")</f>
        <v>Tequila/Mezcal</v>
      </c>
      <c r="E30" s="5">
        <v>73805</v>
      </c>
      <c r="F30" s="5">
        <v>967514.82999998133</v>
      </c>
      <c r="G30" s="5">
        <v>59763.230000000025</v>
      </c>
      <c r="H30" s="5">
        <v>4766</v>
      </c>
    </row>
    <row r="31" spans="1:8">
      <c r="A31" s="5">
        <v>2021</v>
      </c>
      <c r="B31" s="6">
        <v>44378</v>
      </c>
      <c r="C31" s="5" t="s">
        <v>36</v>
      </c>
      <c r="D31" s="3" t="str" cm="1">
        <f t="array" ref="D31">_xlfn.IFS(
 ISNUMBER(SEARCH("WHISK",C31)),"Whiskey",
 ISNUMBER(SEARCH("BOURBON",C31)),"Whiskey",
 ISNUMBER(SEARCH("SCOTCH",C31)),"Whiskey",
 ISNUMBER(SEARCH("RYE",C31)),"Whiskey",
 ISNUMBER(SEARCH("VODKA",C31)),"Vodka",
 ISNUMBER(SEARCH("TEQUILA",C31)),"Tequila/Mezcal",
 ISNUMBER(SEARCH("MEZCAL",C31)),"Tequila/Mezcal",
 ISNUMBER(SEARCH("RUM",C31)),"Rum",
 ISNUMBER(SEARCH("BRAND",C31)),"Brandy",
 ISNUMBER(SEARCH("COGNAC",C31)),"Brandy",
 ISNUMBER(SEARCH("LIQUEUR",C31)),"Liqueurs",
 ISNUMBER(SEARCH("CORDIAL",C31)),"Liqueurs",
 ISNUMBER(SEARCH("SCHNAPP",C31)),"Liqueurs",
 ISNUMBER(SEARCH("GIN",C31)),"Gin",
 TRUE,"Other")</f>
        <v>Other</v>
      </c>
      <c r="E31" s="5">
        <v>3263</v>
      </c>
      <c r="F31" s="5">
        <v>44039.669999999991</v>
      </c>
      <c r="G31" s="5">
        <v>2517.3499999999995</v>
      </c>
      <c r="H31" s="5">
        <v>382</v>
      </c>
    </row>
    <row r="32" spans="1:8">
      <c r="A32" s="5">
        <v>2021</v>
      </c>
      <c r="B32" s="6">
        <v>44378</v>
      </c>
      <c r="C32" s="5" t="s">
        <v>37</v>
      </c>
      <c r="D32" s="3" t="str" cm="1">
        <f t="array" ref="D32">_xlfn.IFS(
 ISNUMBER(SEARCH("WHISK",C32)),"Whiskey",
 ISNUMBER(SEARCH("BOURBON",C32)),"Whiskey",
 ISNUMBER(SEARCH("SCOTCH",C32)),"Whiskey",
 ISNUMBER(SEARCH("RYE",C32)),"Whiskey",
 ISNUMBER(SEARCH("VODKA",C32)),"Vodka",
 ISNUMBER(SEARCH("TEQUILA",C32)),"Tequila/Mezcal",
 ISNUMBER(SEARCH("MEZCAL",C32)),"Tequila/Mezcal",
 ISNUMBER(SEARCH("RUM",C32)),"Rum",
 ISNUMBER(SEARCH("BRAND",C32)),"Brandy",
 ISNUMBER(SEARCH("COGNAC",C32)),"Brandy",
 ISNUMBER(SEARCH("LIQUEUR",C32)),"Liqueurs",
 ISNUMBER(SEARCH("CORDIAL",C32)),"Liqueurs",
 ISNUMBER(SEARCH("SCHNAPP",C32)),"Liqueurs",
 ISNUMBER(SEARCH("GIN",C32)),"Gin",
 TRUE,"Other")</f>
        <v>Other</v>
      </c>
      <c r="E32" s="5">
        <v>8496</v>
      </c>
      <c r="F32" s="5">
        <v>142037.40000000008</v>
      </c>
      <c r="G32" s="5">
        <v>5123.200000000008</v>
      </c>
      <c r="H32" s="5">
        <v>1647</v>
      </c>
    </row>
    <row r="33" spans="1:8">
      <c r="A33" s="5">
        <v>2021</v>
      </c>
      <c r="B33" s="6">
        <v>44378</v>
      </c>
      <c r="C33" s="5" t="s">
        <v>38</v>
      </c>
      <c r="D33" s="3" t="str" cm="1">
        <f t="array" ref="D33">_xlfn.IFS(
 ISNUMBER(SEARCH("WHISK",C33)),"Whiskey",
 ISNUMBER(SEARCH("BOURBON",C33)),"Whiskey",
 ISNUMBER(SEARCH("SCOTCH",C33)),"Whiskey",
 ISNUMBER(SEARCH("RYE",C33)),"Whiskey",
 ISNUMBER(SEARCH("VODKA",C33)),"Vodka",
 ISNUMBER(SEARCH("TEQUILA",C33)),"Tequila/Mezcal",
 ISNUMBER(SEARCH("MEZCAL",C33)),"Tequila/Mezcal",
 ISNUMBER(SEARCH("RUM",C33)),"Rum",
 ISNUMBER(SEARCH("BRAND",C33)),"Brandy",
 ISNUMBER(SEARCH("COGNAC",C33)),"Brandy",
 ISNUMBER(SEARCH("LIQUEUR",C33)),"Liqueurs",
 ISNUMBER(SEARCH("CORDIAL",C33)),"Liqueurs",
 ISNUMBER(SEARCH("SCHNAPP",C33)),"Liqueurs",
 ISNUMBER(SEARCH("GIN",C33)),"Gin",
 TRUE,"Other")</f>
        <v>Whiskey</v>
      </c>
      <c r="E33" s="5">
        <v>16417</v>
      </c>
      <c r="F33" s="5">
        <v>399564.47999999957</v>
      </c>
      <c r="G33" s="5">
        <v>18761.13</v>
      </c>
      <c r="H33" s="5">
        <v>2649</v>
      </c>
    </row>
    <row r="34" spans="1:8">
      <c r="A34" s="5">
        <v>2021</v>
      </c>
      <c r="B34" s="6">
        <v>44378</v>
      </c>
      <c r="C34" s="5" t="s">
        <v>39</v>
      </c>
      <c r="D34" s="3" t="str" cm="1">
        <f t="array" ref="D34">_xlfn.IFS(
 ISNUMBER(SEARCH("WHISK",C34)),"Whiskey",
 ISNUMBER(SEARCH("BOURBON",C34)),"Whiskey",
 ISNUMBER(SEARCH("SCOTCH",C34)),"Whiskey",
 ISNUMBER(SEARCH("RYE",C34)),"Whiskey",
 ISNUMBER(SEARCH("VODKA",C34)),"Vodka",
 ISNUMBER(SEARCH("TEQUILA",C34)),"Tequila/Mezcal",
 ISNUMBER(SEARCH("MEZCAL",C34)),"Tequila/Mezcal",
 ISNUMBER(SEARCH("RUM",C34)),"Rum",
 ISNUMBER(SEARCH("BRAND",C34)),"Brandy",
 ISNUMBER(SEARCH("COGNAC",C34)),"Brandy",
 ISNUMBER(SEARCH("LIQUEUR",C34)),"Liqueurs",
 ISNUMBER(SEARCH("CORDIAL",C34)),"Liqueurs",
 ISNUMBER(SEARCH("SCHNAPP",C34)),"Liqueurs",
 ISNUMBER(SEARCH("GIN",C34)),"Gin",
 TRUE,"Other")</f>
        <v>Whiskey</v>
      </c>
      <c r="E34" s="5">
        <v>3149</v>
      </c>
      <c r="F34" s="5">
        <v>117904.64000000001</v>
      </c>
      <c r="G34" s="5">
        <v>2361.75</v>
      </c>
      <c r="H34" s="5">
        <v>664</v>
      </c>
    </row>
    <row r="35" spans="1:8">
      <c r="A35" s="5">
        <v>2021</v>
      </c>
      <c r="B35" s="6">
        <v>44378</v>
      </c>
      <c r="C35" s="5" t="s">
        <v>40</v>
      </c>
      <c r="D35" s="3" t="str" cm="1">
        <f t="array" ref="D35">_xlfn.IFS(
 ISNUMBER(SEARCH("WHISK",C35)),"Whiskey",
 ISNUMBER(SEARCH("BOURBON",C35)),"Whiskey",
 ISNUMBER(SEARCH("SCOTCH",C35)),"Whiskey",
 ISNUMBER(SEARCH("RYE",C35)),"Whiskey",
 ISNUMBER(SEARCH("VODKA",C35)),"Vodka",
 ISNUMBER(SEARCH("TEQUILA",C35)),"Tequila/Mezcal",
 ISNUMBER(SEARCH("MEZCAL",C35)),"Tequila/Mezcal",
 ISNUMBER(SEARCH("RUM",C35)),"Rum",
 ISNUMBER(SEARCH("BRAND",C35)),"Brandy",
 ISNUMBER(SEARCH("COGNAC",C35)),"Brandy",
 ISNUMBER(SEARCH("LIQUEUR",C35)),"Liqueurs",
 ISNUMBER(SEARCH("CORDIAL",C35)),"Liqueurs",
 ISNUMBER(SEARCH("SCHNAPP",C35)),"Liqueurs",
 ISNUMBER(SEARCH("GIN",C35)),"Gin",
 TRUE,"Other")</f>
        <v>Whiskey</v>
      </c>
      <c r="E35" s="5">
        <v>6375</v>
      </c>
      <c r="F35" s="5">
        <v>310828.1999999996</v>
      </c>
      <c r="G35" s="5">
        <v>4928.8499999999995</v>
      </c>
      <c r="H35" s="5">
        <v>1529</v>
      </c>
    </row>
    <row r="36" spans="1:8">
      <c r="A36" s="5">
        <v>2021</v>
      </c>
      <c r="B36" s="6">
        <v>44378</v>
      </c>
      <c r="C36" s="5" t="s">
        <v>41</v>
      </c>
      <c r="D36" s="3" t="str" cm="1">
        <f t="array" ref="D36">_xlfn.IFS(
 ISNUMBER(SEARCH("WHISK",C36)),"Whiskey",
 ISNUMBER(SEARCH("BOURBON",C36)),"Whiskey",
 ISNUMBER(SEARCH("SCOTCH",C36)),"Whiskey",
 ISNUMBER(SEARCH("RYE",C36)),"Whiskey",
 ISNUMBER(SEARCH("VODKA",C36)),"Vodka",
 ISNUMBER(SEARCH("TEQUILA",C36)),"Tequila/Mezcal",
 ISNUMBER(SEARCH("MEZCAL",C36)),"Tequila/Mezcal",
 ISNUMBER(SEARCH("RUM",C36)),"Rum",
 ISNUMBER(SEARCH("BRAND",C36)),"Brandy",
 ISNUMBER(SEARCH("COGNAC",C36)),"Brandy",
 ISNUMBER(SEARCH("LIQUEUR",C36)),"Liqueurs",
 ISNUMBER(SEARCH("CORDIAL",C36)),"Liqueurs",
 ISNUMBER(SEARCH("SCHNAPP",C36)),"Liqueurs",
 ISNUMBER(SEARCH("GIN",C36)),"Gin",
 TRUE,"Other")</f>
        <v>Other</v>
      </c>
      <c r="E36" s="5">
        <v>3650</v>
      </c>
      <c r="F36" s="5">
        <v>83882.77</v>
      </c>
      <c r="G36" s="5">
        <v>2779.9500000000007</v>
      </c>
      <c r="H36" s="5">
        <v>484</v>
      </c>
    </row>
    <row r="37" spans="1:8">
      <c r="A37" s="5">
        <v>2021</v>
      </c>
      <c r="B37" s="6">
        <v>44378</v>
      </c>
      <c r="C37" s="5" t="s">
        <v>42</v>
      </c>
      <c r="D37" s="3" t="str" cm="1">
        <f t="array" ref="D37">_xlfn.IFS(
 ISNUMBER(SEARCH("WHISK",C37)),"Whiskey",
 ISNUMBER(SEARCH("BOURBON",C37)),"Whiskey",
 ISNUMBER(SEARCH("SCOTCH",C37)),"Whiskey",
 ISNUMBER(SEARCH("RYE",C37)),"Whiskey",
 ISNUMBER(SEARCH("VODKA",C37)),"Vodka",
 ISNUMBER(SEARCH("TEQUILA",C37)),"Tequila/Mezcal",
 ISNUMBER(SEARCH("MEZCAL",C37)),"Tequila/Mezcal",
 ISNUMBER(SEARCH("RUM",C37)),"Rum",
 ISNUMBER(SEARCH("BRAND",C37)),"Brandy",
 ISNUMBER(SEARCH("COGNAC",C37)),"Brandy",
 ISNUMBER(SEARCH("LIQUEUR",C37)),"Liqueurs",
 ISNUMBER(SEARCH("CORDIAL",C37)),"Liqueurs",
 ISNUMBER(SEARCH("SCHNAPP",C37)),"Liqueurs",
 ISNUMBER(SEARCH("GIN",C37)),"Gin",
 TRUE,"Other")</f>
        <v>Rum</v>
      </c>
      <c r="E37" s="5">
        <v>135203</v>
      </c>
      <c r="F37" s="5">
        <v>2253795.0700000054</v>
      </c>
      <c r="G37" s="5">
        <v>143923.05000000086</v>
      </c>
      <c r="H37" s="5">
        <v>9192</v>
      </c>
    </row>
    <row r="38" spans="1:8">
      <c r="A38" s="5">
        <v>2021</v>
      </c>
      <c r="B38" s="6">
        <v>44378</v>
      </c>
      <c r="C38" s="5" t="s">
        <v>43</v>
      </c>
      <c r="D38" s="3" t="str" cm="1">
        <f t="array" ref="D38">_xlfn.IFS(
 ISNUMBER(SEARCH("WHISK",C38)),"Whiskey",
 ISNUMBER(SEARCH("BOURBON",C38)),"Whiskey",
 ISNUMBER(SEARCH("SCOTCH",C38)),"Whiskey",
 ISNUMBER(SEARCH("RYE",C38)),"Whiskey",
 ISNUMBER(SEARCH("VODKA",C38)),"Vodka",
 ISNUMBER(SEARCH("TEQUILA",C38)),"Tequila/Mezcal",
 ISNUMBER(SEARCH("MEZCAL",C38)),"Tequila/Mezcal",
 ISNUMBER(SEARCH("RUM",C38)),"Rum",
 ISNUMBER(SEARCH("BRAND",C38)),"Brandy",
 ISNUMBER(SEARCH("COGNAC",C38)),"Brandy",
 ISNUMBER(SEARCH("LIQUEUR",C38)),"Liqueurs",
 ISNUMBER(SEARCH("CORDIAL",C38)),"Liqueurs",
 ISNUMBER(SEARCH("SCHNAPP",C38)),"Liqueurs",
 ISNUMBER(SEARCH("GIN",C38)),"Gin",
 TRUE,"Other")</f>
        <v>Whiskey</v>
      </c>
      <c r="E38" s="5">
        <v>122237</v>
      </c>
      <c r="F38" s="5">
        <v>2458001.309999987</v>
      </c>
      <c r="G38" s="5">
        <v>96846.340000001946</v>
      </c>
      <c r="H38" s="5">
        <v>14892</v>
      </c>
    </row>
    <row r="39" spans="1:8">
      <c r="A39" s="5">
        <v>2021</v>
      </c>
      <c r="B39" s="6">
        <v>44378</v>
      </c>
      <c r="C39" s="5" t="s">
        <v>44</v>
      </c>
      <c r="D39" s="3" t="str" cm="1">
        <f t="array" ref="D39">_xlfn.IFS(
 ISNUMBER(SEARCH("WHISK",C39)),"Whiskey",
 ISNUMBER(SEARCH("BOURBON",C39)),"Whiskey",
 ISNUMBER(SEARCH("SCOTCH",C39)),"Whiskey",
 ISNUMBER(SEARCH("RYE",C39)),"Whiskey",
 ISNUMBER(SEARCH("VODKA",C39)),"Vodka",
 ISNUMBER(SEARCH("TEQUILA",C39)),"Tequila/Mezcal",
 ISNUMBER(SEARCH("MEZCAL",C39)),"Tequila/Mezcal",
 ISNUMBER(SEARCH("RUM",C39)),"Rum",
 ISNUMBER(SEARCH("BRAND",C39)),"Brandy",
 ISNUMBER(SEARCH("COGNAC",C39)),"Brandy",
 ISNUMBER(SEARCH("LIQUEUR",C39)),"Liqueurs",
 ISNUMBER(SEARCH("CORDIAL",C39)),"Liqueurs",
 ISNUMBER(SEARCH("SCHNAPP",C39)),"Liqueurs",
 ISNUMBER(SEARCH("GIN",C39)),"Gin",
 TRUE,"Other")</f>
        <v>Whiskey</v>
      </c>
      <c r="E39" s="5">
        <v>10434</v>
      </c>
      <c r="F39" s="5">
        <v>326406.78000000404</v>
      </c>
      <c r="G39" s="5">
        <v>7826.08</v>
      </c>
      <c r="H39" s="5">
        <v>1757</v>
      </c>
    </row>
    <row r="40" spans="1:8">
      <c r="A40" s="5">
        <v>2021</v>
      </c>
      <c r="B40" s="6">
        <v>44378</v>
      </c>
      <c r="C40" s="5" t="s">
        <v>45</v>
      </c>
      <c r="D40" s="3" t="str" cm="1">
        <f t="array" ref="D40">_xlfn.IFS(
 ISNUMBER(SEARCH("WHISK",C40)),"Whiskey",
 ISNUMBER(SEARCH("BOURBON",C40)),"Whiskey",
 ISNUMBER(SEARCH("SCOTCH",C40)),"Whiskey",
 ISNUMBER(SEARCH("RYE",C40)),"Whiskey",
 ISNUMBER(SEARCH("VODKA",C40)),"Vodka",
 ISNUMBER(SEARCH("TEQUILA",C40)),"Tequila/Mezcal",
 ISNUMBER(SEARCH("MEZCAL",C40)),"Tequila/Mezcal",
 ISNUMBER(SEARCH("RUM",C40)),"Rum",
 ISNUMBER(SEARCH("BRAND",C40)),"Brandy",
 ISNUMBER(SEARCH("COGNAC",C40)),"Brandy",
 ISNUMBER(SEARCH("LIQUEUR",C40)),"Liqueurs",
 ISNUMBER(SEARCH("CORDIAL",C40)),"Liqueurs",
 ISNUMBER(SEARCH("SCHNAPP",C40)),"Liqueurs",
 ISNUMBER(SEARCH("GIN",C40)),"Gin",
 TRUE,"Other")</f>
        <v>Other</v>
      </c>
      <c r="E40" s="5">
        <v>27841</v>
      </c>
      <c r="F40" s="5">
        <v>776512.27000000386</v>
      </c>
      <c r="G40" s="5">
        <v>29771.209999999945</v>
      </c>
      <c r="H40" s="5">
        <v>2896</v>
      </c>
    </row>
    <row r="41" spans="1:8">
      <c r="A41" s="5">
        <v>2021</v>
      </c>
      <c r="B41" s="6">
        <v>44378</v>
      </c>
      <c r="C41" s="5" t="s">
        <v>46</v>
      </c>
      <c r="D41" s="3" t="str" cm="1">
        <f t="array" ref="D41">_xlfn.IFS(
 ISNUMBER(SEARCH("WHISK",C41)),"Whiskey",
 ISNUMBER(SEARCH("BOURBON",C41)),"Whiskey",
 ISNUMBER(SEARCH("SCOTCH",C41)),"Whiskey",
 ISNUMBER(SEARCH("RYE",C41)),"Whiskey",
 ISNUMBER(SEARCH("VODKA",C41)),"Vodka",
 ISNUMBER(SEARCH("TEQUILA",C41)),"Tequila/Mezcal",
 ISNUMBER(SEARCH("MEZCAL",C41)),"Tequila/Mezcal",
 ISNUMBER(SEARCH("RUM",C41)),"Rum",
 ISNUMBER(SEARCH("BRAND",C41)),"Brandy",
 ISNUMBER(SEARCH("COGNAC",C41)),"Brandy",
 ISNUMBER(SEARCH("LIQUEUR",C41)),"Liqueurs",
 ISNUMBER(SEARCH("CORDIAL",C41)),"Liqueurs",
 ISNUMBER(SEARCH("SCHNAPP",C41)),"Liqueurs",
 ISNUMBER(SEARCH("GIN",C41)),"Gin",
 TRUE,"Other")</f>
        <v>Whiskey</v>
      </c>
      <c r="E41" s="5">
        <v>54200</v>
      </c>
      <c r="F41" s="5">
        <v>1260808.6199999999</v>
      </c>
      <c r="G41" s="5">
        <v>41148.449999999691</v>
      </c>
      <c r="H41" s="5">
        <v>5489</v>
      </c>
    </row>
    <row r="42" spans="1:8">
      <c r="A42" s="5">
        <v>2021</v>
      </c>
      <c r="B42" s="6">
        <v>44378</v>
      </c>
      <c r="C42" s="5" t="s">
        <v>47</v>
      </c>
      <c r="D42" s="3" t="str" cm="1">
        <f t="array" ref="D42">_xlfn.IFS(
 ISNUMBER(SEARCH("WHISK",C42)),"Whiskey",
 ISNUMBER(SEARCH("BOURBON",C42)),"Whiskey",
 ISNUMBER(SEARCH("SCOTCH",C42)),"Whiskey",
 ISNUMBER(SEARCH("RYE",C42)),"Whiskey",
 ISNUMBER(SEARCH("VODKA",C42)),"Vodka",
 ISNUMBER(SEARCH("TEQUILA",C42)),"Tequila/Mezcal",
 ISNUMBER(SEARCH("MEZCAL",C42)),"Tequila/Mezcal",
 ISNUMBER(SEARCH("RUM",C42)),"Rum",
 ISNUMBER(SEARCH("BRAND",C42)),"Brandy",
 ISNUMBER(SEARCH("COGNAC",C42)),"Brandy",
 ISNUMBER(SEARCH("LIQUEUR",C42)),"Liqueurs",
 ISNUMBER(SEARCH("CORDIAL",C42)),"Liqueurs",
 ISNUMBER(SEARCH("SCHNAPP",C42)),"Liqueurs",
 ISNUMBER(SEARCH("GIN",C42)),"Gin",
 TRUE,"Other")</f>
        <v>Other</v>
      </c>
      <c r="E42" s="5">
        <v>19031</v>
      </c>
      <c r="F42" s="5">
        <v>77136.819999999672</v>
      </c>
      <c r="G42" s="5">
        <v>18665.5</v>
      </c>
      <c r="H42" s="5">
        <v>839</v>
      </c>
    </row>
    <row r="43" spans="1:8">
      <c r="A43" s="5">
        <v>2021</v>
      </c>
      <c r="B43" s="6">
        <v>44378</v>
      </c>
      <c r="C43" s="5" t="s">
        <v>48</v>
      </c>
      <c r="D43" s="3" t="str" cm="1">
        <f t="array" ref="D43">_xlfn.IFS(
 ISNUMBER(SEARCH("WHISK",C43)),"Whiskey",
 ISNUMBER(SEARCH("BOURBON",C43)),"Whiskey",
 ISNUMBER(SEARCH("SCOTCH",C43)),"Whiskey",
 ISNUMBER(SEARCH("RYE",C43)),"Whiskey",
 ISNUMBER(SEARCH("VODKA",C43)),"Vodka",
 ISNUMBER(SEARCH("TEQUILA",C43)),"Tequila/Mezcal",
 ISNUMBER(SEARCH("MEZCAL",C43)),"Tequila/Mezcal",
 ISNUMBER(SEARCH("RUM",C43)),"Rum",
 ISNUMBER(SEARCH("BRAND",C43)),"Brandy",
 ISNUMBER(SEARCH("COGNAC",C43)),"Brandy",
 ISNUMBER(SEARCH("LIQUEUR",C43)),"Liqueurs",
 ISNUMBER(SEARCH("CORDIAL",C43)),"Liqueurs",
 ISNUMBER(SEARCH("SCHNAPP",C43)),"Liqueurs",
 ISNUMBER(SEARCH("GIN",C43)),"Gin",
 TRUE,"Other")</f>
        <v>Whiskey</v>
      </c>
      <c r="E43" s="5">
        <v>312883</v>
      </c>
      <c r="F43" s="5">
        <v>1962091.0299999749</v>
      </c>
      <c r="G43" s="5">
        <v>88829.020000002754</v>
      </c>
      <c r="H43" s="5">
        <v>11837</v>
      </c>
    </row>
    <row r="44" spans="1:8">
      <c r="A44" s="5">
        <v>2021</v>
      </c>
      <c r="B44" s="6">
        <v>44378</v>
      </c>
      <c r="C44" s="5" t="s">
        <v>49</v>
      </c>
      <c r="D44" s="3" t="str" cm="1">
        <f t="array" ref="D44">_xlfn.IFS(
 ISNUMBER(SEARCH("WHISK",C44)),"Whiskey",
 ISNUMBER(SEARCH("BOURBON",C44)),"Whiskey",
 ISNUMBER(SEARCH("SCOTCH",C44)),"Whiskey",
 ISNUMBER(SEARCH("RYE",C44)),"Whiskey",
 ISNUMBER(SEARCH("VODKA",C44)),"Vodka",
 ISNUMBER(SEARCH("TEQUILA",C44)),"Tequila/Mezcal",
 ISNUMBER(SEARCH("MEZCAL",C44)),"Tequila/Mezcal",
 ISNUMBER(SEARCH("RUM",C44)),"Rum",
 ISNUMBER(SEARCH("BRAND",C44)),"Brandy",
 ISNUMBER(SEARCH("COGNAC",C44)),"Brandy",
 ISNUMBER(SEARCH("LIQUEUR",C44)),"Liqueurs",
 ISNUMBER(SEARCH("CORDIAL",C44)),"Liqueurs",
 ISNUMBER(SEARCH("SCHNAPP",C44)),"Liqueurs",
 ISNUMBER(SEARCH("GIN",C44)),"Gin",
 TRUE,"Other")</f>
        <v>Rum</v>
      </c>
      <c r="E44" s="5">
        <v>53322</v>
      </c>
      <c r="F44" s="5">
        <v>627349.39000000351</v>
      </c>
      <c r="G44" s="5">
        <v>56533.390000000014</v>
      </c>
      <c r="H44" s="5">
        <v>4329</v>
      </c>
    </row>
    <row r="45" spans="1:8">
      <c r="A45" s="5">
        <v>2021</v>
      </c>
      <c r="B45" s="6">
        <v>44378</v>
      </c>
      <c r="C45" s="5" t="s">
        <v>50</v>
      </c>
      <c r="D45" s="3" t="str" cm="1">
        <f t="array" ref="D45">_xlfn.IFS(
 ISNUMBER(SEARCH("WHISK",C45)),"Whiskey",
 ISNUMBER(SEARCH("BOURBON",C45)),"Whiskey",
 ISNUMBER(SEARCH("SCOTCH",C45)),"Whiskey",
 ISNUMBER(SEARCH("RYE",C45)),"Whiskey",
 ISNUMBER(SEARCH("VODKA",C45)),"Vodka",
 ISNUMBER(SEARCH("TEQUILA",C45)),"Tequila/Mezcal",
 ISNUMBER(SEARCH("MEZCAL",C45)),"Tequila/Mezcal",
 ISNUMBER(SEARCH("RUM",C45)),"Rum",
 ISNUMBER(SEARCH("BRAND",C45)),"Brandy",
 ISNUMBER(SEARCH("COGNAC",C45)),"Brandy",
 ISNUMBER(SEARCH("LIQUEUR",C45)),"Liqueurs",
 ISNUMBER(SEARCH("CORDIAL",C45)),"Liqueurs",
 ISNUMBER(SEARCH("SCHNAPP",C45)),"Liqueurs",
 ISNUMBER(SEARCH("GIN",C45)),"Gin",
 TRUE,"Other")</f>
        <v>Tequila/Mezcal</v>
      </c>
      <c r="E45" s="5">
        <v>64497</v>
      </c>
      <c r="F45" s="5">
        <v>1898645.499999973</v>
      </c>
      <c r="G45" s="5">
        <v>50661.450000000063</v>
      </c>
      <c r="H45" s="5">
        <v>6717</v>
      </c>
    </row>
    <row r="46" spans="1:8">
      <c r="A46" s="5">
        <v>2021</v>
      </c>
      <c r="B46" s="6">
        <v>44378</v>
      </c>
      <c r="C46" s="5" t="s">
        <v>51</v>
      </c>
      <c r="D46" s="3" t="str" cm="1">
        <f t="array" ref="D46">_xlfn.IFS(
 ISNUMBER(SEARCH("WHISK",C46)),"Whiskey",
 ISNUMBER(SEARCH("BOURBON",C46)),"Whiskey",
 ISNUMBER(SEARCH("SCOTCH",C46)),"Whiskey",
 ISNUMBER(SEARCH("RYE",C46)),"Whiskey",
 ISNUMBER(SEARCH("VODKA",C46)),"Vodka",
 ISNUMBER(SEARCH("TEQUILA",C46)),"Tequila/Mezcal",
 ISNUMBER(SEARCH("MEZCAL",C46)),"Tequila/Mezcal",
 ISNUMBER(SEARCH("RUM",C46)),"Rum",
 ISNUMBER(SEARCH("BRAND",C46)),"Brandy",
 ISNUMBER(SEARCH("COGNAC",C46)),"Brandy",
 ISNUMBER(SEARCH("LIQUEUR",C46)),"Liqueurs",
 ISNUMBER(SEARCH("CORDIAL",C46)),"Liqueurs",
 ISNUMBER(SEARCH("SCHNAPP",C46)),"Liqueurs",
 ISNUMBER(SEARCH("GIN",C46)),"Gin",
 TRUE,"Other")</f>
        <v>Other</v>
      </c>
      <c r="E46" s="5">
        <v>54</v>
      </c>
      <c r="F46" s="5">
        <v>1890</v>
      </c>
      <c r="G46" s="5">
        <v>40.5</v>
      </c>
      <c r="H46" s="5">
        <v>15</v>
      </c>
    </row>
    <row r="47" spans="1:8">
      <c r="A47" s="5">
        <v>2021</v>
      </c>
      <c r="B47" s="6">
        <v>44409</v>
      </c>
      <c r="C47" s="5" t="s">
        <v>10</v>
      </c>
      <c r="D47" s="3" t="str" cm="1">
        <f t="array" ref="D47">_xlfn.IFS(
 ISNUMBER(SEARCH("WHISK",C47)),"Whiskey",
 ISNUMBER(SEARCH("BOURBON",C47)),"Whiskey",
 ISNUMBER(SEARCH("SCOTCH",C47)),"Whiskey",
 ISNUMBER(SEARCH("RYE",C47)),"Whiskey",
 ISNUMBER(SEARCH("VODKA",C47)),"Vodka",
 ISNUMBER(SEARCH("TEQUILA",C47)),"Tequila/Mezcal",
 ISNUMBER(SEARCH("MEZCAL",C47)),"Tequila/Mezcal",
 ISNUMBER(SEARCH("RUM",C47)),"Rum",
 ISNUMBER(SEARCH("BRAND",C47)),"Brandy",
 ISNUMBER(SEARCH("COGNAC",C47)),"Brandy",
 ISNUMBER(SEARCH("LIQUEUR",C47)),"Liqueurs",
 ISNUMBER(SEARCH("CORDIAL",C47)),"Liqueurs",
 ISNUMBER(SEARCH("SCHNAPP",C47)),"Liqueurs",
 ISNUMBER(SEARCH("GIN",C47)),"Gin",
 TRUE,"Other")</f>
        <v>Other</v>
      </c>
      <c r="E47" s="5">
        <v>5560</v>
      </c>
      <c r="F47" s="5">
        <v>105674.6599999997</v>
      </c>
      <c r="G47" s="5">
        <v>4142.7000000000007</v>
      </c>
      <c r="H47" s="5">
        <v>867</v>
      </c>
    </row>
    <row r="48" spans="1:8">
      <c r="A48" s="5">
        <v>2021</v>
      </c>
      <c r="B48" s="6">
        <v>44409</v>
      </c>
      <c r="C48" s="5" t="s">
        <v>24</v>
      </c>
      <c r="D48" s="3" t="str" cm="1">
        <f t="array" ref="D48">_xlfn.IFS(
 ISNUMBER(SEARCH("WHISK",C48)),"Whiskey",
 ISNUMBER(SEARCH("BOURBON",C48)),"Whiskey",
 ISNUMBER(SEARCH("SCOTCH",C48)),"Whiskey",
 ISNUMBER(SEARCH("RYE",C48)),"Whiskey",
 ISNUMBER(SEARCH("VODKA",C48)),"Vodka",
 ISNUMBER(SEARCH("TEQUILA",C48)),"Tequila/Mezcal",
 ISNUMBER(SEARCH("MEZCAL",C48)),"Tequila/Mezcal",
 ISNUMBER(SEARCH("RUM",C48)),"Rum",
 ISNUMBER(SEARCH("BRAND",C48)),"Brandy",
 ISNUMBER(SEARCH("COGNAC",C48)),"Brandy",
 ISNUMBER(SEARCH("LIQUEUR",C48)),"Liqueurs",
 ISNUMBER(SEARCH("CORDIAL",C48)),"Liqueurs",
 ISNUMBER(SEARCH("SCHNAPP",C48)),"Liqueurs",
 ISNUMBER(SEARCH("GIN",C48)),"Gin",
 TRUE,"Other")</f>
        <v>Rum</v>
      </c>
      <c r="E48" s="5">
        <v>58237</v>
      </c>
      <c r="F48" s="5">
        <v>823129.12999999628</v>
      </c>
      <c r="G48" s="5">
        <v>52765.929999999935</v>
      </c>
      <c r="H48" s="5">
        <v>5681</v>
      </c>
    </row>
    <row r="49" spans="1:8">
      <c r="A49" s="5">
        <v>2021</v>
      </c>
      <c r="B49" s="6">
        <v>44409</v>
      </c>
      <c r="C49" s="5" t="s">
        <v>47</v>
      </c>
      <c r="D49" s="3" t="str" cm="1">
        <f t="array" ref="D49">_xlfn.IFS(
 ISNUMBER(SEARCH("WHISK",C49)),"Whiskey",
 ISNUMBER(SEARCH("BOURBON",C49)),"Whiskey",
 ISNUMBER(SEARCH("SCOTCH",C49)),"Whiskey",
 ISNUMBER(SEARCH("RYE",C49)),"Whiskey",
 ISNUMBER(SEARCH("VODKA",C49)),"Vodka",
 ISNUMBER(SEARCH("TEQUILA",C49)),"Tequila/Mezcal",
 ISNUMBER(SEARCH("MEZCAL",C49)),"Tequila/Mezcal",
 ISNUMBER(SEARCH("RUM",C49)),"Rum",
 ISNUMBER(SEARCH("BRAND",C49)),"Brandy",
 ISNUMBER(SEARCH("COGNAC",C49)),"Brandy",
 ISNUMBER(SEARCH("LIQUEUR",C49)),"Liqueurs",
 ISNUMBER(SEARCH("CORDIAL",C49)),"Liqueurs",
 ISNUMBER(SEARCH("SCHNAPP",C49)),"Liqueurs",
 ISNUMBER(SEARCH("GIN",C49)),"Gin",
 TRUE,"Other")</f>
        <v>Other</v>
      </c>
      <c r="E49" s="5">
        <v>19106</v>
      </c>
      <c r="F49" s="5">
        <v>76239.559999999852</v>
      </c>
      <c r="G49" s="5">
        <v>18825.5</v>
      </c>
      <c r="H49" s="5">
        <v>866</v>
      </c>
    </row>
    <row r="50" spans="1:8">
      <c r="A50" s="5">
        <v>2021</v>
      </c>
      <c r="B50" s="6">
        <v>44409</v>
      </c>
      <c r="C50" s="5" t="s">
        <v>49</v>
      </c>
      <c r="D50" s="3" t="str" cm="1">
        <f t="array" ref="D50">_xlfn.IFS(
 ISNUMBER(SEARCH("WHISK",C50)),"Whiskey",
 ISNUMBER(SEARCH("BOURBON",C50)),"Whiskey",
 ISNUMBER(SEARCH("SCOTCH",C50)),"Whiskey",
 ISNUMBER(SEARCH("RYE",C50)),"Whiskey",
 ISNUMBER(SEARCH("VODKA",C50)),"Vodka",
 ISNUMBER(SEARCH("TEQUILA",C50)),"Tequila/Mezcal",
 ISNUMBER(SEARCH("MEZCAL",C50)),"Tequila/Mezcal",
 ISNUMBER(SEARCH("RUM",C50)),"Rum",
 ISNUMBER(SEARCH("BRAND",C50)),"Brandy",
 ISNUMBER(SEARCH("COGNAC",C50)),"Brandy",
 ISNUMBER(SEARCH("LIQUEUR",C50)),"Liqueurs",
 ISNUMBER(SEARCH("CORDIAL",C50)),"Liqueurs",
 ISNUMBER(SEARCH("SCHNAPP",C50)),"Liqueurs",
 ISNUMBER(SEARCH("GIN",C50)),"Gin",
 TRUE,"Other")</f>
        <v>Rum</v>
      </c>
      <c r="E50" s="5">
        <v>58800</v>
      </c>
      <c r="F50" s="5">
        <v>686084.21000001079</v>
      </c>
      <c r="G50" s="5">
        <v>61427.360000000088</v>
      </c>
      <c r="H50" s="5">
        <v>5037</v>
      </c>
    </row>
    <row r="51" spans="1:8">
      <c r="A51" s="5">
        <v>2021</v>
      </c>
      <c r="B51" s="6">
        <v>44409</v>
      </c>
      <c r="C51" s="5" t="s">
        <v>59</v>
      </c>
      <c r="D51" s="3" t="str" cm="1">
        <f t="array" ref="D51">_xlfn.IFS(
 ISNUMBER(SEARCH("WHISK",C51)),"Whiskey",
 ISNUMBER(SEARCH("BOURBON",C51)),"Whiskey",
 ISNUMBER(SEARCH("SCOTCH",C51)),"Whiskey",
 ISNUMBER(SEARCH("RYE",C51)),"Whiskey",
 ISNUMBER(SEARCH("VODKA",C51)),"Vodka",
 ISNUMBER(SEARCH("TEQUILA",C51)),"Tequila/Mezcal",
 ISNUMBER(SEARCH("MEZCAL",C51)),"Tequila/Mezcal",
 ISNUMBER(SEARCH("RUM",C51)),"Rum",
 ISNUMBER(SEARCH("BRAND",C51)),"Brandy",
 ISNUMBER(SEARCH("COGNAC",C51)),"Brandy",
 ISNUMBER(SEARCH("LIQUEUR",C51)),"Liqueurs",
 ISNUMBER(SEARCH("CORDIAL",C51)),"Liqueurs",
 ISNUMBER(SEARCH("SCHNAPP",C51)),"Liqueurs",
 ISNUMBER(SEARCH("GIN",C51)),"Gin",
 TRUE,"Other")</f>
        <v>Liqueurs</v>
      </c>
      <c r="E51" s="5">
        <v>37803</v>
      </c>
      <c r="F51" s="5">
        <v>340690.65000000485</v>
      </c>
      <c r="G51" s="5">
        <v>18673.879999999474</v>
      </c>
      <c r="H51" s="5">
        <v>5216</v>
      </c>
    </row>
    <row r="52" spans="1:8">
      <c r="A52" s="5">
        <v>2021</v>
      </c>
      <c r="B52" s="6">
        <v>44409</v>
      </c>
      <c r="C52" s="5" t="s">
        <v>12</v>
      </c>
      <c r="D52" s="3" t="str" cm="1">
        <f t="array" ref="D52">_xlfn.IFS(
 ISNUMBER(SEARCH("WHISK",C52)),"Whiskey",
 ISNUMBER(SEARCH("BOURBON",C52)),"Whiskey",
 ISNUMBER(SEARCH("SCOTCH",C52)),"Whiskey",
 ISNUMBER(SEARCH("RYE",C52)),"Whiskey",
 ISNUMBER(SEARCH("VODKA",C52)),"Vodka",
 ISNUMBER(SEARCH("TEQUILA",C52)),"Tequila/Mezcal",
 ISNUMBER(SEARCH("MEZCAL",C52)),"Tequila/Mezcal",
 ISNUMBER(SEARCH("RUM",C52)),"Rum",
 ISNUMBER(SEARCH("BRAND",C52)),"Brandy",
 ISNUMBER(SEARCH("COGNAC",C52)),"Brandy",
 ISNUMBER(SEARCH("LIQUEUR",C52)),"Liqueurs",
 ISNUMBER(SEARCH("CORDIAL",C52)),"Liqueurs",
 ISNUMBER(SEARCH("SCHNAPP",C52)),"Liqueurs",
 ISNUMBER(SEARCH("GIN",C52)),"Gin",
 TRUE,"Other")</f>
        <v>Vodka</v>
      </c>
      <c r="E52" s="5">
        <v>87766</v>
      </c>
      <c r="F52" s="5">
        <v>930777.86000004108</v>
      </c>
      <c r="G52" s="5">
        <v>63065.170000000209</v>
      </c>
      <c r="H52" s="5">
        <v>10376</v>
      </c>
    </row>
    <row r="53" spans="1:8">
      <c r="A53" s="5">
        <v>2021</v>
      </c>
      <c r="B53" s="6">
        <v>44409</v>
      </c>
      <c r="C53" s="5" t="s">
        <v>13</v>
      </c>
      <c r="D53" s="3" t="str" cm="1">
        <f t="array" ref="D53">_xlfn.IFS(
 ISNUMBER(SEARCH("WHISK",C53)),"Whiskey",
 ISNUMBER(SEARCH("BOURBON",C53)),"Whiskey",
 ISNUMBER(SEARCH("SCOTCH",C53)),"Whiskey",
 ISNUMBER(SEARCH("RYE",C53)),"Whiskey",
 ISNUMBER(SEARCH("VODKA",C53)),"Vodka",
 ISNUMBER(SEARCH("TEQUILA",C53)),"Tequila/Mezcal",
 ISNUMBER(SEARCH("MEZCAL",C53)),"Tequila/Mezcal",
 ISNUMBER(SEARCH("RUM",C53)),"Rum",
 ISNUMBER(SEARCH("BRAND",C53)),"Brandy",
 ISNUMBER(SEARCH("COGNAC",C53)),"Brandy",
 ISNUMBER(SEARCH("LIQUEUR",C53)),"Liqueurs",
 ISNUMBER(SEARCH("CORDIAL",C53)),"Liqueurs",
 ISNUMBER(SEARCH("SCHNAPP",C53)),"Liqueurs",
 ISNUMBER(SEARCH("GIN",C53)),"Gin",
 TRUE,"Other")</f>
        <v>Liqueurs</v>
      </c>
      <c r="E53" s="5">
        <v>62498</v>
      </c>
      <c r="F53" s="5">
        <v>518699.1399999907</v>
      </c>
      <c r="G53" s="5">
        <v>41065.969999999841</v>
      </c>
      <c r="H53" s="5">
        <v>6521</v>
      </c>
    </row>
    <row r="54" spans="1:8">
      <c r="A54" s="5">
        <v>2021</v>
      </c>
      <c r="B54" s="6">
        <v>44409</v>
      </c>
      <c r="C54" s="5" t="s">
        <v>15</v>
      </c>
      <c r="D54" s="3" t="str" cm="1">
        <f t="array" ref="D54">_xlfn.IFS(
 ISNUMBER(SEARCH("WHISK",C54)),"Whiskey",
 ISNUMBER(SEARCH("BOURBON",C54)),"Whiskey",
 ISNUMBER(SEARCH("SCOTCH",C54)),"Whiskey",
 ISNUMBER(SEARCH("RYE",C54)),"Whiskey",
 ISNUMBER(SEARCH("VODKA",C54)),"Vodka",
 ISNUMBER(SEARCH("TEQUILA",C54)),"Tequila/Mezcal",
 ISNUMBER(SEARCH("MEZCAL",C54)),"Tequila/Mezcal",
 ISNUMBER(SEARCH("RUM",C54)),"Rum",
 ISNUMBER(SEARCH("BRAND",C54)),"Brandy",
 ISNUMBER(SEARCH("COGNAC",C54)),"Brandy",
 ISNUMBER(SEARCH("LIQUEUR",C54)),"Liqueurs",
 ISNUMBER(SEARCH("CORDIAL",C54)),"Liqueurs",
 ISNUMBER(SEARCH("SCHNAPP",C54)),"Liqueurs",
 ISNUMBER(SEARCH("GIN",C54)),"Gin",
 TRUE,"Other")</f>
        <v>Vodka</v>
      </c>
      <c r="E54" s="5">
        <v>572027</v>
      </c>
      <c r="F54" s="5">
        <v>6492248.959999511</v>
      </c>
      <c r="G54" s="5">
        <v>576420.00999998231</v>
      </c>
      <c r="H54" s="5">
        <v>33727</v>
      </c>
    </row>
    <row r="55" spans="1:8">
      <c r="A55" s="5">
        <v>2021</v>
      </c>
      <c r="B55" s="6">
        <v>44409</v>
      </c>
      <c r="C55" s="5" t="s">
        <v>16</v>
      </c>
      <c r="D55" s="3" t="str" cm="1">
        <f t="array" ref="D55">_xlfn.IFS(
 ISNUMBER(SEARCH("WHISK",C55)),"Whiskey",
 ISNUMBER(SEARCH("BOURBON",C55)),"Whiskey",
 ISNUMBER(SEARCH("SCOTCH",C55)),"Whiskey",
 ISNUMBER(SEARCH("RYE",C55)),"Whiskey",
 ISNUMBER(SEARCH("VODKA",C55)),"Vodka",
 ISNUMBER(SEARCH("TEQUILA",C55)),"Tequila/Mezcal",
 ISNUMBER(SEARCH("MEZCAL",C55)),"Tequila/Mezcal",
 ISNUMBER(SEARCH("RUM",C55)),"Rum",
 ISNUMBER(SEARCH("BRAND",C55)),"Brandy",
 ISNUMBER(SEARCH("COGNAC",C55)),"Brandy",
 ISNUMBER(SEARCH("LIQUEUR",C55)),"Liqueurs",
 ISNUMBER(SEARCH("CORDIAL",C55)),"Liqueurs",
 ISNUMBER(SEARCH("SCHNAPP",C55)),"Liqueurs",
 ISNUMBER(SEARCH("GIN",C55)),"Gin",
 TRUE,"Other")</f>
        <v>Whiskey</v>
      </c>
      <c r="E55" s="5">
        <v>85907</v>
      </c>
      <c r="F55" s="5">
        <v>1093941.4900000007</v>
      </c>
      <c r="G55" s="5">
        <v>73787.830000000613</v>
      </c>
      <c r="H55" s="5">
        <v>9175</v>
      </c>
    </row>
    <row r="56" spans="1:8">
      <c r="A56" s="5">
        <v>2021</v>
      </c>
      <c r="B56" s="6">
        <v>44409</v>
      </c>
      <c r="C56" s="5" t="s">
        <v>17</v>
      </c>
      <c r="D56" s="3" t="str" cm="1">
        <f t="array" ref="D56">_xlfn.IFS(
 ISNUMBER(SEARCH("WHISK",C56)),"Whiskey",
 ISNUMBER(SEARCH("BOURBON",C56)),"Whiskey",
 ISNUMBER(SEARCH("SCOTCH",C56)),"Whiskey",
 ISNUMBER(SEARCH("RYE",C56)),"Whiskey",
 ISNUMBER(SEARCH("VODKA",C56)),"Vodka",
 ISNUMBER(SEARCH("TEQUILA",C56)),"Tequila/Mezcal",
 ISNUMBER(SEARCH("MEZCAL",C56)),"Tequila/Mezcal",
 ISNUMBER(SEARCH("RUM",C56)),"Rum",
 ISNUMBER(SEARCH("BRAND",C56)),"Brandy",
 ISNUMBER(SEARCH("COGNAC",C56)),"Brandy",
 ISNUMBER(SEARCH("LIQUEUR",C56)),"Liqueurs",
 ISNUMBER(SEARCH("CORDIAL",C56)),"Liqueurs",
 ISNUMBER(SEARCH("SCHNAPP",C56)),"Liqueurs",
 ISNUMBER(SEARCH("GIN",C56)),"Gin",
 TRUE,"Other")</f>
        <v>Whiskey</v>
      </c>
      <c r="E56" s="5">
        <v>3812</v>
      </c>
      <c r="F56" s="5">
        <v>106635.31000000001</v>
      </c>
      <c r="G56" s="5">
        <v>3375</v>
      </c>
      <c r="H56" s="5">
        <v>283</v>
      </c>
    </row>
    <row r="57" spans="1:8">
      <c r="A57" s="5">
        <v>2021</v>
      </c>
      <c r="B57" s="6">
        <v>44409</v>
      </c>
      <c r="C57" s="5" t="s">
        <v>18</v>
      </c>
      <c r="D57" s="3" t="str" cm="1">
        <f t="array" ref="D57">_xlfn.IFS(
 ISNUMBER(SEARCH("WHISK",C57)),"Whiskey",
 ISNUMBER(SEARCH("BOURBON",C57)),"Whiskey",
 ISNUMBER(SEARCH("SCOTCH",C57)),"Whiskey",
 ISNUMBER(SEARCH("RYE",C57)),"Whiskey",
 ISNUMBER(SEARCH("VODKA",C57)),"Vodka",
 ISNUMBER(SEARCH("TEQUILA",C57)),"Tequila/Mezcal",
 ISNUMBER(SEARCH("MEZCAL",C57)),"Tequila/Mezcal",
 ISNUMBER(SEARCH("RUM",C57)),"Rum",
 ISNUMBER(SEARCH("BRAND",C57)),"Brandy",
 ISNUMBER(SEARCH("COGNAC",C57)),"Brandy",
 ISNUMBER(SEARCH("LIQUEUR",C57)),"Liqueurs",
 ISNUMBER(SEARCH("CORDIAL",C57)),"Liqueurs",
 ISNUMBER(SEARCH("SCHNAPP",C57)),"Liqueurs",
 ISNUMBER(SEARCH("GIN",C57)),"Gin",
 TRUE,"Other")</f>
        <v>Whiskey</v>
      </c>
      <c r="E57" s="5">
        <v>239014</v>
      </c>
      <c r="F57" s="5">
        <v>3558846.5900001307</v>
      </c>
      <c r="G57" s="5">
        <v>214650.34999999832</v>
      </c>
      <c r="H57" s="5">
        <v>20487</v>
      </c>
    </row>
    <row r="58" spans="1:8">
      <c r="A58" s="5">
        <v>2021</v>
      </c>
      <c r="B58" s="6">
        <v>44409</v>
      </c>
      <c r="C58" s="5" t="s">
        <v>19</v>
      </c>
      <c r="D58" s="3" t="str" cm="1">
        <f t="array" ref="D58">_xlfn.IFS(
 ISNUMBER(SEARCH("WHISK",C58)),"Whiskey",
 ISNUMBER(SEARCH("BOURBON",C58)),"Whiskey",
 ISNUMBER(SEARCH("SCOTCH",C58)),"Whiskey",
 ISNUMBER(SEARCH("RYE",C58)),"Whiskey",
 ISNUMBER(SEARCH("VODKA",C58)),"Vodka",
 ISNUMBER(SEARCH("TEQUILA",C58)),"Tequila/Mezcal",
 ISNUMBER(SEARCH("MEZCAL",C58)),"Tequila/Mezcal",
 ISNUMBER(SEARCH("RUM",C58)),"Rum",
 ISNUMBER(SEARCH("BRAND",C58)),"Brandy",
 ISNUMBER(SEARCH("COGNAC",C58)),"Brandy",
 ISNUMBER(SEARCH("LIQUEUR",C58)),"Liqueurs",
 ISNUMBER(SEARCH("CORDIAL",C58)),"Liqueurs",
 ISNUMBER(SEARCH("SCHNAPP",C58)),"Liqueurs",
 ISNUMBER(SEARCH("GIN",C58)),"Gin",
 TRUE,"Other")</f>
        <v>Other</v>
      </c>
      <c r="E58" s="5">
        <v>66123</v>
      </c>
      <c r="F58" s="5">
        <v>730645.15999999759</v>
      </c>
      <c r="G58" s="5">
        <v>90914.529999999679</v>
      </c>
      <c r="H58" s="5">
        <v>7324</v>
      </c>
    </row>
    <row r="59" spans="1:8">
      <c r="A59" s="5">
        <v>2021</v>
      </c>
      <c r="B59" s="6">
        <v>44409</v>
      </c>
      <c r="C59" s="5" t="s">
        <v>20</v>
      </c>
      <c r="D59" s="3" t="str" cm="1">
        <f t="array" ref="D59">_xlfn.IFS(
 ISNUMBER(SEARCH("WHISK",C59)),"Whiskey",
 ISNUMBER(SEARCH("BOURBON",C59)),"Whiskey",
 ISNUMBER(SEARCH("SCOTCH",C59)),"Whiskey",
 ISNUMBER(SEARCH("RYE",C59)),"Whiskey",
 ISNUMBER(SEARCH("VODKA",C59)),"Vodka",
 ISNUMBER(SEARCH("TEQUILA",C59)),"Tequila/Mezcal",
 ISNUMBER(SEARCH("MEZCAL",C59)),"Tequila/Mezcal",
 ISNUMBER(SEARCH("RUM",C59)),"Rum",
 ISNUMBER(SEARCH("BRAND",C59)),"Brandy",
 ISNUMBER(SEARCH("COGNAC",C59)),"Brandy",
 ISNUMBER(SEARCH("LIQUEUR",C59)),"Liqueurs",
 ISNUMBER(SEARCH("CORDIAL",C59)),"Liqueurs",
 ISNUMBER(SEARCH("SCHNAPP",C59)),"Liqueurs",
 ISNUMBER(SEARCH("GIN",C59)),"Gin",
 TRUE,"Other")</f>
        <v>Liqueurs</v>
      </c>
      <c r="E59" s="5">
        <v>7735</v>
      </c>
      <c r="F59" s="5">
        <v>136598.61000000071</v>
      </c>
      <c r="G59" s="5">
        <v>6519.2800000000052</v>
      </c>
      <c r="H59" s="5">
        <v>1040</v>
      </c>
    </row>
    <row r="60" spans="1:8">
      <c r="A60" s="5">
        <v>2021</v>
      </c>
      <c r="B60" s="6">
        <v>44409</v>
      </c>
      <c r="C60" s="5" t="s">
        <v>22</v>
      </c>
      <c r="D60" s="3" t="str" cm="1">
        <f t="array" ref="D60">_xlfn.IFS(
 ISNUMBER(SEARCH("WHISK",C60)),"Whiskey",
 ISNUMBER(SEARCH("BOURBON",C60)),"Whiskey",
 ISNUMBER(SEARCH("SCOTCH",C60)),"Whiskey",
 ISNUMBER(SEARCH("RYE",C60)),"Whiskey",
 ISNUMBER(SEARCH("VODKA",C60)),"Vodka",
 ISNUMBER(SEARCH("TEQUILA",C60)),"Tequila/Mezcal",
 ISNUMBER(SEARCH("MEZCAL",C60)),"Tequila/Mezcal",
 ISNUMBER(SEARCH("RUM",C60)),"Rum",
 ISNUMBER(SEARCH("BRAND",C60)),"Brandy",
 ISNUMBER(SEARCH("COGNAC",C60)),"Brandy",
 ISNUMBER(SEARCH("LIQUEUR",C60)),"Liqueurs",
 ISNUMBER(SEARCH("CORDIAL",C60)),"Liqueurs",
 ISNUMBER(SEARCH("SCHNAPP",C60)),"Liqueurs",
 ISNUMBER(SEARCH("GIN",C60)),"Gin",
 TRUE,"Other")</f>
        <v>Liqueurs</v>
      </c>
      <c r="E60" s="5">
        <v>26693</v>
      </c>
      <c r="F60" s="5">
        <v>516874.64999999804</v>
      </c>
      <c r="G60" s="5">
        <v>22749.489999999831</v>
      </c>
      <c r="H60" s="5">
        <v>3850</v>
      </c>
    </row>
    <row r="61" spans="1:8">
      <c r="A61" s="5">
        <v>2021</v>
      </c>
      <c r="B61" s="6">
        <v>44409</v>
      </c>
      <c r="C61" s="5" t="s">
        <v>25</v>
      </c>
      <c r="D61" s="3" t="str" cm="1">
        <f t="array" ref="D61">_xlfn.IFS(
 ISNUMBER(SEARCH("WHISK",C61)),"Whiskey",
 ISNUMBER(SEARCH("BOURBON",C61)),"Whiskey",
 ISNUMBER(SEARCH("SCOTCH",C61)),"Whiskey",
 ISNUMBER(SEARCH("RYE",C61)),"Whiskey",
 ISNUMBER(SEARCH("VODKA",C61)),"Vodka",
 ISNUMBER(SEARCH("TEQUILA",C61)),"Tequila/Mezcal",
 ISNUMBER(SEARCH("MEZCAL",C61)),"Tequila/Mezcal",
 ISNUMBER(SEARCH("RUM",C61)),"Rum",
 ISNUMBER(SEARCH("BRAND",C61)),"Brandy",
 ISNUMBER(SEARCH("COGNAC",C61)),"Brandy",
 ISNUMBER(SEARCH("LIQUEUR",C61)),"Liqueurs",
 ISNUMBER(SEARCH("CORDIAL",C61)),"Liqueurs",
 ISNUMBER(SEARCH("SCHNAPP",C61)),"Liqueurs",
 ISNUMBER(SEARCH("GIN",C61)),"Gin",
 TRUE,"Other")</f>
        <v>Rum</v>
      </c>
      <c r="E61" s="5">
        <v>7427</v>
      </c>
      <c r="F61" s="5">
        <v>97386.239999999816</v>
      </c>
      <c r="G61" s="5">
        <v>8663.3300000000054</v>
      </c>
      <c r="H61" s="5">
        <v>1047</v>
      </c>
    </row>
    <row r="62" spans="1:8">
      <c r="A62" s="5">
        <v>2021</v>
      </c>
      <c r="B62" s="6">
        <v>44409</v>
      </c>
      <c r="C62" s="5" t="s">
        <v>60</v>
      </c>
      <c r="D62" s="3" t="str" cm="1">
        <f t="array" ref="D62">_xlfn.IFS(
 ISNUMBER(SEARCH("WHISK",C62)),"Whiskey",
 ISNUMBER(SEARCH("BOURBON",C62)),"Whiskey",
 ISNUMBER(SEARCH("SCOTCH",C62)),"Whiskey",
 ISNUMBER(SEARCH("RYE",C62)),"Whiskey",
 ISNUMBER(SEARCH("VODKA",C62)),"Vodka",
 ISNUMBER(SEARCH("TEQUILA",C62)),"Tequila/Mezcal",
 ISNUMBER(SEARCH("MEZCAL",C62)),"Tequila/Mezcal",
 ISNUMBER(SEARCH("RUM",C62)),"Rum",
 ISNUMBER(SEARCH("BRAND",C62)),"Brandy",
 ISNUMBER(SEARCH("COGNAC",C62)),"Brandy",
 ISNUMBER(SEARCH("LIQUEUR",C62)),"Liqueurs",
 ISNUMBER(SEARCH("CORDIAL",C62)),"Liqueurs",
 ISNUMBER(SEARCH("SCHNAPP",C62)),"Liqueurs",
 ISNUMBER(SEARCH("GIN",C62)),"Gin",
 TRUE,"Other")</f>
        <v>Liqueurs</v>
      </c>
      <c r="E62" s="5">
        <v>39172</v>
      </c>
      <c r="F62" s="5">
        <v>855010.37000000174</v>
      </c>
      <c r="G62" s="5">
        <v>28081.139999999887</v>
      </c>
      <c r="H62" s="5">
        <v>4602</v>
      </c>
    </row>
    <row r="63" spans="1:8">
      <c r="A63" s="5">
        <v>2021</v>
      </c>
      <c r="B63" s="6">
        <v>44409</v>
      </c>
      <c r="C63" s="5" t="s">
        <v>29</v>
      </c>
      <c r="D63" s="3" t="str" cm="1">
        <f t="array" ref="D63">_xlfn.IFS(
 ISNUMBER(SEARCH("WHISK",C63)),"Whiskey",
 ISNUMBER(SEARCH("BOURBON",C63)),"Whiskey",
 ISNUMBER(SEARCH("SCOTCH",C63)),"Whiskey",
 ISNUMBER(SEARCH("RYE",C63)),"Whiskey",
 ISNUMBER(SEARCH("VODKA",C63)),"Vodka",
 ISNUMBER(SEARCH("TEQUILA",C63)),"Tequila/Mezcal",
 ISNUMBER(SEARCH("MEZCAL",C63)),"Tequila/Mezcal",
 ISNUMBER(SEARCH("RUM",C63)),"Rum",
 ISNUMBER(SEARCH("BRAND",C63)),"Brandy",
 ISNUMBER(SEARCH("COGNAC",C63)),"Brandy",
 ISNUMBER(SEARCH("LIQUEUR",C63)),"Liqueurs",
 ISNUMBER(SEARCH("CORDIAL",C63)),"Liqueurs",
 ISNUMBER(SEARCH("SCHNAPP",C63)),"Liqueurs",
 ISNUMBER(SEARCH("GIN",C63)),"Gin",
 TRUE,"Other")</f>
        <v>Gin</v>
      </c>
      <c r="E63" s="5">
        <v>21453</v>
      </c>
      <c r="F63" s="5">
        <v>515556.4399999993</v>
      </c>
      <c r="G63" s="5">
        <v>19784.260000000013</v>
      </c>
      <c r="H63" s="5">
        <v>2593</v>
      </c>
    </row>
    <row r="64" spans="1:8">
      <c r="A64" s="5">
        <v>2021</v>
      </c>
      <c r="B64" s="6">
        <v>44409</v>
      </c>
      <c r="C64" s="5" t="s">
        <v>31</v>
      </c>
      <c r="D64" s="3" t="str" cm="1">
        <f t="array" ref="D64">_xlfn.IFS(
 ISNUMBER(SEARCH("WHISK",C64)),"Whiskey",
 ISNUMBER(SEARCH("BOURBON",C64)),"Whiskey",
 ISNUMBER(SEARCH("SCOTCH",C64)),"Whiskey",
 ISNUMBER(SEARCH("RYE",C64)),"Whiskey",
 ISNUMBER(SEARCH("VODKA",C64)),"Vodka",
 ISNUMBER(SEARCH("TEQUILA",C64)),"Tequila/Mezcal",
 ISNUMBER(SEARCH("MEZCAL",C64)),"Tequila/Mezcal",
 ISNUMBER(SEARCH("RUM",C64)),"Rum",
 ISNUMBER(SEARCH("BRAND",C64)),"Brandy",
 ISNUMBER(SEARCH("COGNAC",C64)),"Brandy",
 ISNUMBER(SEARCH("LIQUEUR",C64)),"Liqueurs",
 ISNUMBER(SEARCH("CORDIAL",C64)),"Liqueurs",
 ISNUMBER(SEARCH("SCHNAPP",C64)),"Liqueurs",
 ISNUMBER(SEARCH("GIN",C64)),"Gin",
 TRUE,"Other")</f>
        <v>Liqueurs</v>
      </c>
      <c r="E64" s="5">
        <v>32958</v>
      </c>
      <c r="F64" s="5">
        <v>548859.98999999685</v>
      </c>
      <c r="G64" s="5">
        <v>29285.959999999766</v>
      </c>
      <c r="H64" s="5">
        <v>3388</v>
      </c>
    </row>
    <row r="65" spans="1:8">
      <c r="A65" s="5">
        <v>2021</v>
      </c>
      <c r="B65" s="6">
        <v>44409</v>
      </c>
      <c r="C65" s="5" t="s">
        <v>32</v>
      </c>
      <c r="D65" s="3" t="str" cm="1">
        <f t="array" ref="D65">_xlfn.IFS(
 ISNUMBER(SEARCH("WHISK",C65)),"Whiskey",
 ISNUMBER(SEARCH("BOURBON",C65)),"Whiskey",
 ISNUMBER(SEARCH("SCOTCH",C65)),"Whiskey",
 ISNUMBER(SEARCH("RYE",C65)),"Whiskey",
 ISNUMBER(SEARCH("VODKA",C65)),"Vodka",
 ISNUMBER(SEARCH("TEQUILA",C65)),"Tequila/Mezcal",
 ISNUMBER(SEARCH("MEZCAL",C65)),"Tequila/Mezcal",
 ISNUMBER(SEARCH("RUM",C65)),"Rum",
 ISNUMBER(SEARCH("BRAND",C65)),"Brandy",
 ISNUMBER(SEARCH("COGNAC",C65)),"Brandy",
 ISNUMBER(SEARCH("LIQUEUR",C65)),"Liqueurs",
 ISNUMBER(SEARCH("CORDIAL",C65)),"Liqueurs",
 ISNUMBER(SEARCH("SCHNAPP",C65)),"Liqueurs",
 ISNUMBER(SEARCH("GIN",C65)),"Gin",
 TRUE,"Other")</f>
        <v>Vodka</v>
      </c>
      <c r="E65" s="5">
        <v>63912</v>
      </c>
      <c r="F65" s="5">
        <v>1188792.2499999818</v>
      </c>
      <c r="G65" s="5">
        <v>66929.730000000418</v>
      </c>
      <c r="H65" s="5">
        <v>5967</v>
      </c>
    </row>
    <row r="66" spans="1:8">
      <c r="A66" s="5">
        <v>2021</v>
      </c>
      <c r="B66" s="6">
        <v>44409</v>
      </c>
      <c r="C66" s="5" t="s">
        <v>35</v>
      </c>
      <c r="D66" s="3" t="str" cm="1">
        <f t="array" ref="D66">_xlfn.IFS(
 ISNUMBER(SEARCH("WHISK",C66)),"Whiskey",
 ISNUMBER(SEARCH("BOURBON",C66)),"Whiskey",
 ISNUMBER(SEARCH("SCOTCH",C66)),"Whiskey",
 ISNUMBER(SEARCH("RYE",C66)),"Whiskey",
 ISNUMBER(SEARCH("VODKA",C66)),"Vodka",
 ISNUMBER(SEARCH("TEQUILA",C66)),"Tequila/Mezcal",
 ISNUMBER(SEARCH("MEZCAL",C66)),"Tequila/Mezcal",
 ISNUMBER(SEARCH("RUM",C66)),"Rum",
 ISNUMBER(SEARCH("BRAND",C66)),"Brandy",
 ISNUMBER(SEARCH("COGNAC",C66)),"Brandy",
 ISNUMBER(SEARCH("LIQUEUR",C66)),"Liqueurs",
 ISNUMBER(SEARCH("CORDIAL",C66)),"Liqueurs",
 ISNUMBER(SEARCH("SCHNAPP",C66)),"Liqueurs",
 ISNUMBER(SEARCH("GIN",C66)),"Gin",
 TRUE,"Other")</f>
        <v>Tequila/Mezcal</v>
      </c>
      <c r="E66" s="5">
        <v>76387</v>
      </c>
      <c r="F66" s="5">
        <v>1066207.9699999799</v>
      </c>
      <c r="G66" s="5">
        <v>63551.850000000057</v>
      </c>
      <c r="H66" s="5">
        <v>5078</v>
      </c>
    </row>
    <row r="67" spans="1:8">
      <c r="A67" s="5">
        <v>2021</v>
      </c>
      <c r="B67" s="6">
        <v>44409</v>
      </c>
      <c r="C67" s="5" t="s">
        <v>38</v>
      </c>
      <c r="D67" s="3" t="str" cm="1">
        <f t="array" ref="D67">_xlfn.IFS(
 ISNUMBER(SEARCH("WHISK",C67)),"Whiskey",
 ISNUMBER(SEARCH("BOURBON",C67)),"Whiskey",
 ISNUMBER(SEARCH("SCOTCH",C67)),"Whiskey",
 ISNUMBER(SEARCH("RYE",C67)),"Whiskey",
 ISNUMBER(SEARCH("VODKA",C67)),"Vodka",
 ISNUMBER(SEARCH("TEQUILA",C67)),"Tequila/Mezcal",
 ISNUMBER(SEARCH("MEZCAL",C67)),"Tequila/Mezcal",
 ISNUMBER(SEARCH("RUM",C67)),"Rum",
 ISNUMBER(SEARCH("BRAND",C67)),"Brandy",
 ISNUMBER(SEARCH("COGNAC",C67)),"Brandy",
 ISNUMBER(SEARCH("LIQUEUR",C67)),"Liqueurs",
 ISNUMBER(SEARCH("CORDIAL",C67)),"Liqueurs",
 ISNUMBER(SEARCH("SCHNAPP",C67)),"Liqueurs",
 ISNUMBER(SEARCH("GIN",C67)),"Gin",
 TRUE,"Other")</f>
        <v>Whiskey</v>
      </c>
      <c r="E67" s="5">
        <v>15167</v>
      </c>
      <c r="F67" s="5">
        <v>352375.86999999901</v>
      </c>
      <c r="G67" s="5">
        <v>17572.84</v>
      </c>
      <c r="H67" s="5">
        <v>2657</v>
      </c>
    </row>
    <row r="68" spans="1:8">
      <c r="A68" s="5">
        <v>2021</v>
      </c>
      <c r="B68" s="6">
        <v>44409</v>
      </c>
      <c r="C68" s="5" t="s">
        <v>42</v>
      </c>
      <c r="D68" s="3" t="str" cm="1">
        <f t="array" ref="D68">_xlfn.IFS(
 ISNUMBER(SEARCH("WHISK",C68)),"Whiskey",
 ISNUMBER(SEARCH("BOURBON",C68)),"Whiskey",
 ISNUMBER(SEARCH("SCOTCH",C68)),"Whiskey",
 ISNUMBER(SEARCH("RYE",C68)),"Whiskey",
 ISNUMBER(SEARCH("VODKA",C68)),"Vodka",
 ISNUMBER(SEARCH("TEQUILA",C68)),"Tequila/Mezcal",
 ISNUMBER(SEARCH("MEZCAL",C68)),"Tequila/Mezcal",
 ISNUMBER(SEARCH("RUM",C68)),"Rum",
 ISNUMBER(SEARCH("BRAND",C68)),"Brandy",
 ISNUMBER(SEARCH("COGNAC",C68)),"Brandy",
 ISNUMBER(SEARCH("LIQUEUR",C68)),"Liqueurs",
 ISNUMBER(SEARCH("CORDIAL",C68)),"Liqueurs",
 ISNUMBER(SEARCH("SCHNAPP",C68)),"Liqueurs",
 ISNUMBER(SEARCH("GIN",C68)),"Gin",
 TRUE,"Other")</f>
        <v>Rum</v>
      </c>
      <c r="E68" s="5">
        <v>109525</v>
      </c>
      <c r="F68" s="5">
        <v>1542004.1999999967</v>
      </c>
      <c r="G68" s="5">
        <v>98203.360000000524</v>
      </c>
      <c r="H68" s="5">
        <v>9157</v>
      </c>
    </row>
    <row r="69" spans="1:8">
      <c r="A69" s="5">
        <v>2021</v>
      </c>
      <c r="B69" s="6">
        <v>44409</v>
      </c>
      <c r="C69" s="5" t="s">
        <v>43</v>
      </c>
      <c r="D69" s="3" t="str" cm="1">
        <f t="array" ref="D69">_xlfn.IFS(
 ISNUMBER(SEARCH("WHISK",C69)),"Whiskey",
 ISNUMBER(SEARCH("BOURBON",C69)),"Whiskey",
 ISNUMBER(SEARCH("SCOTCH",C69)),"Whiskey",
 ISNUMBER(SEARCH("RYE",C69)),"Whiskey",
 ISNUMBER(SEARCH("VODKA",C69)),"Vodka",
 ISNUMBER(SEARCH("TEQUILA",C69)),"Tequila/Mezcal",
 ISNUMBER(SEARCH("MEZCAL",C69)),"Tequila/Mezcal",
 ISNUMBER(SEARCH("RUM",C69)),"Rum",
 ISNUMBER(SEARCH("BRAND",C69)),"Brandy",
 ISNUMBER(SEARCH("COGNAC",C69)),"Brandy",
 ISNUMBER(SEARCH("LIQUEUR",C69)),"Liqueurs",
 ISNUMBER(SEARCH("CORDIAL",C69)),"Liqueurs",
 ISNUMBER(SEARCH("SCHNAPP",C69)),"Liqueurs",
 ISNUMBER(SEARCH("GIN",C69)),"Gin",
 TRUE,"Other")</f>
        <v>Whiskey</v>
      </c>
      <c r="E69" s="5">
        <v>129959</v>
      </c>
      <c r="F69" s="5">
        <v>2623588.9800000233</v>
      </c>
      <c r="G69" s="5">
        <v>106361.88000000088</v>
      </c>
      <c r="H69" s="5">
        <v>15463</v>
      </c>
    </row>
    <row r="70" spans="1:8">
      <c r="A70" s="5">
        <v>2021</v>
      </c>
      <c r="B70" s="6">
        <v>44409</v>
      </c>
      <c r="C70" s="5" t="s">
        <v>45</v>
      </c>
      <c r="D70" s="3" t="str" cm="1">
        <f t="array" ref="D70">_xlfn.IFS(
 ISNUMBER(SEARCH("WHISK",C70)),"Whiskey",
 ISNUMBER(SEARCH("BOURBON",C70)),"Whiskey",
 ISNUMBER(SEARCH("SCOTCH",C70)),"Whiskey",
 ISNUMBER(SEARCH("RYE",C70)),"Whiskey",
 ISNUMBER(SEARCH("VODKA",C70)),"Vodka",
 ISNUMBER(SEARCH("TEQUILA",C70)),"Tequila/Mezcal",
 ISNUMBER(SEARCH("MEZCAL",C70)),"Tequila/Mezcal",
 ISNUMBER(SEARCH("RUM",C70)),"Rum",
 ISNUMBER(SEARCH("BRAND",C70)),"Brandy",
 ISNUMBER(SEARCH("COGNAC",C70)),"Brandy",
 ISNUMBER(SEARCH("LIQUEUR",C70)),"Liqueurs",
 ISNUMBER(SEARCH("CORDIAL",C70)),"Liqueurs",
 ISNUMBER(SEARCH("SCHNAPP",C70)),"Liqueurs",
 ISNUMBER(SEARCH("GIN",C70)),"Gin",
 TRUE,"Other")</f>
        <v>Other</v>
      </c>
      <c r="E70" s="5">
        <v>23064</v>
      </c>
      <c r="F70" s="5">
        <v>564019.44999999448</v>
      </c>
      <c r="G70" s="5">
        <v>18101.35999999999</v>
      </c>
      <c r="H70" s="5">
        <v>3056</v>
      </c>
    </row>
    <row r="71" spans="1:8">
      <c r="A71" s="5">
        <v>2021</v>
      </c>
      <c r="B71" s="6">
        <v>44409</v>
      </c>
      <c r="C71" s="5" t="s">
        <v>46</v>
      </c>
      <c r="D71" s="3" t="str" cm="1">
        <f t="array" ref="D71">_xlfn.IFS(
 ISNUMBER(SEARCH("WHISK",C71)),"Whiskey",
 ISNUMBER(SEARCH("BOURBON",C71)),"Whiskey",
 ISNUMBER(SEARCH("SCOTCH",C71)),"Whiskey",
 ISNUMBER(SEARCH("RYE",C71)),"Whiskey",
 ISNUMBER(SEARCH("VODKA",C71)),"Vodka",
 ISNUMBER(SEARCH("TEQUILA",C71)),"Tequila/Mezcal",
 ISNUMBER(SEARCH("MEZCAL",C71)),"Tequila/Mezcal",
 ISNUMBER(SEARCH("RUM",C71)),"Rum",
 ISNUMBER(SEARCH("BRAND",C71)),"Brandy",
 ISNUMBER(SEARCH("COGNAC",C71)),"Brandy",
 ISNUMBER(SEARCH("LIQUEUR",C71)),"Liqueurs",
 ISNUMBER(SEARCH("CORDIAL",C71)),"Liqueurs",
 ISNUMBER(SEARCH("SCHNAPP",C71)),"Liqueurs",
 ISNUMBER(SEARCH("GIN",C71)),"Gin",
 TRUE,"Other")</f>
        <v>Whiskey</v>
      </c>
      <c r="E71" s="5">
        <v>60156</v>
      </c>
      <c r="F71" s="5">
        <v>1184621.5499999886</v>
      </c>
      <c r="G71" s="5">
        <v>38050.00999999966</v>
      </c>
      <c r="H71" s="5">
        <v>5263</v>
      </c>
    </row>
    <row r="72" spans="1:8">
      <c r="A72" s="5">
        <v>2021</v>
      </c>
      <c r="B72" s="6">
        <v>44409</v>
      </c>
      <c r="C72" s="5" t="s">
        <v>48</v>
      </c>
      <c r="D72" s="3" t="str" cm="1">
        <f t="array" ref="D72">_xlfn.IFS(
 ISNUMBER(SEARCH("WHISK",C72)),"Whiskey",
 ISNUMBER(SEARCH("BOURBON",C72)),"Whiskey",
 ISNUMBER(SEARCH("SCOTCH",C72)),"Whiskey",
 ISNUMBER(SEARCH("RYE",C72)),"Whiskey",
 ISNUMBER(SEARCH("VODKA",C72)),"Vodka",
 ISNUMBER(SEARCH("TEQUILA",C72)),"Tequila/Mezcal",
 ISNUMBER(SEARCH("MEZCAL",C72)),"Tequila/Mezcal",
 ISNUMBER(SEARCH("RUM",C72)),"Rum",
 ISNUMBER(SEARCH("BRAND",C72)),"Brandy",
 ISNUMBER(SEARCH("COGNAC",C72)),"Brandy",
 ISNUMBER(SEARCH("LIQUEUR",C72)),"Liqueurs",
 ISNUMBER(SEARCH("CORDIAL",C72)),"Liqueurs",
 ISNUMBER(SEARCH("SCHNAPP",C72)),"Liqueurs",
 ISNUMBER(SEARCH("GIN",C72)),"Gin",
 TRUE,"Other")</f>
        <v>Whiskey</v>
      </c>
      <c r="E72" s="5">
        <v>333563</v>
      </c>
      <c r="F72" s="5">
        <v>2079952.9499999769</v>
      </c>
      <c r="G72" s="5">
        <v>98165.090000003853</v>
      </c>
      <c r="H72" s="5">
        <v>12096</v>
      </c>
    </row>
    <row r="73" spans="1:8">
      <c r="A73" s="5">
        <v>2021</v>
      </c>
      <c r="B73" s="6">
        <v>44409</v>
      </c>
      <c r="C73" s="5" t="s">
        <v>50</v>
      </c>
      <c r="D73" s="3" t="str" cm="1">
        <f t="array" ref="D73">_xlfn.IFS(
 ISNUMBER(SEARCH("WHISK",C73)),"Whiskey",
 ISNUMBER(SEARCH("BOURBON",C73)),"Whiskey",
 ISNUMBER(SEARCH("SCOTCH",C73)),"Whiskey",
 ISNUMBER(SEARCH("RYE",C73)),"Whiskey",
 ISNUMBER(SEARCH("VODKA",C73)),"Vodka",
 ISNUMBER(SEARCH("TEQUILA",C73)),"Tequila/Mezcal",
 ISNUMBER(SEARCH("MEZCAL",C73)),"Tequila/Mezcal",
 ISNUMBER(SEARCH("RUM",C73)),"Rum",
 ISNUMBER(SEARCH("BRAND",C73)),"Brandy",
 ISNUMBER(SEARCH("COGNAC",C73)),"Brandy",
 ISNUMBER(SEARCH("LIQUEUR",C73)),"Liqueurs",
 ISNUMBER(SEARCH("CORDIAL",C73)),"Liqueurs",
 ISNUMBER(SEARCH("SCHNAPP",C73)),"Liqueurs",
 ISNUMBER(SEARCH("GIN",C73)),"Gin",
 TRUE,"Other")</f>
        <v>Tequila/Mezcal</v>
      </c>
      <c r="E73" s="5">
        <v>73763</v>
      </c>
      <c r="F73" s="5">
        <v>2181665.8899999773</v>
      </c>
      <c r="G73" s="5">
        <v>56478.070000000116</v>
      </c>
      <c r="H73" s="5">
        <v>7979</v>
      </c>
    </row>
    <row r="74" spans="1:8">
      <c r="A74" s="5">
        <v>2021</v>
      </c>
      <c r="B74" s="6">
        <v>44409</v>
      </c>
      <c r="C74" s="5" t="s">
        <v>7</v>
      </c>
      <c r="D74" s="3" t="str" cm="1">
        <f t="array" ref="D74">_xlfn.IFS(
 ISNUMBER(SEARCH("WHISK",C74)),"Whiskey",
 ISNUMBER(SEARCH("BOURBON",C74)),"Whiskey",
 ISNUMBER(SEARCH("SCOTCH",C74)),"Whiskey",
 ISNUMBER(SEARCH("RYE",C74)),"Whiskey",
 ISNUMBER(SEARCH("VODKA",C74)),"Vodka",
 ISNUMBER(SEARCH("TEQUILA",C74)),"Tequila/Mezcal",
 ISNUMBER(SEARCH("MEZCAL",C74)),"Tequila/Mezcal",
 ISNUMBER(SEARCH("RUM",C74)),"Rum",
 ISNUMBER(SEARCH("BRAND",C74)),"Brandy",
 ISNUMBER(SEARCH("COGNAC",C74)),"Brandy",
 ISNUMBER(SEARCH("LIQUEUR",C74)),"Liqueurs",
 ISNUMBER(SEARCH("CORDIAL",C74)),"Liqueurs",
 ISNUMBER(SEARCH("SCHNAPP",C74)),"Liqueurs",
 ISNUMBER(SEARCH("GIN",C74)),"Gin",
 TRUE,"Other")</f>
        <v>Rum</v>
      </c>
      <c r="E74" s="5">
        <v>3739</v>
      </c>
      <c r="F74" s="5">
        <v>78246.020000000077</v>
      </c>
      <c r="G74" s="5">
        <v>3148.75</v>
      </c>
      <c r="H74" s="5">
        <v>670</v>
      </c>
    </row>
    <row r="75" spans="1:8">
      <c r="A75" s="5">
        <v>2021</v>
      </c>
      <c r="B75" s="6">
        <v>44409</v>
      </c>
      <c r="C75" s="5" t="s">
        <v>8</v>
      </c>
      <c r="D75" s="3" t="str" cm="1">
        <f t="array" ref="D75">_xlfn.IFS(
 ISNUMBER(SEARCH("WHISK",C75)),"Whiskey",
 ISNUMBER(SEARCH("BOURBON",C75)),"Whiskey",
 ISNUMBER(SEARCH("SCOTCH",C75)),"Whiskey",
 ISNUMBER(SEARCH("RYE",C75)),"Whiskey",
 ISNUMBER(SEARCH("VODKA",C75)),"Vodka",
 ISNUMBER(SEARCH("TEQUILA",C75)),"Tequila/Mezcal",
 ISNUMBER(SEARCH("MEZCAL",C75)),"Tequila/Mezcal",
 ISNUMBER(SEARCH("RUM",C75)),"Rum",
 ISNUMBER(SEARCH("BRAND",C75)),"Brandy",
 ISNUMBER(SEARCH("COGNAC",C75)),"Brandy",
 ISNUMBER(SEARCH("LIQUEUR",C75)),"Liqueurs",
 ISNUMBER(SEARCH("CORDIAL",C75)),"Liqueurs",
 ISNUMBER(SEARCH("SCHNAPP",C75)),"Liqueurs",
 ISNUMBER(SEARCH("GIN",C75)),"Gin",
 TRUE,"Other")</f>
        <v>Brandy</v>
      </c>
      <c r="E75" s="5">
        <v>58911</v>
      </c>
      <c r="F75" s="5">
        <v>386429.90000000078</v>
      </c>
      <c r="G75" s="5">
        <v>30868.569999999698</v>
      </c>
      <c r="H75" s="5">
        <v>5191</v>
      </c>
    </row>
    <row r="76" spans="1:8">
      <c r="A76" s="5">
        <v>2021</v>
      </c>
      <c r="B76" s="6">
        <v>44409</v>
      </c>
      <c r="C76" s="5" t="s">
        <v>11</v>
      </c>
      <c r="D76" s="3" t="str" cm="1">
        <f t="array" ref="D76">_xlfn.IFS(
 ISNUMBER(SEARCH("WHISK",C76)),"Whiskey",
 ISNUMBER(SEARCH("BOURBON",C76)),"Whiskey",
 ISNUMBER(SEARCH("SCOTCH",C76)),"Whiskey",
 ISNUMBER(SEARCH("RYE",C76)),"Whiskey",
 ISNUMBER(SEARCH("VODKA",C76)),"Vodka",
 ISNUMBER(SEARCH("TEQUILA",C76)),"Tequila/Mezcal",
 ISNUMBER(SEARCH("MEZCAL",C76)),"Tequila/Mezcal",
 ISNUMBER(SEARCH("RUM",C76)),"Rum",
 ISNUMBER(SEARCH("BRAND",C76)),"Brandy",
 ISNUMBER(SEARCH("COGNAC",C76)),"Brandy",
 ISNUMBER(SEARCH("LIQUEUR",C76)),"Liqueurs",
 ISNUMBER(SEARCH("CORDIAL",C76)),"Liqueurs",
 ISNUMBER(SEARCH("SCHNAPP",C76)),"Liqueurs",
 ISNUMBER(SEARCH("GIN",C76)),"Gin",
 TRUE,"Other")</f>
        <v>Gin</v>
      </c>
      <c r="E76" s="5">
        <v>38286</v>
      </c>
      <c r="F76" s="5">
        <v>312470.92000000254</v>
      </c>
      <c r="G76" s="5">
        <v>29957.46999999983</v>
      </c>
      <c r="H76" s="5">
        <v>3523</v>
      </c>
    </row>
    <row r="77" spans="1:8">
      <c r="A77" s="5">
        <v>2021</v>
      </c>
      <c r="B77" s="6">
        <v>44409</v>
      </c>
      <c r="C77" s="5" t="s">
        <v>26</v>
      </c>
      <c r="D77" s="3" t="str" cm="1">
        <f t="array" ref="D77">_xlfn.IFS(
 ISNUMBER(SEARCH("WHISK",C77)),"Whiskey",
 ISNUMBER(SEARCH("BOURBON",C77)),"Whiskey",
 ISNUMBER(SEARCH("SCOTCH",C77)),"Whiskey",
 ISNUMBER(SEARCH("RYE",C77)),"Whiskey",
 ISNUMBER(SEARCH("VODKA",C77)),"Vodka",
 ISNUMBER(SEARCH("TEQUILA",C77)),"Tequila/Mezcal",
 ISNUMBER(SEARCH("MEZCAL",C77)),"Tequila/Mezcal",
 ISNUMBER(SEARCH("RUM",C77)),"Rum",
 ISNUMBER(SEARCH("BRAND",C77)),"Brandy",
 ISNUMBER(SEARCH("COGNAC",C77)),"Brandy",
 ISNUMBER(SEARCH("LIQUEUR",C77)),"Liqueurs",
 ISNUMBER(SEARCH("CORDIAL",C77)),"Liqueurs",
 ISNUMBER(SEARCH("SCHNAPP",C77)),"Liqueurs",
 ISNUMBER(SEARCH("GIN",C77)),"Gin",
 TRUE,"Other")</f>
        <v>Brandy</v>
      </c>
      <c r="E77" s="5">
        <v>101325</v>
      </c>
      <c r="F77" s="5">
        <v>2189292.4699998647</v>
      </c>
      <c r="G77" s="5">
        <v>43875.660000001117</v>
      </c>
      <c r="H77" s="5">
        <v>6606</v>
      </c>
    </row>
    <row r="78" spans="1:8">
      <c r="A78" s="5">
        <v>2021</v>
      </c>
      <c r="B78" s="6">
        <v>44409</v>
      </c>
      <c r="C78" s="5" t="s">
        <v>30</v>
      </c>
      <c r="D78" s="3" t="str" cm="1">
        <f t="array" ref="D78">_xlfn.IFS(
 ISNUMBER(SEARCH("WHISK",C78)),"Whiskey",
 ISNUMBER(SEARCH("BOURBON",C78)),"Whiskey",
 ISNUMBER(SEARCH("SCOTCH",C78)),"Whiskey",
 ISNUMBER(SEARCH("RYE",C78)),"Whiskey",
 ISNUMBER(SEARCH("VODKA",C78)),"Vodka",
 ISNUMBER(SEARCH("TEQUILA",C78)),"Tequila/Mezcal",
 ISNUMBER(SEARCH("MEZCAL",C78)),"Tequila/Mezcal",
 ISNUMBER(SEARCH("RUM",C78)),"Rum",
 ISNUMBER(SEARCH("BRAND",C78)),"Brandy",
 ISNUMBER(SEARCH("COGNAC",C78)),"Brandy",
 ISNUMBER(SEARCH("LIQUEUR",C78)),"Liqueurs",
 ISNUMBER(SEARCH("CORDIAL",C78)),"Liqueurs",
 ISNUMBER(SEARCH("SCHNAPP",C78)),"Liqueurs",
 ISNUMBER(SEARCH("GIN",C78)),"Gin",
 TRUE,"Other")</f>
        <v>Vodka</v>
      </c>
      <c r="E78" s="5">
        <v>30590</v>
      </c>
      <c r="F78" s="5">
        <v>502503.45000000187</v>
      </c>
      <c r="G78" s="5">
        <v>22756.920000000002</v>
      </c>
      <c r="H78" s="5">
        <v>3835</v>
      </c>
    </row>
    <row r="79" spans="1:8">
      <c r="A79" s="5">
        <v>2021</v>
      </c>
      <c r="B79" s="6">
        <v>44409</v>
      </c>
      <c r="C79" s="5" t="s">
        <v>33</v>
      </c>
      <c r="D79" s="3" t="str" cm="1">
        <f t="array" ref="D79">_xlfn.IFS(
 ISNUMBER(SEARCH("WHISK",C79)),"Whiskey",
 ISNUMBER(SEARCH("BOURBON",C79)),"Whiskey",
 ISNUMBER(SEARCH("SCOTCH",C79)),"Whiskey",
 ISNUMBER(SEARCH("RYE",C79)),"Whiskey",
 ISNUMBER(SEARCH("VODKA",C79)),"Vodka",
 ISNUMBER(SEARCH("TEQUILA",C79)),"Tequila/Mezcal",
 ISNUMBER(SEARCH("MEZCAL",C79)),"Tequila/Mezcal",
 ISNUMBER(SEARCH("RUM",C79)),"Rum",
 ISNUMBER(SEARCH("BRAND",C79)),"Brandy",
 ISNUMBER(SEARCH("COGNAC",C79)),"Brandy",
 ISNUMBER(SEARCH("LIQUEUR",C79)),"Liqueurs",
 ISNUMBER(SEARCH("CORDIAL",C79)),"Liqueurs",
 ISNUMBER(SEARCH("SCHNAPP",C79)),"Liqueurs",
 ISNUMBER(SEARCH("GIN",C79)),"Gin",
 TRUE,"Other")</f>
        <v>Whiskey</v>
      </c>
      <c r="E79" s="5">
        <v>27250</v>
      </c>
      <c r="F79" s="5">
        <v>700921.16999999527</v>
      </c>
      <c r="G79" s="5">
        <v>22782.899999999998</v>
      </c>
      <c r="H79" s="5">
        <v>2467</v>
      </c>
    </row>
    <row r="80" spans="1:8">
      <c r="A80" s="5">
        <v>2021</v>
      </c>
      <c r="B80" s="6">
        <v>44409</v>
      </c>
      <c r="C80" s="5" t="s">
        <v>36</v>
      </c>
      <c r="D80" s="3" t="str" cm="1">
        <f t="array" ref="D80">_xlfn.IFS(
 ISNUMBER(SEARCH("WHISK",C80)),"Whiskey",
 ISNUMBER(SEARCH("BOURBON",C80)),"Whiskey",
 ISNUMBER(SEARCH("SCOTCH",C80)),"Whiskey",
 ISNUMBER(SEARCH("RYE",C80)),"Whiskey",
 ISNUMBER(SEARCH("VODKA",C80)),"Vodka",
 ISNUMBER(SEARCH("TEQUILA",C80)),"Tequila/Mezcal",
 ISNUMBER(SEARCH("MEZCAL",C80)),"Tequila/Mezcal",
 ISNUMBER(SEARCH("RUM",C80)),"Rum",
 ISNUMBER(SEARCH("BRAND",C80)),"Brandy",
 ISNUMBER(SEARCH("COGNAC",C80)),"Brandy",
 ISNUMBER(SEARCH("LIQUEUR",C80)),"Liqueurs",
 ISNUMBER(SEARCH("CORDIAL",C80)),"Liqueurs",
 ISNUMBER(SEARCH("SCHNAPP",C80)),"Liqueurs",
 ISNUMBER(SEARCH("GIN",C80)),"Gin",
 TRUE,"Other")</f>
        <v>Other</v>
      </c>
      <c r="E80" s="5">
        <v>3327</v>
      </c>
      <c r="F80" s="5">
        <v>45544.69999999999</v>
      </c>
      <c r="G80" s="5">
        <v>2640.25</v>
      </c>
      <c r="H80" s="5">
        <v>379</v>
      </c>
    </row>
    <row r="81" spans="1:8">
      <c r="A81" s="5">
        <v>2021</v>
      </c>
      <c r="B81" s="6">
        <v>44409</v>
      </c>
      <c r="C81" s="5" t="s">
        <v>37</v>
      </c>
      <c r="D81" s="3" t="str" cm="1">
        <f t="array" ref="D81">_xlfn.IFS(
 ISNUMBER(SEARCH("WHISK",C81)),"Whiskey",
 ISNUMBER(SEARCH("BOURBON",C81)),"Whiskey",
 ISNUMBER(SEARCH("SCOTCH",C81)),"Whiskey",
 ISNUMBER(SEARCH("RYE",C81)),"Whiskey",
 ISNUMBER(SEARCH("VODKA",C81)),"Vodka",
 ISNUMBER(SEARCH("TEQUILA",C81)),"Tequila/Mezcal",
 ISNUMBER(SEARCH("MEZCAL",C81)),"Tequila/Mezcal",
 ISNUMBER(SEARCH("RUM",C81)),"Rum",
 ISNUMBER(SEARCH("BRAND",C81)),"Brandy",
 ISNUMBER(SEARCH("COGNAC",C81)),"Brandy",
 ISNUMBER(SEARCH("LIQUEUR",C81)),"Liqueurs",
 ISNUMBER(SEARCH("CORDIAL",C81)),"Liqueurs",
 ISNUMBER(SEARCH("SCHNAPP",C81)),"Liqueurs",
 ISNUMBER(SEARCH("GIN",C81)),"Gin",
 TRUE,"Other")</f>
        <v>Other</v>
      </c>
      <c r="E81" s="5">
        <v>7744</v>
      </c>
      <c r="F81" s="5">
        <v>128774.55000000022</v>
      </c>
      <c r="G81" s="5">
        <v>4550.1000000000067</v>
      </c>
      <c r="H81" s="5">
        <v>1531</v>
      </c>
    </row>
    <row r="82" spans="1:8">
      <c r="A82" s="5">
        <v>2021</v>
      </c>
      <c r="B82" s="6">
        <v>44409</v>
      </c>
      <c r="C82" s="5" t="s">
        <v>39</v>
      </c>
      <c r="D82" s="3" t="str" cm="1">
        <f t="array" ref="D82">_xlfn.IFS(
 ISNUMBER(SEARCH("WHISK",C82)),"Whiskey",
 ISNUMBER(SEARCH("BOURBON",C82)),"Whiskey",
 ISNUMBER(SEARCH("SCOTCH",C82)),"Whiskey",
 ISNUMBER(SEARCH("RYE",C82)),"Whiskey",
 ISNUMBER(SEARCH("VODKA",C82)),"Vodka",
 ISNUMBER(SEARCH("TEQUILA",C82)),"Tequila/Mezcal",
 ISNUMBER(SEARCH("MEZCAL",C82)),"Tequila/Mezcal",
 ISNUMBER(SEARCH("RUM",C82)),"Rum",
 ISNUMBER(SEARCH("BRAND",C82)),"Brandy",
 ISNUMBER(SEARCH("COGNAC",C82)),"Brandy",
 ISNUMBER(SEARCH("LIQUEUR",C82)),"Liqueurs",
 ISNUMBER(SEARCH("CORDIAL",C82)),"Liqueurs",
 ISNUMBER(SEARCH("SCHNAPP",C82)),"Liqueurs",
 ISNUMBER(SEARCH("GIN",C82)),"Gin",
 TRUE,"Other")</f>
        <v>Whiskey</v>
      </c>
      <c r="E82" s="5">
        <v>2859</v>
      </c>
      <c r="F82" s="5">
        <v>100607.10000000011</v>
      </c>
      <c r="G82" s="5">
        <v>2144.25</v>
      </c>
      <c r="H82" s="5">
        <v>398</v>
      </c>
    </row>
    <row r="83" spans="1:8">
      <c r="A83" s="5">
        <v>2021</v>
      </c>
      <c r="B83" s="6">
        <v>44409</v>
      </c>
      <c r="C83" s="5" t="s">
        <v>40</v>
      </c>
      <c r="D83" s="3" t="str" cm="1">
        <f t="array" ref="D83">_xlfn.IFS(
 ISNUMBER(SEARCH("WHISK",C83)),"Whiskey",
 ISNUMBER(SEARCH("BOURBON",C83)),"Whiskey",
 ISNUMBER(SEARCH("SCOTCH",C83)),"Whiskey",
 ISNUMBER(SEARCH("RYE",C83)),"Whiskey",
 ISNUMBER(SEARCH("VODKA",C83)),"Vodka",
 ISNUMBER(SEARCH("TEQUILA",C83)),"Tequila/Mezcal",
 ISNUMBER(SEARCH("MEZCAL",C83)),"Tequila/Mezcal",
 ISNUMBER(SEARCH("RUM",C83)),"Rum",
 ISNUMBER(SEARCH("BRAND",C83)),"Brandy",
 ISNUMBER(SEARCH("COGNAC",C83)),"Brandy",
 ISNUMBER(SEARCH("LIQUEUR",C83)),"Liqueurs",
 ISNUMBER(SEARCH("CORDIAL",C83)),"Liqueurs",
 ISNUMBER(SEARCH("SCHNAPP",C83)),"Liqueurs",
 ISNUMBER(SEARCH("GIN",C83)),"Gin",
 TRUE,"Other")</f>
        <v>Whiskey</v>
      </c>
      <c r="E83" s="5">
        <v>7120</v>
      </c>
      <c r="F83" s="5">
        <v>331782.42999999964</v>
      </c>
      <c r="G83" s="5">
        <v>5653.75</v>
      </c>
      <c r="H83" s="5">
        <v>1646</v>
      </c>
    </row>
    <row r="84" spans="1:8">
      <c r="A84" s="5">
        <v>2021</v>
      </c>
      <c r="B84" s="6">
        <v>44409</v>
      </c>
      <c r="C84" s="5" t="s">
        <v>41</v>
      </c>
      <c r="D84" s="3" t="str" cm="1">
        <f t="array" ref="D84">_xlfn.IFS(
 ISNUMBER(SEARCH("WHISK",C84)),"Whiskey",
 ISNUMBER(SEARCH("BOURBON",C84)),"Whiskey",
 ISNUMBER(SEARCH("SCOTCH",C84)),"Whiskey",
 ISNUMBER(SEARCH("RYE",C84)),"Whiskey",
 ISNUMBER(SEARCH("VODKA",C84)),"Vodka",
 ISNUMBER(SEARCH("TEQUILA",C84)),"Tequila/Mezcal",
 ISNUMBER(SEARCH("MEZCAL",C84)),"Tequila/Mezcal",
 ISNUMBER(SEARCH("RUM",C84)),"Rum",
 ISNUMBER(SEARCH("BRAND",C84)),"Brandy",
 ISNUMBER(SEARCH("COGNAC",C84)),"Brandy",
 ISNUMBER(SEARCH("LIQUEUR",C84)),"Liqueurs",
 ISNUMBER(SEARCH("CORDIAL",C84)),"Liqueurs",
 ISNUMBER(SEARCH("SCHNAPP",C84)),"Liqueurs",
 ISNUMBER(SEARCH("GIN",C84)),"Gin",
 TRUE,"Other")</f>
        <v>Other</v>
      </c>
      <c r="E84" s="5">
        <v>4451</v>
      </c>
      <c r="F84" s="5">
        <v>90922.099999999948</v>
      </c>
      <c r="G84" s="5">
        <v>3623.67</v>
      </c>
      <c r="H84" s="5">
        <v>526</v>
      </c>
    </row>
    <row r="85" spans="1:8">
      <c r="A85" s="5">
        <v>2021</v>
      </c>
      <c r="B85" s="6">
        <v>44409</v>
      </c>
      <c r="C85" s="5" t="s">
        <v>14</v>
      </c>
      <c r="D85" s="3" t="str" cm="1">
        <f t="array" ref="D85">_xlfn.IFS(
 ISNUMBER(SEARCH("WHISK",C85)),"Whiskey",
 ISNUMBER(SEARCH("BOURBON",C85)),"Whiskey",
 ISNUMBER(SEARCH("SCOTCH",C85)),"Whiskey",
 ISNUMBER(SEARCH("RYE",C85)),"Whiskey",
 ISNUMBER(SEARCH("VODKA",C85)),"Vodka",
 ISNUMBER(SEARCH("TEQUILA",C85)),"Tequila/Mezcal",
 ISNUMBER(SEARCH("MEZCAL",C85)),"Tequila/Mezcal",
 ISNUMBER(SEARCH("RUM",C85)),"Rum",
 ISNUMBER(SEARCH("BRAND",C85)),"Brandy",
 ISNUMBER(SEARCH("COGNAC",C85)),"Brandy",
 ISNUMBER(SEARCH("LIQUEUR",C85)),"Liqueurs",
 ISNUMBER(SEARCH("CORDIAL",C85)),"Liqueurs",
 ISNUMBER(SEARCH("SCHNAPP",C85)),"Liqueurs",
 ISNUMBER(SEARCH("GIN",C85)),"Gin",
 TRUE,"Other")</f>
        <v>Gin</v>
      </c>
      <c r="E85" s="5">
        <v>332</v>
      </c>
      <c r="F85" s="5">
        <v>2699.1600000000012</v>
      </c>
      <c r="G85" s="5">
        <v>332</v>
      </c>
      <c r="H85" s="5">
        <v>65</v>
      </c>
    </row>
    <row r="86" spans="1:8">
      <c r="A86" s="5">
        <v>2021</v>
      </c>
      <c r="B86" s="6">
        <v>44409</v>
      </c>
      <c r="C86" s="5" t="s">
        <v>44</v>
      </c>
      <c r="D86" s="3" t="str" cm="1">
        <f t="array" ref="D86">_xlfn.IFS(
 ISNUMBER(SEARCH("WHISK",C86)),"Whiskey",
 ISNUMBER(SEARCH("BOURBON",C86)),"Whiskey",
 ISNUMBER(SEARCH("SCOTCH",C86)),"Whiskey",
 ISNUMBER(SEARCH("RYE",C86)),"Whiskey",
 ISNUMBER(SEARCH("VODKA",C86)),"Vodka",
 ISNUMBER(SEARCH("TEQUILA",C86)),"Tequila/Mezcal",
 ISNUMBER(SEARCH("MEZCAL",C86)),"Tequila/Mezcal",
 ISNUMBER(SEARCH("RUM",C86)),"Rum",
 ISNUMBER(SEARCH("BRAND",C86)),"Brandy",
 ISNUMBER(SEARCH("COGNAC",C86)),"Brandy",
 ISNUMBER(SEARCH("LIQUEUR",C86)),"Liqueurs",
 ISNUMBER(SEARCH("CORDIAL",C86)),"Liqueurs",
 ISNUMBER(SEARCH("SCHNAPP",C86)),"Liqueurs",
 ISNUMBER(SEARCH("GIN",C86)),"Gin",
 TRUE,"Other")</f>
        <v>Whiskey</v>
      </c>
      <c r="E86" s="5">
        <v>13185</v>
      </c>
      <c r="F86" s="5">
        <v>393051.11000000243</v>
      </c>
      <c r="G86" s="5">
        <v>9819.2799999999988</v>
      </c>
      <c r="H86" s="5">
        <v>1722</v>
      </c>
    </row>
    <row r="87" spans="1:8">
      <c r="A87" s="5">
        <v>2021</v>
      </c>
      <c r="B87" s="6">
        <v>44409</v>
      </c>
      <c r="C87" s="5" t="s">
        <v>23</v>
      </c>
      <c r="D87" s="3" t="str" cm="1">
        <f t="array" ref="D87">_xlfn.IFS(
 ISNUMBER(SEARCH("WHISK",C87)),"Whiskey",
 ISNUMBER(SEARCH("BOURBON",C87)),"Whiskey",
 ISNUMBER(SEARCH("SCOTCH",C87)),"Whiskey",
 ISNUMBER(SEARCH("RYE",C87)),"Whiskey",
 ISNUMBER(SEARCH("VODKA",C87)),"Vodka",
 ISNUMBER(SEARCH("TEQUILA",C87)),"Tequila/Mezcal",
 ISNUMBER(SEARCH("MEZCAL",C87)),"Tequila/Mezcal",
 ISNUMBER(SEARCH("RUM",C87)),"Rum",
 ISNUMBER(SEARCH("BRAND",C87)),"Brandy",
 ISNUMBER(SEARCH("COGNAC",C87)),"Brandy",
 ISNUMBER(SEARCH("LIQUEUR",C87)),"Liqueurs",
 ISNUMBER(SEARCH("CORDIAL",C87)),"Liqueurs",
 ISNUMBER(SEARCH("SCHNAPP",C87)),"Liqueurs",
 ISNUMBER(SEARCH("GIN",C87)),"Gin",
 TRUE,"Other")</f>
        <v>Gin</v>
      </c>
      <c r="E87" s="5">
        <v>1545</v>
      </c>
      <c r="F87" s="5">
        <v>28182.419999999991</v>
      </c>
      <c r="G87" s="5">
        <v>1135.8499999999995</v>
      </c>
      <c r="H87" s="5">
        <v>191</v>
      </c>
    </row>
    <row r="88" spans="1:8">
      <c r="A88" s="5">
        <v>2021</v>
      </c>
      <c r="B88" s="6">
        <v>44409</v>
      </c>
      <c r="C88" s="5" t="s">
        <v>28</v>
      </c>
      <c r="D88" s="3" t="str" cm="1">
        <f t="array" ref="D88">_xlfn.IFS(
 ISNUMBER(SEARCH("WHISK",C88)),"Whiskey",
 ISNUMBER(SEARCH("BOURBON",C88)),"Whiskey",
 ISNUMBER(SEARCH("SCOTCH",C88)),"Whiskey",
 ISNUMBER(SEARCH("RYE",C88)),"Whiskey",
 ISNUMBER(SEARCH("VODKA",C88)),"Vodka",
 ISNUMBER(SEARCH("TEQUILA",C88)),"Tequila/Mezcal",
 ISNUMBER(SEARCH("MEZCAL",C88)),"Tequila/Mezcal",
 ISNUMBER(SEARCH("RUM",C88)),"Rum",
 ISNUMBER(SEARCH("BRAND",C88)),"Brandy",
 ISNUMBER(SEARCH("COGNAC",C88)),"Brandy",
 ISNUMBER(SEARCH("LIQUEUR",C88)),"Liqueurs",
 ISNUMBER(SEARCH("CORDIAL",C88)),"Liqueurs",
 ISNUMBER(SEARCH("SCHNAPP",C88)),"Liqueurs",
 ISNUMBER(SEARCH("GIN",C88)),"Gin",
 TRUE,"Other")</f>
        <v>Other</v>
      </c>
      <c r="E88" s="5">
        <v>25735</v>
      </c>
      <c r="F88" s="5">
        <v>202685.63999999969</v>
      </c>
      <c r="G88" s="5">
        <v>25543.360000000001</v>
      </c>
      <c r="H88" s="5">
        <v>256</v>
      </c>
    </row>
    <row r="89" spans="1:8">
      <c r="A89" s="5">
        <v>2021</v>
      </c>
      <c r="B89" s="6">
        <v>44409</v>
      </c>
      <c r="C89" s="5" t="s">
        <v>21</v>
      </c>
      <c r="D89" s="3" t="str" cm="1">
        <f t="array" ref="D89">_xlfn.IFS(
 ISNUMBER(SEARCH("WHISK",C89)),"Whiskey",
 ISNUMBER(SEARCH("BOURBON",C89)),"Whiskey",
 ISNUMBER(SEARCH("SCOTCH",C89)),"Whiskey",
 ISNUMBER(SEARCH("RYE",C89)),"Whiskey",
 ISNUMBER(SEARCH("VODKA",C89)),"Vodka",
 ISNUMBER(SEARCH("TEQUILA",C89)),"Tequila/Mezcal",
 ISNUMBER(SEARCH("MEZCAL",C89)),"Tequila/Mezcal",
 ISNUMBER(SEARCH("RUM",C89)),"Rum",
 ISNUMBER(SEARCH("BRAND",C89)),"Brandy",
 ISNUMBER(SEARCH("COGNAC",C89)),"Brandy",
 ISNUMBER(SEARCH("LIQUEUR",C89)),"Liqueurs",
 ISNUMBER(SEARCH("CORDIAL",C89)),"Liqueurs",
 ISNUMBER(SEARCH("SCHNAPP",C89)),"Liqueurs",
 ISNUMBER(SEARCH("GIN",C89)),"Gin",
 TRUE,"Other")</f>
        <v>Whiskey</v>
      </c>
      <c r="E89" s="5">
        <v>1247</v>
      </c>
      <c r="F89" s="5">
        <v>40264.860000000008</v>
      </c>
      <c r="G89" s="5">
        <v>933.15</v>
      </c>
      <c r="H89" s="5">
        <v>151</v>
      </c>
    </row>
    <row r="90" spans="1:8">
      <c r="A90" s="5">
        <v>2021</v>
      </c>
      <c r="B90" s="6">
        <v>44409</v>
      </c>
      <c r="C90" s="5" t="s">
        <v>34</v>
      </c>
      <c r="D90" s="3" t="str" cm="1">
        <f t="array" ref="D90">_xlfn.IFS(
 ISNUMBER(SEARCH("WHISK",C90)),"Whiskey",
 ISNUMBER(SEARCH("BOURBON",C90)),"Whiskey",
 ISNUMBER(SEARCH("SCOTCH",C90)),"Whiskey",
 ISNUMBER(SEARCH("RYE",C90)),"Whiskey",
 ISNUMBER(SEARCH("VODKA",C90)),"Vodka",
 ISNUMBER(SEARCH("TEQUILA",C90)),"Tequila/Mezcal",
 ISNUMBER(SEARCH("MEZCAL",C90)),"Tequila/Mezcal",
 ISNUMBER(SEARCH("RUM",C90)),"Rum",
 ISNUMBER(SEARCH("BRAND",C90)),"Brandy",
 ISNUMBER(SEARCH("COGNAC",C90)),"Brandy",
 ISNUMBER(SEARCH("LIQUEUR",C90)),"Liqueurs",
 ISNUMBER(SEARCH("CORDIAL",C90)),"Liqueurs",
 ISNUMBER(SEARCH("SCHNAPP",C90)),"Liqueurs",
 ISNUMBER(SEARCH("GIN",C90)),"Gin",
 TRUE,"Other")</f>
        <v>Tequila/Mezcal</v>
      </c>
      <c r="E90" s="5">
        <v>1380</v>
      </c>
      <c r="F90" s="5">
        <v>49452.609999999993</v>
      </c>
      <c r="G90" s="5">
        <v>1035</v>
      </c>
      <c r="H90" s="5">
        <v>293</v>
      </c>
    </row>
    <row r="91" spans="1:8">
      <c r="A91" s="5">
        <v>2021</v>
      </c>
      <c r="B91" s="6">
        <v>44409</v>
      </c>
      <c r="C91" s="5" t="s">
        <v>51</v>
      </c>
      <c r="D91" s="3" t="str" cm="1">
        <f t="array" ref="D91">_xlfn.IFS(
 ISNUMBER(SEARCH("WHISK",C91)),"Whiskey",
 ISNUMBER(SEARCH("BOURBON",C91)),"Whiskey",
 ISNUMBER(SEARCH("SCOTCH",C91)),"Whiskey",
 ISNUMBER(SEARCH("RYE",C91)),"Whiskey",
 ISNUMBER(SEARCH("VODKA",C91)),"Vodka",
 ISNUMBER(SEARCH("TEQUILA",C91)),"Tequila/Mezcal",
 ISNUMBER(SEARCH("MEZCAL",C91)),"Tequila/Mezcal",
 ISNUMBER(SEARCH("RUM",C91)),"Rum",
 ISNUMBER(SEARCH("BRAND",C91)),"Brandy",
 ISNUMBER(SEARCH("COGNAC",C91)),"Brandy",
 ISNUMBER(SEARCH("LIQUEUR",C91)),"Liqueurs",
 ISNUMBER(SEARCH("CORDIAL",C91)),"Liqueurs",
 ISNUMBER(SEARCH("SCHNAPP",C91)),"Liqueurs",
 ISNUMBER(SEARCH("GIN",C91)),"Gin",
 TRUE,"Other")</f>
        <v>Other</v>
      </c>
      <c r="E91" s="5">
        <v>24</v>
      </c>
      <c r="F91" s="5">
        <v>840</v>
      </c>
      <c r="G91" s="5">
        <v>18</v>
      </c>
      <c r="H91" s="5">
        <v>11</v>
      </c>
    </row>
    <row r="92" spans="1:8">
      <c r="A92" s="5">
        <v>2021</v>
      </c>
      <c r="B92" s="6">
        <v>44440</v>
      </c>
      <c r="C92" s="5" t="s">
        <v>12</v>
      </c>
      <c r="D92" s="3" t="str" cm="1">
        <f t="array" ref="D92">_xlfn.IFS(
 ISNUMBER(SEARCH("WHISK",C92)),"Whiskey",
 ISNUMBER(SEARCH("BOURBON",C92)),"Whiskey",
 ISNUMBER(SEARCH("SCOTCH",C92)),"Whiskey",
 ISNUMBER(SEARCH("RYE",C92)),"Whiskey",
 ISNUMBER(SEARCH("VODKA",C92)),"Vodka",
 ISNUMBER(SEARCH("TEQUILA",C92)),"Tequila/Mezcal",
 ISNUMBER(SEARCH("MEZCAL",C92)),"Tequila/Mezcal",
 ISNUMBER(SEARCH("RUM",C92)),"Rum",
 ISNUMBER(SEARCH("BRAND",C92)),"Brandy",
 ISNUMBER(SEARCH("COGNAC",C92)),"Brandy",
 ISNUMBER(SEARCH("LIQUEUR",C92)),"Liqueurs",
 ISNUMBER(SEARCH("CORDIAL",C92)),"Liqueurs",
 ISNUMBER(SEARCH("SCHNAPP",C92)),"Liqueurs",
 ISNUMBER(SEARCH("GIN",C92)),"Gin",
 TRUE,"Other")</f>
        <v>Vodka</v>
      </c>
      <c r="E92" s="5">
        <v>82273</v>
      </c>
      <c r="F92" s="5">
        <v>880855.06000003591</v>
      </c>
      <c r="G92" s="5">
        <v>59346.61000000019</v>
      </c>
      <c r="H92" s="5">
        <v>9657</v>
      </c>
    </row>
    <row r="93" spans="1:8">
      <c r="A93" s="5">
        <v>2021</v>
      </c>
      <c r="B93" s="6">
        <v>44440</v>
      </c>
      <c r="C93" s="5" t="s">
        <v>15</v>
      </c>
      <c r="D93" s="3" t="str" cm="1">
        <f t="array" ref="D93">_xlfn.IFS(
 ISNUMBER(SEARCH("WHISK",C93)),"Whiskey",
 ISNUMBER(SEARCH("BOURBON",C93)),"Whiskey",
 ISNUMBER(SEARCH("SCOTCH",C93)),"Whiskey",
 ISNUMBER(SEARCH("RYE",C93)),"Whiskey",
 ISNUMBER(SEARCH("VODKA",C93)),"Vodka",
 ISNUMBER(SEARCH("TEQUILA",C93)),"Tequila/Mezcal",
 ISNUMBER(SEARCH("MEZCAL",C93)),"Tequila/Mezcal",
 ISNUMBER(SEARCH("RUM",C93)),"Rum",
 ISNUMBER(SEARCH("BRAND",C93)),"Brandy",
 ISNUMBER(SEARCH("COGNAC",C93)),"Brandy",
 ISNUMBER(SEARCH("LIQUEUR",C93)),"Liqueurs",
 ISNUMBER(SEARCH("CORDIAL",C93)),"Liqueurs",
 ISNUMBER(SEARCH("SCHNAPP",C93)),"Liqueurs",
 ISNUMBER(SEARCH("GIN",C93)),"Gin",
 TRUE,"Other")</f>
        <v>Vodka</v>
      </c>
      <c r="E93" s="5">
        <v>519128</v>
      </c>
      <c r="F93" s="5">
        <v>5040888.1799997119</v>
      </c>
      <c r="G93" s="5">
        <v>480073.55999997852</v>
      </c>
      <c r="H93" s="5">
        <v>33123</v>
      </c>
    </row>
    <row r="94" spans="1:8">
      <c r="A94" s="5">
        <v>2021</v>
      </c>
      <c r="B94" s="6">
        <v>44440</v>
      </c>
      <c r="C94" s="5" t="s">
        <v>18</v>
      </c>
      <c r="D94" s="3" t="str" cm="1">
        <f t="array" ref="D94">_xlfn.IFS(
 ISNUMBER(SEARCH("WHISK",C94)),"Whiskey",
 ISNUMBER(SEARCH("BOURBON",C94)),"Whiskey",
 ISNUMBER(SEARCH("SCOTCH",C94)),"Whiskey",
 ISNUMBER(SEARCH("RYE",C94)),"Whiskey",
 ISNUMBER(SEARCH("VODKA",C94)),"Vodka",
 ISNUMBER(SEARCH("TEQUILA",C94)),"Tequila/Mezcal",
 ISNUMBER(SEARCH("MEZCAL",C94)),"Tequila/Mezcal",
 ISNUMBER(SEARCH("RUM",C94)),"Rum",
 ISNUMBER(SEARCH("BRAND",C94)),"Brandy",
 ISNUMBER(SEARCH("COGNAC",C94)),"Brandy",
 ISNUMBER(SEARCH("LIQUEUR",C94)),"Liqueurs",
 ISNUMBER(SEARCH("CORDIAL",C94)),"Liqueurs",
 ISNUMBER(SEARCH("SCHNAPP",C94)),"Liqueurs",
 ISNUMBER(SEARCH("GIN",C94)),"Gin",
 TRUE,"Other")</f>
        <v>Whiskey</v>
      </c>
      <c r="E94" s="5">
        <v>254529</v>
      </c>
      <c r="F94" s="5">
        <v>3990895.2600001791</v>
      </c>
      <c r="G94" s="5">
        <v>254213.33999999717</v>
      </c>
      <c r="H94" s="5">
        <v>19488</v>
      </c>
    </row>
    <row r="95" spans="1:8">
      <c r="A95" s="5">
        <v>2021</v>
      </c>
      <c r="B95" s="6">
        <v>44440</v>
      </c>
      <c r="C95" s="5" t="s">
        <v>24</v>
      </c>
      <c r="D95" s="3" t="str" cm="1">
        <f t="array" ref="D95">_xlfn.IFS(
 ISNUMBER(SEARCH("WHISK",C95)),"Whiskey",
 ISNUMBER(SEARCH("BOURBON",C95)),"Whiskey",
 ISNUMBER(SEARCH("SCOTCH",C95)),"Whiskey",
 ISNUMBER(SEARCH("RYE",C95)),"Whiskey",
 ISNUMBER(SEARCH("VODKA",C95)),"Vodka",
 ISNUMBER(SEARCH("TEQUILA",C95)),"Tequila/Mezcal",
 ISNUMBER(SEARCH("MEZCAL",C95)),"Tequila/Mezcal",
 ISNUMBER(SEARCH("RUM",C95)),"Rum",
 ISNUMBER(SEARCH("BRAND",C95)),"Brandy",
 ISNUMBER(SEARCH("COGNAC",C95)),"Brandy",
 ISNUMBER(SEARCH("LIQUEUR",C95)),"Liqueurs",
 ISNUMBER(SEARCH("CORDIAL",C95)),"Liqueurs",
 ISNUMBER(SEARCH("SCHNAPP",C95)),"Liqueurs",
 ISNUMBER(SEARCH("GIN",C95)),"Gin",
 TRUE,"Other")</f>
        <v>Rum</v>
      </c>
      <c r="E95" s="5">
        <v>50298</v>
      </c>
      <c r="F95" s="5">
        <v>716094.24000000034</v>
      </c>
      <c r="G95" s="5">
        <v>47034.369999999893</v>
      </c>
      <c r="H95" s="5">
        <v>4965</v>
      </c>
    </row>
    <row r="96" spans="1:8">
      <c r="A96" s="5">
        <v>2021</v>
      </c>
      <c r="B96" s="6">
        <v>44440</v>
      </c>
      <c r="C96" s="5" t="s">
        <v>60</v>
      </c>
      <c r="D96" s="3" t="str" cm="1">
        <f t="array" ref="D96">_xlfn.IFS(
 ISNUMBER(SEARCH("WHISK",C96)),"Whiskey",
 ISNUMBER(SEARCH("BOURBON",C96)),"Whiskey",
 ISNUMBER(SEARCH("SCOTCH",C96)),"Whiskey",
 ISNUMBER(SEARCH("RYE",C96)),"Whiskey",
 ISNUMBER(SEARCH("VODKA",C96)),"Vodka",
 ISNUMBER(SEARCH("TEQUILA",C96)),"Tequila/Mezcal",
 ISNUMBER(SEARCH("MEZCAL",C96)),"Tequila/Mezcal",
 ISNUMBER(SEARCH("RUM",C96)),"Rum",
 ISNUMBER(SEARCH("BRAND",C96)),"Brandy",
 ISNUMBER(SEARCH("COGNAC",C96)),"Brandy",
 ISNUMBER(SEARCH("LIQUEUR",C96)),"Liqueurs",
 ISNUMBER(SEARCH("CORDIAL",C96)),"Liqueurs",
 ISNUMBER(SEARCH("SCHNAPP",C96)),"Liqueurs",
 ISNUMBER(SEARCH("GIN",C96)),"Gin",
 TRUE,"Other")</f>
        <v>Liqueurs</v>
      </c>
      <c r="E96" s="5">
        <v>43602</v>
      </c>
      <c r="F96" s="5">
        <v>928942.13000000024</v>
      </c>
      <c r="G96" s="5">
        <v>30622.899999999849</v>
      </c>
      <c r="H96" s="5">
        <v>4812</v>
      </c>
    </row>
    <row r="97" spans="1:8">
      <c r="A97" s="5">
        <v>2021</v>
      </c>
      <c r="B97" s="6">
        <v>44440</v>
      </c>
      <c r="C97" s="5" t="s">
        <v>38</v>
      </c>
      <c r="D97" s="3" t="str" cm="1">
        <f t="array" ref="D97">_xlfn.IFS(
 ISNUMBER(SEARCH("WHISK",C97)),"Whiskey",
 ISNUMBER(SEARCH("BOURBON",C97)),"Whiskey",
 ISNUMBER(SEARCH("SCOTCH",C97)),"Whiskey",
 ISNUMBER(SEARCH("RYE",C97)),"Whiskey",
 ISNUMBER(SEARCH("VODKA",C97)),"Vodka",
 ISNUMBER(SEARCH("TEQUILA",C97)),"Tequila/Mezcal",
 ISNUMBER(SEARCH("MEZCAL",C97)),"Tequila/Mezcal",
 ISNUMBER(SEARCH("RUM",C97)),"Rum",
 ISNUMBER(SEARCH("BRAND",C97)),"Brandy",
 ISNUMBER(SEARCH("COGNAC",C97)),"Brandy",
 ISNUMBER(SEARCH("LIQUEUR",C97)),"Liqueurs",
 ISNUMBER(SEARCH("CORDIAL",C97)),"Liqueurs",
 ISNUMBER(SEARCH("SCHNAPP",C97)),"Liqueurs",
 ISNUMBER(SEARCH("GIN",C97)),"Gin",
 TRUE,"Other")</f>
        <v>Whiskey</v>
      </c>
      <c r="E97" s="5">
        <v>19073</v>
      </c>
      <c r="F97" s="5">
        <v>523714.53999999899</v>
      </c>
      <c r="G97" s="5">
        <v>19960.14</v>
      </c>
      <c r="H97" s="5">
        <v>2891</v>
      </c>
    </row>
    <row r="98" spans="1:8">
      <c r="A98" s="5">
        <v>2021</v>
      </c>
      <c r="B98" s="6">
        <v>44440</v>
      </c>
      <c r="C98" s="5" t="s">
        <v>42</v>
      </c>
      <c r="D98" s="3" t="str" cm="1">
        <f t="array" ref="D98">_xlfn.IFS(
 ISNUMBER(SEARCH("WHISK",C98)),"Whiskey",
 ISNUMBER(SEARCH("BOURBON",C98)),"Whiskey",
 ISNUMBER(SEARCH("SCOTCH",C98)),"Whiskey",
 ISNUMBER(SEARCH("RYE",C98)),"Whiskey",
 ISNUMBER(SEARCH("VODKA",C98)),"Vodka",
 ISNUMBER(SEARCH("TEQUILA",C98)),"Tequila/Mezcal",
 ISNUMBER(SEARCH("MEZCAL",C98)),"Tequila/Mezcal",
 ISNUMBER(SEARCH("RUM",C98)),"Rum",
 ISNUMBER(SEARCH("BRAND",C98)),"Brandy",
 ISNUMBER(SEARCH("COGNAC",C98)),"Brandy",
 ISNUMBER(SEARCH("LIQUEUR",C98)),"Liqueurs",
 ISNUMBER(SEARCH("CORDIAL",C98)),"Liqueurs",
 ISNUMBER(SEARCH("SCHNAPP",C98)),"Liqueurs",
 ISNUMBER(SEARCH("GIN",C98)),"Gin",
 TRUE,"Other")</f>
        <v>Rum</v>
      </c>
      <c r="E98" s="5">
        <v>130859</v>
      </c>
      <c r="F98" s="5">
        <v>2121668.3599999961</v>
      </c>
      <c r="G98" s="5">
        <v>138341.48000000071</v>
      </c>
      <c r="H98" s="5">
        <v>9498</v>
      </c>
    </row>
    <row r="99" spans="1:8">
      <c r="A99" s="5">
        <v>2021</v>
      </c>
      <c r="B99" s="6">
        <v>44440</v>
      </c>
      <c r="C99" s="5" t="s">
        <v>43</v>
      </c>
      <c r="D99" s="3" t="str" cm="1">
        <f t="array" ref="D99">_xlfn.IFS(
 ISNUMBER(SEARCH("WHISK",C99)),"Whiskey",
 ISNUMBER(SEARCH("BOURBON",C99)),"Whiskey",
 ISNUMBER(SEARCH("SCOTCH",C99)),"Whiskey",
 ISNUMBER(SEARCH("RYE",C99)),"Whiskey",
 ISNUMBER(SEARCH("VODKA",C99)),"Vodka",
 ISNUMBER(SEARCH("TEQUILA",C99)),"Tequila/Mezcal",
 ISNUMBER(SEARCH("MEZCAL",C99)),"Tequila/Mezcal",
 ISNUMBER(SEARCH("RUM",C99)),"Rum",
 ISNUMBER(SEARCH("BRAND",C99)),"Brandy",
 ISNUMBER(SEARCH("COGNAC",C99)),"Brandy",
 ISNUMBER(SEARCH("LIQUEUR",C99)),"Liqueurs",
 ISNUMBER(SEARCH("CORDIAL",C99)),"Liqueurs",
 ISNUMBER(SEARCH("SCHNAPP",C99)),"Liqueurs",
 ISNUMBER(SEARCH("GIN",C99)),"Gin",
 TRUE,"Other")</f>
        <v>Whiskey</v>
      </c>
      <c r="E99" s="5">
        <v>139911</v>
      </c>
      <c r="F99" s="5">
        <v>2895192.8800000264</v>
      </c>
      <c r="G99" s="5">
        <v>110774.93000000199</v>
      </c>
      <c r="H99" s="5">
        <v>15297</v>
      </c>
    </row>
    <row r="100" spans="1:8">
      <c r="A100" s="5">
        <v>2021</v>
      </c>
      <c r="B100" s="6">
        <v>44440</v>
      </c>
      <c r="C100" s="5" t="s">
        <v>46</v>
      </c>
      <c r="D100" s="3" t="str" cm="1">
        <f t="array" ref="D100">_xlfn.IFS(
 ISNUMBER(SEARCH("WHISK",C100)),"Whiskey",
 ISNUMBER(SEARCH("BOURBON",C100)),"Whiskey",
 ISNUMBER(SEARCH("SCOTCH",C100)),"Whiskey",
 ISNUMBER(SEARCH("RYE",C100)),"Whiskey",
 ISNUMBER(SEARCH("VODKA",C100)),"Vodka",
 ISNUMBER(SEARCH("TEQUILA",C100)),"Tequila/Mezcal",
 ISNUMBER(SEARCH("MEZCAL",C100)),"Tequila/Mezcal",
 ISNUMBER(SEARCH("RUM",C100)),"Rum",
 ISNUMBER(SEARCH("BRAND",C100)),"Brandy",
 ISNUMBER(SEARCH("COGNAC",C100)),"Brandy",
 ISNUMBER(SEARCH("LIQUEUR",C100)),"Liqueurs",
 ISNUMBER(SEARCH("CORDIAL",C100)),"Liqueurs",
 ISNUMBER(SEARCH("SCHNAPP",C100)),"Liqueurs",
 ISNUMBER(SEARCH("GIN",C100)),"Gin",
 TRUE,"Other")</f>
        <v>Whiskey</v>
      </c>
      <c r="E100" s="5">
        <v>58714</v>
      </c>
      <c r="F100" s="5">
        <v>1393965.0300000154</v>
      </c>
      <c r="G100" s="5">
        <v>46463.149999999827</v>
      </c>
      <c r="H100" s="5">
        <v>5556</v>
      </c>
    </row>
    <row r="101" spans="1:8">
      <c r="A101" s="5">
        <v>2021</v>
      </c>
      <c r="B101" s="6">
        <v>44440</v>
      </c>
      <c r="C101" s="5" t="s">
        <v>45</v>
      </c>
      <c r="D101" s="3" t="str" cm="1">
        <f t="array" ref="D101">_xlfn.IFS(
 ISNUMBER(SEARCH("WHISK",C101)),"Whiskey",
 ISNUMBER(SEARCH("BOURBON",C101)),"Whiskey",
 ISNUMBER(SEARCH("SCOTCH",C101)),"Whiskey",
 ISNUMBER(SEARCH("RYE",C101)),"Whiskey",
 ISNUMBER(SEARCH("VODKA",C101)),"Vodka",
 ISNUMBER(SEARCH("TEQUILA",C101)),"Tequila/Mezcal",
 ISNUMBER(SEARCH("MEZCAL",C101)),"Tequila/Mezcal",
 ISNUMBER(SEARCH("RUM",C101)),"Rum",
 ISNUMBER(SEARCH("BRAND",C101)),"Brandy",
 ISNUMBER(SEARCH("COGNAC",C101)),"Brandy",
 ISNUMBER(SEARCH("LIQUEUR",C101)),"Liqueurs",
 ISNUMBER(SEARCH("CORDIAL",C101)),"Liqueurs",
 ISNUMBER(SEARCH("SCHNAPP",C101)),"Liqueurs",
 ISNUMBER(SEARCH("GIN",C101)),"Gin",
 TRUE,"Other")</f>
        <v>Other</v>
      </c>
      <c r="E101" s="5">
        <v>52944</v>
      </c>
      <c r="F101" s="5">
        <v>1364213.1099999938</v>
      </c>
      <c r="G101" s="5">
        <v>36364.809999999277</v>
      </c>
      <c r="H101" s="5">
        <v>7331</v>
      </c>
    </row>
    <row r="102" spans="1:8">
      <c r="A102" s="5">
        <v>2021</v>
      </c>
      <c r="B102" s="6">
        <v>44440</v>
      </c>
      <c r="C102" s="5" t="s">
        <v>21</v>
      </c>
      <c r="D102" s="3" t="str" cm="1">
        <f t="array" ref="D102">_xlfn.IFS(
 ISNUMBER(SEARCH("WHISK",C102)),"Whiskey",
 ISNUMBER(SEARCH("BOURBON",C102)),"Whiskey",
 ISNUMBER(SEARCH("SCOTCH",C102)),"Whiskey",
 ISNUMBER(SEARCH("RYE",C102)),"Whiskey",
 ISNUMBER(SEARCH("VODKA",C102)),"Vodka",
 ISNUMBER(SEARCH("TEQUILA",C102)),"Tequila/Mezcal",
 ISNUMBER(SEARCH("MEZCAL",C102)),"Tequila/Mezcal",
 ISNUMBER(SEARCH("RUM",C102)),"Rum",
 ISNUMBER(SEARCH("BRAND",C102)),"Brandy",
 ISNUMBER(SEARCH("COGNAC",C102)),"Brandy",
 ISNUMBER(SEARCH("LIQUEUR",C102)),"Liqueurs",
 ISNUMBER(SEARCH("CORDIAL",C102)),"Liqueurs",
 ISNUMBER(SEARCH("SCHNAPP",C102)),"Liqueurs",
 ISNUMBER(SEARCH("GIN",C102)),"Gin",
 TRUE,"Other")</f>
        <v>Whiskey</v>
      </c>
      <c r="E102" s="5">
        <v>2428</v>
      </c>
      <c r="F102" s="5">
        <v>88530.569999999963</v>
      </c>
      <c r="G102" s="5">
        <v>1821</v>
      </c>
      <c r="H102" s="5">
        <v>138</v>
      </c>
    </row>
    <row r="103" spans="1:8">
      <c r="A103" s="5">
        <v>2021</v>
      </c>
      <c r="B103" s="6">
        <v>44440</v>
      </c>
      <c r="C103" s="5" t="s">
        <v>11</v>
      </c>
      <c r="D103" s="3" t="str" cm="1">
        <f t="array" ref="D103">_xlfn.IFS(
 ISNUMBER(SEARCH("WHISK",C103)),"Whiskey",
 ISNUMBER(SEARCH("BOURBON",C103)),"Whiskey",
 ISNUMBER(SEARCH("SCOTCH",C103)),"Whiskey",
 ISNUMBER(SEARCH("RYE",C103)),"Whiskey",
 ISNUMBER(SEARCH("VODKA",C103)),"Vodka",
 ISNUMBER(SEARCH("TEQUILA",C103)),"Tequila/Mezcal",
 ISNUMBER(SEARCH("MEZCAL",C103)),"Tequila/Mezcal",
 ISNUMBER(SEARCH("RUM",C103)),"Rum",
 ISNUMBER(SEARCH("BRAND",C103)),"Brandy",
 ISNUMBER(SEARCH("COGNAC",C103)),"Brandy",
 ISNUMBER(SEARCH("LIQUEUR",C103)),"Liqueurs",
 ISNUMBER(SEARCH("CORDIAL",C103)),"Liqueurs",
 ISNUMBER(SEARCH("SCHNAPP",C103)),"Liqueurs",
 ISNUMBER(SEARCH("GIN",C103)),"Gin",
 TRUE,"Other")</f>
        <v>Gin</v>
      </c>
      <c r="E103" s="5">
        <v>37200</v>
      </c>
      <c r="F103" s="5">
        <v>305724.85000000289</v>
      </c>
      <c r="G103" s="5">
        <v>28308.699999999848</v>
      </c>
      <c r="H103" s="5">
        <v>3615</v>
      </c>
    </row>
    <row r="104" spans="1:8">
      <c r="A104" s="5">
        <v>2021</v>
      </c>
      <c r="B104" s="6">
        <v>44440</v>
      </c>
      <c r="C104" s="5" t="s">
        <v>13</v>
      </c>
      <c r="D104" s="3" t="str" cm="1">
        <f t="array" ref="D104">_xlfn.IFS(
 ISNUMBER(SEARCH("WHISK",C104)),"Whiskey",
 ISNUMBER(SEARCH("BOURBON",C104)),"Whiskey",
 ISNUMBER(SEARCH("SCOTCH",C104)),"Whiskey",
 ISNUMBER(SEARCH("RYE",C104)),"Whiskey",
 ISNUMBER(SEARCH("VODKA",C104)),"Vodka",
 ISNUMBER(SEARCH("TEQUILA",C104)),"Tequila/Mezcal",
 ISNUMBER(SEARCH("MEZCAL",C104)),"Tequila/Mezcal",
 ISNUMBER(SEARCH("RUM",C104)),"Rum",
 ISNUMBER(SEARCH("BRAND",C104)),"Brandy",
 ISNUMBER(SEARCH("COGNAC",C104)),"Brandy",
 ISNUMBER(SEARCH("LIQUEUR",C104)),"Liqueurs",
 ISNUMBER(SEARCH("CORDIAL",C104)),"Liqueurs",
 ISNUMBER(SEARCH("SCHNAPP",C104)),"Liqueurs",
 ISNUMBER(SEARCH("GIN",C104)),"Gin",
 TRUE,"Other")</f>
        <v>Liqueurs</v>
      </c>
      <c r="E104" s="5">
        <v>60509</v>
      </c>
      <c r="F104" s="5">
        <v>503001.13999998925</v>
      </c>
      <c r="G104" s="5">
        <v>40411.799999999908</v>
      </c>
      <c r="H104" s="5">
        <v>6481</v>
      </c>
    </row>
    <row r="105" spans="1:8">
      <c r="A105" s="5">
        <v>2021</v>
      </c>
      <c r="B105" s="6">
        <v>44440</v>
      </c>
      <c r="C105" s="5" t="s">
        <v>16</v>
      </c>
      <c r="D105" s="3" t="str" cm="1">
        <f t="array" ref="D105">_xlfn.IFS(
 ISNUMBER(SEARCH("WHISK",C105)),"Whiskey",
 ISNUMBER(SEARCH("BOURBON",C105)),"Whiskey",
 ISNUMBER(SEARCH("SCOTCH",C105)),"Whiskey",
 ISNUMBER(SEARCH("RYE",C105)),"Whiskey",
 ISNUMBER(SEARCH("VODKA",C105)),"Vodka",
 ISNUMBER(SEARCH("TEQUILA",C105)),"Tequila/Mezcal",
 ISNUMBER(SEARCH("MEZCAL",C105)),"Tequila/Mezcal",
 ISNUMBER(SEARCH("RUM",C105)),"Rum",
 ISNUMBER(SEARCH("BRAND",C105)),"Brandy",
 ISNUMBER(SEARCH("COGNAC",C105)),"Brandy",
 ISNUMBER(SEARCH("LIQUEUR",C105)),"Liqueurs",
 ISNUMBER(SEARCH("CORDIAL",C105)),"Liqueurs",
 ISNUMBER(SEARCH("SCHNAPP",C105)),"Liqueurs",
 ISNUMBER(SEARCH("GIN",C105)),"Gin",
 TRUE,"Other")</f>
        <v>Whiskey</v>
      </c>
      <c r="E105" s="5">
        <v>78621</v>
      </c>
      <c r="F105" s="5">
        <v>959058.37000000058</v>
      </c>
      <c r="G105" s="5">
        <v>67619.72000000035</v>
      </c>
      <c r="H105" s="5">
        <v>8857</v>
      </c>
    </row>
    <row r="106" spans="1:8">
      <c r="A106" s="5">
        <v>2021</v>
      </c>
      <c r="B106" s="6">
        <v>44440</v>
      </c>
      <c r="C106" s="5" t="s">
        <v>19</v>
      </c>
      <c r="D106" s="3" t="str" cm="1">
        <f t="array" ref="D106">_xlfn.IFS(
 ISNUMBER(SEARCH("WHISK",C106)),"Whiskey",
 ISNUMBER(SEARCH("BOURBON",C106)),"Whiskey",
 ISNUMBER(SEARCH("SCOTCH",C106)),"Whiskey",
 ISNUMBER(SEARCH("RYE",C106)),"Whiskey",
 ISNUMBER(SEARCH("VODKA",C106)),"Vodka",
 ISNUMBER(SEARCH("TEQUILA",C106)),"Tequila/Mezcal",
 ISNUMBER(SEARCH("MEZCAL",C106)),"Tequila/Mezcal",
 ISNUMBER(SEARCH("RUM",C106)),"Rum",
 ISNUMBER(SEARCH("BRAND",C106)),"Brandy",
 ISNUMBER(SEARCH("COGNAC",C106)),"Brandy",
 ISNUMBER(SEARCH("LIQUEUR",C106)),"Liqueurs",
 ISNUMBER(SEARCH("CORDIAL",C106)),"Liqueurs",
 ISNUMBER(SEARCH("SCHNAPP",C106)),"Liqueurs",
 ISNUMBER(SEARCH("GIN",C106)),"Gin",
 TRUE,"Other")</f>
        <v>Other</v>
      </c>
      <c r="E106" s="5">
        <v>49900</v>
      </c>
      <c r="F106" s="5">
        <v>541581.78999998036</v>
      </c>
      <c r="G106" s="5">
        <v>63210.570000000014</v>
      </c>
      <c r="H106" s="5">
        <v>6019</v>
      </c>
    </row>
    <row r="107" spans="1:8">
      <c r="A107" s="5">
        <v>2021</v>
      </c>
      <c r="B107" s="6">
        <v>44440</v>
      </c>
      <c r="C107" s="5" t="s">
        <v>35</v>
      </c>
      <c r="D107" s="3" t="str" cm="1">
        <f t="array" ref="D107">_xlfn.IFS(
 ISNUMBER(SEARCH("WHISK",C107)),"Whiskey",
 ISNUMBER(SEARCH("BOURBON",C107)),"Whiskey",
 ISNUMBER(SEARCH("SCOTCH",C107)),"Whiskey",
 ISNUMBER(SEARCH("RYE",C107)),"Whiskey",
 ISNUMBER(SEARCH("VODKA",C107)),"Vodka",
 ISNUMBER(SEARCH("TEQUILA",C107)),"Tequila/Mezcal",
 ISNUMBER(SEARCH("MEZCAL",C107)),"Tequila/Mezcal",
 ISNUMBER(SEARCH("RUM",C107)),"Rum",
 ISNUMBER(SEARCH("BRAND",C107)),"Brandy",
 ISNUMBER(SEARCH("COGNAC",C107)),"Brandy",
 ISNUMBER(SEARCH("LIQUEUR",C107)),"Liqueurs",
 ISNUMBER(SEARCH("CORDIAL",C107)),"Liqueurs",
 ISNUMBER(SEARCH("SCHNAPP",C107)),"Liqueurs",
 ISNUMBER(SEARCH("GIN",C107)),"Gin",
 TRUE,"Other")</f>
        <v>Tequila/Mezcal</v>
      </c>
      <c r="E107" s="5">
        <v>63525</v>
      </c>
      <c r="F107" s="5">
        <v>915129.17999998643</v>
      </c>
      <c r="G107" s="5">
        <v>56008.179999999993</v>
      </c>
      <c r="H107" s="5">
        <v>4550</v>
      </c>
    </row>
    <row r="108" spans="1:8">
      <c r="A108" s="5">
        <v>2021</v>
      </c>
      <c r="B108" s="6">
        <v>44440</v>
      </c>
      <c r="C108" s="5" t="s">
        <v>40</v>
      </c>
      <c r="D108" s="3" t="str" cm="1">
        <f t="array" ref="D108">_xlfn.IFS(
 ISNUMBER(SEARCH("WHISK",C108)),"Whiskey",
 ISNUMBER(SEARCH("BOURBON",C108)),"Whiskey",
 ISNUMBER(SEARCH("SCOTCH",C108)),"Whiskey",
 ISNUMBER(SEARCH("RYE",C108)),"Whiskey",
 ISNUMBER(SEARCH("VODKA",C108)),"Vodka",
 ISNUMBER(SEARCH("TEQUILA",C108)),"Tequila/Mezcal",
 ISNUMBER(SEARCH("MEZCAL",C108)),"Tequila/Mezcal",
 ISNUMBER(SEARCH("RUM",C108)),"Rum",
 ISNUMBER(SEARCH("BRAND",C108)),"Brandy",
 ISNUMBER(SEARCH("COGNAC",C108)),"Brandy",
 ISNUMBER(SEARCH("LIQUEUR",C108)),"Liqueurs",
 ISNUMBER(SEARCH("CORDIAL",C108)),"Liqueurs",
 ISNUMBER(SEARCH("SCHNAPP",C108)),"Liqueurs",
 ISNUMBER(SEARCH("GIN",C108)),"Gin",
 TRUE,"Other")</f>
        <v>Whiskey</v>
      </c>
      <c r="E108" s="5">
        <v>7017</v>
      </c>
      <c r="F108" s="5">
        <v>340514.4600000002</v>
      </c>
      <c r="G108" s="5">
        <v>5403.8000000000011</v>
      </c>
      <c r="H108" s="5">
        <v>1659</v>
      </c>
    </row>
    <row r="109" spans="1:8">
      <c r="A109" s="5">
        <v>2021</v>
      </c>
      <c r="B109" s="6">
        <v>44440</v>
      </c>
      <c r="C109" s="5" t="s">
        <v>48</v>
      </c>
      <c r="D109" s="3" t="str" cm="1">
        <f t="array" ref="D109">_xlfn.IFS(
 ISNUMBER(SEARCH("WHISK",C109)),"Whiskey",
 ISNUMBER(SEARCH("BOURBON",C109)),"Whiskey",
 ISNUMBER(SEARCH("SCOTCH",C109)),"Whiskey",
 ISNUMBER(SEARCH("RYE",C109)),"Whiskey",
 ISNUMBER(SEARCH("VODKA",C109)),"Vodka",
 ISNUMBER(SEARCH("TEQUILA",C109)),"Tequila/Mezcal",
 ISNUMBER(SEARCH("MEZCAL",C109)),"Tequila/Mezcal",
 ISNUMBER(SEARCH("RUM",C109)),"Rum",
 ISNUMBER(SEARCH("BRAND",C109)),"Brandy",
 ISNUMBER(SEARCH("COGNAC",C109)),"Brandy",
 ISNUMBER(SEARCH("LIQUEUR",C109)),"Liqueurs",
 ISNUMBER(SEARCH("CORDIAL",C109)),"Liqueurs",
 ISNUMBER(SEARCH("SCHNAPP",C109)),"Liqueurs",
 ISNUMBER(SEARCH("GIN",C109)),"Gin",
 TRUE,"Other")</f>
        <v>Whiskey</v>
      </c>
      <c r="E109" s="5">
        <v>334003</v>
      </c>
      <c r="F109" s="5">
        <v>2136168.0099999853</v>
      </c>
      <c r="G109" s="5">
        <v>101039.98000000416</v>
      </c>
      <c r="H109" s="5">
        <v>12075</v>
      </c>
    </row>
    <row r="110" spans="1:8">
      <c r="A110" s="5">
        <v>2021</v>
      </c>
      <c r="B110" s="6">
        <v>44440</v>
      </c>
      <c r="C110" s="5" t="s">
        <v>50</v>
      </c>
      <c r="D110" s="3" t="str" cm="1">
        <f t="array" ref="D110">_xlfn.IFS(
 ISNUMBER(SEARCH("WHISK",C110)),"Whiskey",
 ISNUMBER(SEARCH("BOURBON",C110)),"Whiskey",
 ISNUMBER(SEARCH("SCOTCH",C110)),"Whiskey",
 ISNUMBER(SEARCH("RYE",C110)),"Whiskey",
 ISNUMBER(SEARCH("VODKA",C110)),"Vodka",
 ISNUMBER(SEARCH("TEQUILA",C110)),"Tequila/Mezcal",
 ISNUMBER(SEARCH("MEZCAL",C110)),"Tequila/Mezcal",
 ISNUMBER(SEARCH("RUM",C110)),"Rum",
 ISNUMBER(SEARCH("BRAND",C110)),"Brandy",
 ISNUMBER(SEARCH("COGNAC",C110)),"Brandy",
 ISNUMBER(SEARCH("LIQUEUR",C110)),"Liqueurs",
 ISNUMBER(SEARCH("CORDIAL",C110)),"Liqueurs",
 ISNUMBER(SEARCH("SCHNAPP",C110)),"Liqueurs",
 ISNUMBER(SEARCH("GIN",C110)),"Gin",
 TRUE,"Other")</f>
        <v>Tequila/Mezcal</v>
      </c>
      <c r="E110" s="5">
        <v>64898</v>
      </c>
      <c r="F110" s="5">
        <v>1906161.4899999853</v>
      </c>
      <c r="G110" s="5">
        <v>49223.350000000013</v>
      </c>
      <c r="H110" s="5">
        <v>6996</v>
      </c>
    </row>
    <row r="111" spans="1:8">
      <c r="A111" s="5">
        <v>2021</v>
      </c>
      <c r="B111" s="6">
        <v>44440</v>
      </c>
      <c r="C111" s="5" t="s">
        <v>8</v>
      </c>
      <c r="D111" s="3" t="str" cm="1">
        <f t="array" ref="D111">_xlfn.IFS(
 ISNUMBER(SEARCH("WHISK",C111)),"Whiskey",
 ISNUMBER(SEARCH("BOURBON",C111)),"Whiskey",
 ISNUMBER(SEARCH("SCOTCH",C111)),"Whiskey",
 ISNUMBER(SEARCH("RYE",C111)),"Whiskey",
 ISNUMBER(SEARCH("VODKA",C111)),"Vodka",
 ISNUMBER(SEARCH("TEQUILA",C111)),"Tequila/Mezcal",
 ISNUMBER(SEARCH("MEZCAL",C111)),"Tequila/Mezcal",
 ISNUMBER(SEARCH("RUM",C111)),"Rum",
 ISNUMBER(SEARCH("BRAND",C111)),"Brandy",
 ISNUMBER(SEARCH("COGNAC",C111)),"Brandy",
 ISNUMBER(SEARCH("LIQUEUR",C111)),"Liqueurs",
 ISNUMBER(SEARCH("CORDIAL",C111)),"Liqueurs",
 ISNUMBER(SEARCH("SCHNAPP",C111)),"Liqueurs",
 ISNUMBER(SEARCH("GIN",C111)),"Gin",
 TRUE,"Other")</f>
        <v>Brandy</v>
      </c>
      <c r="E111" s="5">
        <v>66048</v>
      </c>
      <c r="F111" s="5">
        <v>428762.66999999899</v>
      </c>
      <c r="G111" s="5">
        <v>33838.999999999782</v>
      </c>
      <c r="H111" s="5">
        <v>5363</v>
      </c>
    </row>
    <row r="112" spans="1:8">
      <c r="A112" s="5">
        <v>2021</v>
      </c>
      <c r="B112" s="6">
        <v>44440</v>
      </c>
      <c r="C112" s="5" t="s">
        <v>59</v>
      </c>
      <c r="D112" s="3" t="str" cm="1">
        <f t="array" ref="D112">_xlfn.IFS(
 ISNUMBER(SEARCH("WHISK",C112)),"Whiskey",
 ISNUMBER(SEARCH("BOURBON",C112)),"Whiskey",
 ISNUMBER(SEARCH("SCOTCH",C112)),"Whiskey",
 ISNUMBER(SEARCH("RYE",C112)),"Whiskey",
 ISNUMBER(SEARCH("VODKA",C112)),"Vodka",
 ISNUMBER(SEARCH("TEQUILA",C112)),"Tequila/Mezcal",
 ISNUMBER(SEARCH("MEZCAL",C112)),"Tequila/Mezcal",
 ISNUMBER(SEARCH("RUM",C112)),"Rum",
 ISNUMBER(SEARCH("BRAND",C112)),"Brandy",
 ISNUMBER(SEARCH("COGNAC",C112)),"Brandy",
 ISNUMBER(SEARCH("LIQUEUR",C112)),"Liqueurs",
 ISNUMBER(SEARCH("CORDIAL",C112)),"Liqueurs",
 ISNUMBER(SEARCH("SCHNAPP",C112)),"Liqueurs",
 ISNUMBER(SEARCH("GIN",C112)),"Gin",
 TRUE,"Other")</f>
        <v>Liqueurs</v>
      </c>
      <c r="E112" s="5">
        <v>36747</v>
      </c>
      <c r="F112" s="5">
        <v>347746.22000000509</v>
      </c>
      <c r="G112" s="5">
        <v>18676.209999999497</v>
      </c>
      <c r="H112" s="5">
        <v>5029</v>
      </c>
    </row>
    <row r="113" spans="1:8">
      <c r="A113" s="5">
        <v>2021</v>
      </c>
      <c r="B113" s="6">
        <v>44440</v>
      </c>
      <c r="C113" s="5" t="s">
        <v>10</v>
      </c>
      <c r="D113" s="3" t="str" cm="1">
        <f t="array" ref="D113">_xlfn.IFS(
 ISNUMBER(SEARCH("WHISK",C113)),"Whiskey",
 ISNUMBER(SEARCH("BOURBON",C113)),"Whiskey",
 ISNUMBER(SEARCH("SCOTCH",C113)),"Whiskey",
 ISNUMBER(SEARCH("RYE",C113)),"Whiskey",
 ISNUMBER(SEARCH("VODKA",C113)),"Vodka",
 ISNUMBER(SEARCH("TEQUILA",C113)),"Tequila/Mezcal",
 ISNUMBER(SEARCH("MEZCAL",C113)),"Tequila/Mezcal",
 ISNUMBER(SEARCH("RUM",C113)),"Rum",
 ISNUMBER(SEARCH("BRAND",C113)),"Brandy",
 ISNUMBER(SEARCH("COGNAC",C113)),"Brandy",
 ISNUMBER(SEARCH("LIQUEUR",C113)),"Liqueurs",
 ISNUMBER(SEARCH("CORDIAL",C113)),"Liqueurs",
 ISNUMBER(SEARCH("SCHNAPP",C113)),"Liqueurs",
 ISNUMBER(SEARCH("GIN",C113)),"Gin",
 TRUE,"Other")</f>
        <v>Other</v>
      </c>
      <c r="E113" s="5">
        <v>5589</v>
      </c>
      <c r="F113" s="5">
        <v>108111.32999999951</v>
      </c>
      <c r="G113" s="5">
        <v>4119.3500000000004</v>
      </c>
      <c r="H113" s="5">
        <v>869</v>
      </c>
    </row>
    <row r="114" spans="1:8">
      <c r="A114" s="5">
        <v>2021</v>
      </c>
      <c r="B114" s="6">
        <v>44440</v>
      </c>
      <c r="C114" s="5" t="s">
        <v>14</v>
      </c>
      <c r="D114" s="3" t="str" cm="1">
        <f t="array" ref="D114">_xlfn.IFS(
 ISNUMBER(SEARCH("WHISK",C114)),"Whiskey",
 ISNUMBER(SEARCH("BOURBON",C114)),"Whiskey",
 ISNUMBER(SEARCH("SCOTCH",C114)),"Whiskey",
 ISNUMBER(SEARCH("RYE",C114)),"Whiskey",
 ISNUMBER(SEARCH("VODKA",C114)),"Vodka",
 ISNUMBER(SEARCH("TEQUILA",C114)),"Tequila/Mezcal",
 ISNUMBER(SEARCH("MEZCAL",C114)),"Tequila/Mezcal",
 ISNUMBER(SEARCH("RUM",C114)),"Rum",
 ISNUMBER(SEARCH("BRAND",C114)),"Brandy",
 ISNUMBER(SEARCH("COGNAC",C114)),"Brandy",
 ISNUMBER(SEARCH("LIQUEUR",C114)),"Liqueurs",
 ISNUMBER(SEARCH("CORDIAL",C114)),"Liqueurs",
 ISNUMBER(SEARCH("SCHNAPP",C114)),"Liqueurs",
 ISNUMBER(SEARCH("GIN",C114)),"Gin",
 TRUE,"Other")</f>
        <v>Gin</v>
      </c>
      <c r="E114" s="5">
        <v>284</v>
      </c>
      <c r="F114" s="5">
        <v>2308.920000000001</v>
      </c>
      <c r="G114" s="5">
        <v>284</v>
      </c>
      <c r="H114" s="5">
        <v>65</v>
      </c>
    </row>
    <row r="115" spans="1:8">
      <c r="A115" s="5">
        <v>2021</v>
      </c>
      <c r="B115" s="6">
        <v>44440</v>
      </c>
      <c r="C115" s="5" t="s">
        <v>20</v>
      </c>
      <c r="D115" s="3" t="str" cm="1">
        <f t="array" ref="D115">_xlfn.IFS(
 ISNUMBER(SEARCH("WHISK",C115)),"Whiskey",
 ISNUMBER(SEARCH("BOURBON",C115)),"Whiskey",
 ISNUMBER(SEARCH("SCOTCH",C115)),"Whiskey",
 ISNUMBER(SEARCH("RYE",C115)),"Whiskey",
 ISNUMBER(SEARCH("VODKA",C115)),"Vodka",
 ISNUMBER(SEARCH("TEQUILA",C115)),"Tequila/Mezcal",
 ISNUMBER(SEARCH("MEZCAL",C115)),"Tequila/Mezcal",
 ISNUMBER(SEARCH("RUM",C115)),"Rum",
 ISNUMBER(SEARCH("BRAND",C115)),"Brandy",
 ISNUMBER(SEARCH("COGNAC",C115)),"Brandy",
 ISNUMBER(SEARCH("LIQUEUR",C115)),"Liqueurs",
 ISNUMBER(SEARCH("CORDIAL",C115)),"Liqueurs",
 ISNUMBER(SEARCH("SCHNAPP",C115)),"Liqueurs",
 ISNUMBER(SEARCH("GIN",C115)),"Gin",
 TRUE,"Other")</f>
        <v>Liqueurs</v>
      </c>
      <c r="E115" s="5">
        <v>8371</v>
      </c>
      <c r="F115" s="5">
        <v>161193.450000001</v>
      </c>
      <c r="G115" s="5">
        <v>7280.2000000000035</v>
      </c>
      <c r="H115" s="5">
        <v>1040</v>
      </c>
    </row>
    <row r="116" spans="1:8">
      <c r="A116" s="5">
        <v>2021</v>
      </c>
      <c r="B116" s="6">
        <v>44440</v>
      </c>
      <c r="C116" s="5" t="s">
        <v>22</v>
      </c>
      <c r="D116" s="3" t="str" cm="1">
        <f t="array" ref="D116">_xlfn.IFS(
 ISNUMBER(SEARCH("WHISK",C116)),"Whiskey",
 ISNUMBER(SEARCH("BOURBON",C116)),"Whiskey",
 ISNUMBER(SEARCH("SCOTCH",C116)),"Whiskey",
 ISNUMBER(SEARCH("RYE",C116)),"Whiskey",
 ISNUMBER(SEARCH("VODKA",C116)),"Vodka",
 ISNUMBER(SEARCH("TEQUILA",C116)),"Tequila/Mezcal",
 ISNUMBER(SEARCH("MEZCAL",C116)),"Tequila/Mezcal",
 ISNUMBER(SEARCH("RUM",C116)),"Rum",
 ISNUMBER(SEARCH("BRAND",C116)),"Brandy",
 ISNUMBER(SEARCH("COGNAC",C116)),"Brandy",
 ISNUMBER(SEARCH("LIQUEUR",C116)),"Liqueurs",
 ISNUMBER(SEARCH("CORDIAL",C116)),"Liqueurs",
 ISNUMBER(SEARCH("SCHNAPP",C116)),"Liqueurs",
 ISNUMBER(SEARCH("GIN",C116)),"Gin",
 TRUE,"Other")</f>
        <v>Liqueurs</v>
      </c>
      <c r="E116" s="5">
        <v>35456</v>
      </c>
      <c r="F116" s="5">
        <v>725895.31999999622</v>
      </c>
      <c r="G116" s="5">
        <v>31302.259999999776</v>
      </c>
      <c r="H116" s="5">
        <v>4373</v>
      </c>
    </row>
    <row r="117" spans="1:8">
      <c r="A117" s="5">
        <v>2021</v>
      </c>
      <c r="B117" s="6">
        <v>44440</v>
      </c>
      <c r="C117" s="5" t="s">
        <v>23</v>
      </c>
      <c r="D117" s="3" t="str" cm="1">
        <f t="array" ref="D117">_xlfn.IFS(
 ISNUMBER(SEARCH("WHISK",C117)),"Whiskey",
 ISNUMBER(SEARCH("BOURBON",C117)),"Whiskey",
 ISNUMBER(SEARCH("SCOTCH",C117)),"Whiskey",
 ISNUMBER(SEARCH("RYE",C117)),"Whiskey",
 ISNUMBER(SEARCH("VODKA",C117)),"Vodka",
 ISNUMBER(SEARCH("TEQUILA",C117)),"Tequila/Mezcal",
 ISNUMBER(SEARCH("MEZCAL",C117)),"Tequila/Mezcal",
 ISNUMBER(SEARCH("RUM",C117)),"Rum",
 ISNUMBER(SEARCH("BRAND",C117)),"Brandy",
 ISNUMBER(SEARCH("COGNAC",C117)),"Brandy",
 ISNUMBER(SEARCH("LIQUEUR",C117)),"Liqueurs",
 ISNUMBER(SEARCH("CORDIAL",C117)),"Liqueurs",
 ISNUMBER(SEARCH("SCHNAPP",C117)),"Liqueurs",
 ISNUMBER(SEARCH("GIN",C117)),"Gin",
 TRUE,"Other")</f>
        <v>Gin</v>
      </c>
      <c r="E117" s="5">
        <v>1139</v>
      </c>
      <c r="F117" s="5">
        <v>23874.660000000007</v>
      </c>
      <c r="G117" s="5">
        <v>841.64999999999986</v>
      </c>
      <c r="H117" s="5">
        <v>152</v>
      </c>
    </row>
    <row r="118" spans="1:8">
      <c r="A118" s="5">
        <v>2021</v>
      </c>
      <c r="B118" s="6">
        <v>44440</v>
      </c>
      <c r="C118" s="5" t="s">
        <v>25</v>
      </c>
      <c r="D118" s="3" t="str" cm="1">
        <f t="array" ref="D118">_xlfn.IFS(
 ISNUMBER(SEARCH("WHISK",C118)),"Whiskey",
 ISNUMBER(SEARCH("BOURBON",C118)),"Whiskey",
 ISNUMBER(SEARCH("SCOTCH",C118)),"Whiskey",
 ISNUMBER(SEARCH("RYE",C118)),"Whiskey",
 ISNUMBER(SEARCH("VODKA",C118)),"Vodka",
 ISNUMBER(SEARCH("TEQUILA",C118)),"Tequila/Mezcal",
 ISNUMBER(SEARCH("MEZCAL",C118)),"Tequila/Mezcal",
 ISNUMBER(SEARCH("RUM",C118)),"Rum",
 ISNUMBER(SEARCH("BRAND",C118)),"Brandy",
 ISNUMBER(SEARCH("COGNAC",C118)),"Brandy",
 ISNUMBER(SEARCH("LIQUEUR",C118)),"Liqueurs",
 ISNUMBER(SEARCH("CORDIAL",C118)),"Liqueurs",
 ISNUMBER(SEARCH("SCHNAPP",C118)),"Liqueurs",
 ISNUMBER(SEARCH("GIN",C118)),"Gin",
 TRUE,"Other")</f>
        <v>Rum</v>
      </c>
      <c r="E118" s="5">
        <v>6956</v>
      </c>
      <c r="F118" s="5">
        <v>86852.609999999666</v>
      </c>
      <c r="G118" s="5">
        <v>7520.1200000000035</v>
      </c>
      <c r="H118" s="5">
        <v>1095</v>
      </c>
    </row>
    <row r="119" spans="1:8">
      <c r="A119" s="5">
        <v>2021</v>
      </c>
      <c r="B119" s="6">
        <v>44440</v>
      </c>
      <c r="C119" s="5" t="s">
        <v>26</v>
      </c>
      <c r="D119" s="3" t="str" cm="1">
        <f t="array" ref="D119">_xlfn.IFS(
 ISNUMBER(SEARCH("WHISK",C119)),"Whiskey",
 ISNUMBER(SEARCH("BOURBON",C119)),"Whiskey",
 ISNUMBER(SEARCH("SCOTCH",C119)),"Whiskey",
 ISNUMBER(SEARCH("RYE",C119)),"Whiskey",
 ISNUMBER(SEARCH("VODKA",C119)),"Vodka",
 ISNUMBER(SEARCH("TEQUILA",C119)),"Tequila/Mezcal",
 ISNUMBER(SEARCH("MEZCAL",C119)),"Tequila/Mezcal",
 ISNUMBER(SEARCH("RUM",C119)),"Rum",
 ISNUMBER(SEARCH("BRAND",C119)),"Brandy",
 ISNUMBER(SEARCH("COGNAC",C119)),"Brandy",
 ISNUMBER(SEARCH("LIQUEUR",C119)),"Liqueurs",
 ISNUMBER(SEARCH("CORDIAL",C119)),"Liqueurs",
 ISNUMBER(SEARCH("SCHNAPP",C119)),"Liqueurs",
 ISNUMBER(SEARCH("GIN",C119)),"Gin",
 TRUE,"Other")</f>
        <v>Brandy</v>
      </c>
      <c r="E119" s="5">
        <v>49674</v>
      </c>
      <c r="F119" s="5">
        <v>1107390.0499999844</v>
      </c>
      <c r="G119" s="5">
        <v>22118.429999999837</v>
      </c>
      <c r="H119" s="5">
        <v>3890</v>
      </c>
    </row>
    <row r="120" spans="1:8">
      <c r="A120" s="5">
        <v>2021</v>
      </c>
      <c r="B120" s="6">
        <v>44440</v>
      </c>
      <c r="C120" s="5" t="s">
        <v>28</v>
      </c>
      <c r="D120" s="3" t="str" cm="1">
        <f t="array" ref="D120">_xlfn.IFS(
 ISNUMBER(SEARCH("WHISK",C120)),"Whiskey",
 ISNUMBER(SEARCH("BOURBON",C120)),"Whiskey",
 ISNUMBER(SEARCH("SCOTCH",C120)),"Whiskey",
 ISNUMBER(SEARCH("RYE",C120)),"Whiskey",
 ISNUMBER(SEARCH("VODKA",C120)),"Vodka",
 ISNUMBER(SEARCH("TEQUILA",C120)),"Tequila/Mezcal",
 ISNUMBER(SEARCH("MEZCAL",C120)),"Tequila/Mezcal",
 ISNUMBER(SEARCH("RUM",C120)),"Rum",
 ISNUMBER(SEARCH("BRAND",C120)),"Brandy",
 ISNUMBER(SEARCH("COGNAC",C120)),"Brandy",
 ISNUMBER(SEARCH("LIQUEUR",C120)),"Liqueurs",
 ISNUMBER(SEARCH("CORDIAL",C120)),"Liqueurs",
 ISNUMBER(SEARCH("SCHNAPP",C120)),"Liqueurs",
 ISNUMBER(SEARCH("GIN",C120)),"Gin",
 TRUE,"Other")</f>
        <v>Other</v>
      </c>
      <c r="E120" s="5">
        <v>33191</v>
      </c>
      <c r="F120" s="5">
        <v>261624.47999999986</v>
      </c>
      <c r="G120" s="5">
        <v>32867.24</v>
      </c>
      <c r="H120" s="5">
        <v>373</v>
      </c>
    </row>
    <row r="121" spans="1:8">
      <c r="A121" s="5">
        <v>2021</v>
      </c>
      <c r="B121" s="6">
        <v>44440</v>
      </c>
      <c r="C121" s="5" t="s">
        <v>29</v>
      </c>
      <c r="D121" s="3" t="str" cm="1">
        <f t="array" ref="D121">_xlfn.IFS(
 ISNUMBER(SEARCH("WHISK",C121)),"Whiskey",
 ISNUMBER(SEARCH("BOURBON",C121)),"Whiskey",
 ISNUMBER(SEARCH("SCOTCH",C121)),"Whiskey",
 ISNUMBER(SEARCH("RYE",C121)),"Whiskey",
 ISNUMBER(SEARCH("VODKA",C121)),"Vodka",
 ISNUMBER(SEARCH("TEQUILA",C121)),"Tequila/Mezcal",
 ISNUMBER(SEARCH("MEZCAL",C121)),"Tequila/Mezcal",
 ISNUMBER(SEARCH("RUM",C121)),"Rum",
 ISNUMBER(SEARCH("BRAND",C121)),"Brandy",
 ISNUMBER(SEARCH("COGNAC",C121)),"Brandy",
 ISNUMBER(SEARCH("LIQUEUR",C121)),"Liqueurs",
 ISNUMBER(SEARCH("CORDIAL",C121)),"Liqueurs",
 ISNUMBER(SEARCH("SCHNAPP",C121)),"Liqueurs",
 ISNUMBER(SEARCH("GIN",C121)),"Gin",
 TRUE,"Other")</f>
        <v>Gin</v>
      </c>
      <c r="E121" s="5">
        <v>20712</v>
      </c>
      <c r="F121" s="5">
        <v>505102.51000000024</v>
      </c>
      <c r="G121" s="5">
        <v>19671.220000000012</v>
      </c>
      <c r="H121" s="5">
        <v>2169</v>
      </c>
    </row>
    <row r="122" spans="1:8">
      <c r="A122" s="5">
        <v>2021</v>
      </c>
      <c r="B122" s="6">
        <v>44440</v>
      </c>
      <c r="C122" s="5" t="s">
        <v>30</v>
      </c>
      <c r="D122" s="3" t="str" cm="1">
        <f t="array" ref="D122">_xlfn.IFS(
 ISNUMBER(SEARCH("WHISK",C122)),"Whiskey",
 ISNUMBER(SEARCH("BOURBON",C122)),"Whiskey",
 ISNUMBER(SEARCH("SCOTCH",C122)),"Whiskey",
 ISNUMBER(SEARCH("RYE",C122)),"Whiskey",
 ISNUMBER(SEARCH("VODKA",C122)),"Vodka",
 ISNUMBER(SEARCH("TEQUILA",C122)),"Tequila/Mezcal",
 ISNUMBER(SEARCH("MEZCAL",C122)),"Tequila/Mezcal",
 ISNUMBER(SEARCH("RUM",C122)),"Rum",
 ISNUMBER(SEARCH("BRAND",C122)),"Brandy",
 ISNUMBER(SEARCH("COGNAC",C122)),"Brandy",
 ISNUMBER(SEARCH("LIQUEUR",C122)),"Liqueurs",
 ISNUMBER(SEARCH("CORDIAL",C122)),"Liqueurs",
 ISNUMBER(SEARCH("SCHNAPP",C122)),"Liqueurs",
 ISNUMBER(SEARCH("GIN",C122)),"Gin",
 TRUE,"Other")</f>
        <v>Vodka</v>
      </c>
      <c r="E122" s="5">
        <v>29358</v>
      </c>
      <c r="F122" s="5">
        <v>486830.83000000112</v>
      </c>
      <c r="G122" s="5">
        <v>24077.359999999979</v>
      </c>
      <c r="H122" s="5">
        <v>3528</v>
      </c>
    </row>
    <row r="123" spans="1:8">
      <c r="A123" s="5">
        <v>2021</v>
      </c>
      <c r="B123" s="6">
        <v>44440</v>
      </c>
      <c r="C123" s="5" t="s">
        <v>31</v>
      </c>
      <c r="D123" s="3" t="str" cm="1">
        <f t="array" ref="D123">_xlfn.IFS(
 ISNUMBER(SEARCH("WHISK",C123)),"Whiskey",
 ISNUMBER(SEARCH("BOURBON",C123)),"Whiskey",
 ISNUMBER(SEARCH("SCOTCH",C123)),"Whiskey",
 ISNUMBER(SEARCH("RYE",C123)),"Whiskey",
 ISNUMBER(SEARCH("VODKA",C123)),"Vodka",
 ISNUMBER(SEARCH("TEQUILA",C123)),"Tequila/Mezcal",
 ISNUMBER(SEARCH("MEZCAL",C123)),"Tequila/Mezcal",
 ISNUMBER(SEARCH("RUM",C123)),"Rum",
 ISNUMBER(SEARCH("BRAND",C123)),"Brandy",
 ISNUMBER(SEARCH("COGNAC",C123)),"Brandy",
 ISNUMBER(SEARCH("LIQUEUR",C123)),"Liqueurs",
 ISNUMBER(SEARCH("CORDIAL",C123)),"Liqueurs",
 ISNUMBER(SEARCH("SCHNAPP",C123)),"Liqueurs",
 ISNUMBER(SEARCH("GIN",C123)),"Gin",
 TRUE,"Other")</f>
        <v>Liqueurs</v>
      </c>
      <c r="E123" s="5">
        <v>32558</v>
      </c>
      <c r="F123" s="5">
        <v>546757.79999999842</v>
      </c>
      <c r="G123" s="5">
        <v>28682.579999999754</v>
      </c>
      <c r="H123" s="5">
        <v>3258</v>
      </c>
    </row>
    <row r="124" spans="1:8">
      <c r="A124" s="5">
        <v>2021</v>
      </c>
      <c r="B124" s="6">
        <v>44440</v>
      </c>
      <c r="C124" s="5" t="s">
        <v>32</v>
      </c>
      <c r="D124" s="3" t="str" cm="1">
        <f t="array" ref="D124">_xlfn.IFS(
 ISNUMBER(SEARCH("WHISK",C124)),"Whiskey",
 ISNUMBER(SEARCH("BOURBON",C124)),"Whiskey",
 ISNUMBER(SEARCH("SCOTCH",C124)),"Whiskey",
 ISNUMBER(SEARCH("RYE",C124)),"Whiskey",
 ISNUMBER(SEARCH("VODKA",C124)),"Vodka",
 ISNUMBER(SEARCH("TEQUILA",C124)),"Tequila/Mezcal",
 ISNUMBER(SEARCH("MEZCAL",C124)),"Tequila/Mezcal",
 ISNUMBER(SEARCH("RUM",C124)),"Rum",
 ISNUMBER(SEARCH("BRAND",C124)),"Brandy",
 ISNUMBER(SEARCH("COGNAC",C124)),"Brandy",
 ISNUMBER(SEARCH("LIQUEUR",C124)),"Liqueurs",
 ISNUMBER(SEARCH("CORDIAL",C124)),"Liqueurs",
 ISNUMBER(SEARCH("SCHNAPP",C124)),"Liqueurs",
 ISNUMBER(SEARCH("GIN",C124)),"Gin",
 TRUE,"Other")</f>
        <v>Vodka</v>
      </c>
      <c r="E124" s="5">
        <v>74874</v>
      </c>
      <c r="F124" s="5">
        <v>1217616.7199999811</v>
      </c>
      <c r="G124" s="5">
        <v>64701.400000000496</v>
      </c>
      <c r="H124" s="5">
        <v>5382</v>
      </c>
    </row>
    <row r="125" spans="1:8">
      <c r="A125" s="5">
        <v>2021</v>
      </c>
      <c r="B125" s="6">
        <v>44440</v>
      </c>
      <c r="C125" s="5" t="s">
        <v>33</v>
      </c>
      <c r="D125" s="3" t="str" cm="1">
        <f t="array" ref="D125">_xlfn.IFS(
 ISNUMBER(SEARCH("WHISK",C125)),"Whiskey",
 ISNUMBER(SEARCH("BOURBON",C125)),"Whiskey",
 ISNUMBER(SEARCH("SCOTCH",C125)),"Whiskey",
 ISNUMBER(SEARCH("RYE",C125)),"Whiskey",
 ISNUMBER(SEARCH("VODKA",C125)),"Vodka",
 ISNUMBER(SEARCH("TEQUILA",C125)),"Tequila/Mezcal",
 ISNUMBER(SEARCH("MEZCAL",C125)),"Tequila/Mezcal",
 ISNUMBER(SEARCH("RUM",C125)),"Rum",
 ISNUMBER(SEARCH("BRAND",C125)),"Brandy",
 ISNUMBER(SEARCH("COGNAC",C125)),"Brandy",
 ISNUMBER(SEARCH("LIQUEUR",C125)),"Liqueurs",
 ISNUMBER(SEARCH("CORDIAL",C125)),"Liqueurs",
 ISNUMBER(SEARCH("SCHNAPP",C125)),"Liqueurs",
 ISNUMBER(SEARCH("GIN",C125)),"Gin",
 TRUE,"Other")</f>
        <v>Whiskey</v>
      </c>
      <c r="E125" s="5">
        <v>26820</v>
      </c>
      <c r="F125" s="5">
        <v>712024.70999999647</v>
      </c>
      <c r="G125" s="5">
        <v>23516.469999999998</v>
      </c>
      <c r="H125" s="5">
        <v>2404</v>
      </c>
    </row>
    <row r="126" spans="1:8">
      <c r="A126" s="5">
        <v>2021</v>
      </c>
      <c r="B126" s="6">
        <v>44440</v>
      </c>
      <c r="C126" s="5" t="s">
        <v>37</v>
      </c>
      <c r="D126" s="3" t="str" cm="1">
        <f t="array" ref="D126">_xlfn.IFS(
 ISNUMBER(SEARCH("WHISK",C126)),"Whiskey",
 ISNUMBER(SEARCH("BOURBON",C126)),"Whiskey",
 ISNUMBER(SEARCH("SCOTCH",C126)),"Whiskey",
 ISNUMBER(SEARCH("RYE",C126)),"Whiskey",
 ISNUMBER(SEARCH("VODKA",C126)),"Vodka",
 ISNUMBER(SEARCH("TEQUILA",C126)),"Tequila/Mezcal",
 ISNUMBER(SEARCH("MEZCAL",C126)),"Tequila/Mezcal",
 ISNUMBER(SEARCH("RUM",C126)),"Rum",
 ISNUMBER(SEARCH("BRAND",C126)),"Brandy",
 ISNUMBER(SEARCH("COGNAC",C126)),"Brandy",
 ISNUMBER(SEARCH("LIQUEUR",C126)),"Liqueurs",
 ISNUMBER(SEARCH("CORDIAL",C126)),"Liqueurs",
 ISNUMBER(SEARCH("SCHNAPP",C126)),"Liqueurs",
 ISNUMBER(SEARCH("GIN",C126)),"Gin",
 TRUE,"Other")</f>
        <v>Other</v>
      </c>
      <c r="E126" s="5">
        <v>8371</v>
      </c>
      <c r="F126" s="5">
        <v>135550.08999999985</v>
      </c>
      <c r="G126" s="5">
        <v>4746.6500000000096</v>
      </c>
      <c r="H126" s="5">
        <v>1557</v>
      </c>
    </row>
    <row r="127" spans="1:8">
      <c r="A127" s="5">
        <v>2021</v>
      </c>
      <c r="B127" s="6">
        <v>44440</v>
      </c>
      <c r="C127" s="5" t="s">
        <v>44</v>
      </c>
      <c r="D127" s="3" t="str" cm="1">
        <f t="array" ref="D127">_xlfn.IFS(
 ISNUMBER(SEARCH("WHISK",C127)),"Whiskey",
 ISNUMBER(SEARCH("BOURBON",C127)),"Whiskey",
 ISNUMBER(SEARCH("SCOTCH",C127)),"Whiskey",
 ISNUMBER(SEARCH("RYE",C127)),"Whiskey",
 ISNUMBER(SEARCH("VODKA",C127)),"Vodka",
 ISNUMBER(SEARCH("TEQUILA",C127)),"Tequila/Mezcal",
 ISNUMBER(SEARCH("MEZCAL",C127)),"Tequila/Mezcal",
 ISNUMBER(SEARCH("RUM",C127)),"Rum",
 ISNUMBER(SEARCH("BRAND",C127)),"Brandy",
 ISNUMBER(SEARCH("COGNAC",C127)),"Brandy",
 ISNUMBER(SEARCH("LIQUEUR",C127)),"Liqueurs",
 ISNUMBER(SEARCH("CORDIAL",C127)),"Liqueurs",
 ISNUMBER(SEARCH("SCHNAPP",C127)),"Liqueurs",
 ISNUMBER(SEARCH("GIN",C127)),"Gin",
 TRUE,"Other")</f>
        <v>Whiskey</v>
      </c>
      <c r="E127" s="5">
        <v>12233</v>
      </c>
      <c r="F127" s="5">
        <v>386647.43000000151</v>
      </c>
      <c r="G127" s="5">
        <v>9168.41</v>
      </c>
      <c r="H127" s="5">
        <v>1771</v>
      </c>
    </row>
    <row r="128" spans="1:8">
      <c r="A128" s="5">
        <v>2021</v>
      </c>
      <c r="B128" s="6">
        <v>44440</v>
      </c>
      <c r="C128" s="5" t="s">
        <v>47</v>
      </c>
      <c r="D128" s="3" t="str" cm="1">
        <f t="array" ref="D128">_xlfn.IFS(
 ISNUMBER(SEARCH("WHISK",C128)),"Whiskey",
 ISNUMBER(SEARCH("BOURBON",C128)),"Whiskey",
 ISNUMBER(SEARCH("SCOTCH",C128)),"Whiskey",
 ISNUMBER(SEARCH("RYE",C128)),"Whiskey",
 ISNUMBER(SEARCH("VODKA",C128)),"Vodka",
 ISNUMBER(SEARCH("TEQUILA",C128)),"Tequila/Mezcal",
 ISNUMBER(SEARCH("MEZCAL",C128)),"Tequila/Mezcal",
 ISNUMBER(SEARCH("RUM",C128)),"Rum",
 ISNUMBER(SEARCH("BRAND",C128)),"Brandy",
 ISNUMBER(SEARCH("COGNAC",C128)),"Brandy",
 ISNUMBER(SEARCH("LIQUEUR",C128)),"Liqueurs",
 ISNUMBER(SEARCH("CORDIAL",C128)),"Liqueurs",
 ISNUMBER(SEARCH("SCHNAPP",C128)),"Liqueurs",
 ISNUMBER(SEARCH("GIN",C128)),"Gin",
 TRUE,"Other")</f>
        <v>Other</v>
      </c>
      <c r="E128" s="5">
        <v>17339</v>
      </c>
      <c r="F128" s="5">
        <v>69658.019999999888</v>
      </c>
      <c r="G128" s="5">
        <v>17086.5</v>
      </c>
      <c r="H128" s="5">
        <v>701</v>
      </c>
    </row>
    <row r="129" spans="1:8">
      <c r="A129" s="5">
        <v>2021</v>
      </c>
      <c r="B129" s="6">
        <v>44440</v>
      </c>
      <c r="C129" s="5" t="s">
        <v>49</v>
      </c>
      <c r="D129" s="3" t="str" cm="1">
        <f t="array" ref="D129">_xlfn.IFS(
 ISNUMBER(SEARCH("WHISK",C129)),"Whiskey",
 ISNUMBER(SEARCH("BOURBON",C129)),"Whiskey",
 ISNUMBER(SEARCH("SCOTCH",C129)),"Whiskey",
 ISNUMBER(SEARCH("RYE",C129)),"Whiskey",
 ISNUMBER(SEARCH("VODKA",C129)),"Vodka",
 ISNUMBER(SEARCH("TEQUILA",C129)),"Tequila/Mezcal",
 ISNUMBER(SEARCH("MEZCAL",C129)),"Tequila/Mezcal",
 ISNUMBER(SEARCH("RUM",C129)),"Rum",
 ISNUMBER(SEARCH("BRAND",C129)),"Brandy",
 ISNUMBER(SEARCH("COGNAC",C129)),"Brandy",
 ISNUMBER(SEARCH("LIQUEUR",C129)),"Liqueurs",
 ISNUMBER(SEARCH("CORDIAL",C129)),"Liqueurs",
 ISNUMBER(SEARCH("SCHNAPP",C129)),"Liqueurs",
 ISNUMBER(SEARCH("GIN",C129)),"Gin",
 TRUE,"Other")</f>
        <v>Rum</v>
      </c>
      <c r="E129" s="5">
        <v>48397</v>
      </c>
      <c r="F129" s="5">
        <v>523115.29999999417</v>
      </c>
      <c r="G129" s="5">
        <v>47714.669999999969</v>
      </c>
      <c r="H129" s="5">
        <v>4442</v>
      </c>
    </row>
    <row r="130" spans="1:8">
      <c r="A130" s="5">
        <v>2021</v>
      </c>
      <c r="B130" s="6">
        <v>44440</v>
      </c>
      <c r="C130" s="5" t="s">
        <v>36</v>
      </c>
      <c r="D130" s="3" t="str" cm="1">
        <f t="array" ref="D130">_xlfn.IFS(
 ISNUMBER(SEARCH("WHISK",C130)),"Whiskey",
 ISNUMBER(SEARCH("BOURBON",C130)),"Whiskey",
 ISNUMBER(SEARCH("SCOTCH",C130)),"Whiskey",
 ISNUMBER(SEARCH("RYE",C130)),"Whiskey",
 ISNUMBER(SEARCH("VODKA",C130)),"Vodka",
 ISNUMBER(SEARCH("TEQUILA",C130)),"Tequila/Mezcal",
 ISNUMBER(SEARCH("MEZCAL",C130)),"Tequila/Mezcal",
 ISNUMBER(SEARCH("RUM",C130)),"Rum",
 ISNUMBER(SEARCH("BRAND",C130)),"Brandy",
 ISNUMBER(SEARCH("COGNAC",C130)),"Brandy",
 ISNUMBER(SEARCH("LIQUEUR",C130)),"Liqueurs",
 ISNUMBER(SEARCH("CORDIAL",C130)),"Liqueurs",
 ISNUMBER(SEARCH("SCHNAPP",C130)),"Liqueurs",
 ISNUMBER(SEARCH("GIN",C130)),"Gin",
 TRUE,"Other")</f>
        <v>Other</v>
      </c>
      <c r="E130" s="5">
        <v>4534</v>
      </c>
      <c r="F130" s="5">
        <v>63499.279999999984</v>
      </c>
      <c r="G130" s="5">
        <v>3597.5</v>
      </c>
      <c r="H130" s="5">
        <v>461</v>
      </c>
    </row>
    <row r="131" spans="1:8">
      <c r="A131" s="5">
        <v>2021</v>
      </c>
      <c r="B131" s="6">
        <v>44440</v>
      </c>
      <c r="C131" s="5" t="s">
        <v>7</v>
      </c>
      <c r="D131" s="3" t="str" cm="1">
        <f t="array" ref="D131">_xlfn.IFS(
 ISNUMBER(SEARCH("WHISK",C131)),"Whiskey",
 ISNUMBER(SEARCH("BOURBON",C131)),"Whiskey",
 ISNUMBER(SEARCH("SCOTCH",C131)),"Whiskey",
 ISNUMBER(SEARCH("RYE",C131)),"Whiskey",
 ISNUMBER(SEARCH("VODKA",C131)),"Vodka",
 ISNUMBER(SEARCH("TEQUILA",C131)),"Tequila/Mezcal",
 ISNUMBER(SEARCH("MEZCAL",C131)),"Tequila/Mezcal",
 ISNUMBER(SEARCH("RUM",C131)),"Rum",
 ISNUMBER(SEARCH("BRAND",C131)),"Brandy",
 ISNUMBER(SEARCH("COGNAC",C131)),"Brandy",
 ISNUMBER(SEARCH("LIQUEUR",C131)),"Liqueurs",
 ISNUMBER(SEARCH("CORDIAL",C131)),"Liqueurs",
 ISNUMBER(SEARCH("SCHNAPP",C131)),"Liqueurs",
 ISNUMBER(SEARCH("GIN",C131)),"Gin",
 TRUE,"Other")</f>
        <v>Rum</v>
      </c>
      <c r="E131" s="5">
        <v>3945</v>
      </c>
      <c r="F131" s="5">
        <v>81092.600000000035</v>
      </c>
      <c r="G131" s="5">
        <v>3178</v>
      </c>
      <c r="H131" s="5">
        <v>636</v>
      </c>
    </row>
    <row r="132" spans="1:8">
      <c r="A132" s="5">
        <v>2021</v>
      </c>
      <c r="B132" s="6">
        <v>44440</v>
      </c>
      <c r="C132" s="5" t="s">
        <v>17</v>
      </c>
      <c r="D132" s="3" t="str" cm="1">
        <f t="array" ref="D132">_xlfn.IFS(
 ISNUMBER(SEARCH("WHISK",C132)),"Whiskey",
 ISNUMBER(SEARCH("BOURBON",C132)),"Whiskey",
 ISNUMBER(SEARCH("SCOTCH",C132)),"Whiskey",
 ISNUMBER(SEARCH("RYE",C132)),"Whiskey",
 ISNUMBER(SEARCH("VODKA",C132)),"Vodka",
 ISNUMBER(SEARCH("TEQUILA",C132)),"Tequila/Mezcal",
 ISNUMBER(SEARCH("MEZCAL",C132)),"Tequila/Mezcal",
 ISNUMBER(SEARCH("RUM",C132)),"Rum",
 ISNUMBER(SEARCH("BRAND",C132)),"Brandy",
 ISNUMBER(SEARCH("COGNAC",C132)),"Brandy",
 ISNUMBER(SEARCH("LIQUEUR",C132)),"Liqueurs",
 ISNUMBER(SEARCH("CORDIAL",C132)),"Liqueurs",
 ISNUMBER(SEARCH("SCHNAPP",C132)),"Liqueurs",
 ISNUMBER(SEARCH("GIN",C132)),"Gin",
 TRUE,"Other")</f>
        <v>Whiskey</v>
      </c>
      <c r="E132" s="5">
        <v>1964</v>
      </c>
      <c r="F132" s="5">
        <v>48063.590000000004</v>
      </c>
      <c r="G132" s="5">
        <v>1507</v>
      </c>
      <c r="H132" s="5">
        <v>297</v>
      </c>
    </row>
    <row r="133" spans="1:8">
      <c r="A133" s="5">
        <v>2021</v>
      </c>
      <c r="B133" s="6">
        <v>44440</v>
      </c>
      <c r="C133" s="5" t="s">
        <v>39</v>
      </c>
      <c r="D133" s="3" t="str" cm="1">
        <f t="array" ref="D133">_xlfn.IFS(
 ISNUMBER(SEARCH("WHISK",C133)),"Whiskey",
 ISNUMBER(SEARCH("BOURBON",C133)),"Whiskey",
 ISNUMBER(SEARCH("SCOTCH",C133)),"Whiskey",
 ISNUMBER(SEARCH("RYE",C133)),"Whiskey",
 ISNUMBER(SEARCH("VODKA",C133)),"Vodka",
 ISNUMBER(SEARCH("TEQUILA",C133)),"Tequila/Mezcal",
 ISNUMBER(SEARCH("MEZCAL",C133)),"Tequila/Mezcal",
 ISNUMBER(SEARCH("RUM",C133)),"Rum",
 ISNUMBER(SEARCH("BRAND",C133)),"Brandy",
 ISNUMBER(SEARCH("COGNAC",C133)),"Brandy",
 ISNUMBER(SEARCH("LIQUEUR",C133)),"Liqueurs",
 ISNUMBER(SEARCH("CORDIAL",C133)),"Liqueurs",
 ISNUMBER(SEARCH("SCHNAPP",C133)),"Liqueurs",
 ISNUMBER(SEARCH("GIN",C133)),"Gin",
 TRUE,"Other")</f>
        <v>Whiskey</v>
      </c>
      <c r="E133" s="5">
        <v>1522</v>
      </c>
      <c r="F133" s="5">
        <v>51986.219999999921</v>
      </c>
      <c r="G133" s="5">
        <v>1147.5</v>
      </c>
      <c r="H133" s="5">
        <v>196</v>
      </c>
    </row>
    <row r="134" spans="1:8">
      <c r="A134" s="5">
        <v>2021</v>
      </c>
      <c r="B134" s="6">
        <v>44440</v>
      </c>
      <c r="C134" s="5" t="s">
        <v>34</v>
      </c>
      <c r="D134" s="3" t="str" cm="1">
        <f t="array" ref="D134">_xlfn.IFS(
 ISNUMBER(SEARCH("WHISK",C134)),"Whiskey",
 ISNUMBER(SEARCH("BOURBON",C134)),"Whiskey",
 ISNUMBER(SEARCH("SCOTCH",C134)),"Whiskey",
 ISNUMBER(SEARCH("RYE",C134)),"Whiskey",
 ISNUMBER(SEARCH("VODKA",C134)),"Vodka",
 ISNUMBER(SEARCH("TEQUILA",C134)),"Tequila/Mezcal",
 ISNUMBER(SEARCH("MEZCAL",C134)),"Tequila/Mezcal",
 ISNUMBER(SEARCH("RUM",C134)),"Rum",
 ISNUMBER(SEARCH("BRAND",C134)),"Brandy",
 ISNUMBER(SEARCH("COGNAC",C134)),"Brandy",
 ISNUMBER(SEARCH("LIQUEUR",C134)),"Liqueurs",
 ISNUMBER(SEARCH("CORDIAL",C134)),"Liqueurs",
 ISNUMBER(SEARCH("SCHNAPP",C134)),"Liqueurs",
 ISNUMBER(SEARCH("GIN",C134)),"Gin",
 TRUE,"Other")</f>
        <v>Tequila/Mezcal</v>
      </c>
      <c r="E134" s="5">
        <v>1173</v>
      </c>
      <c r="F134" s="5">
        <v>40643.999999999993</v>
      </c>
      <c r="G134" s="5">
        <v>879.75</v>
      </c>
      <c r="H134" s="5">
        <v>208</v>
      </c>
    </row>
    <row r="135" spans="1:8">
      <c r="A135" s="5">
        <v>2021</v>
      </c>
      <c r="B135" s="6">
        <v>44440</v>
      </c>
      <c r="C135" s="5" t="s">
        <v>41</v>
      </c>
      <c r="D135" s="3" t="str" cm="1">
        <f t="array" ref="D135">_xlfn.IFS(
 ISNUMBER(SEARCH("WHISK",C135)),"Whiskey",
 ISNUMBER(SEARCH("BOURBON",C135)),"Whiskey",
 ISNUMBER(SEARCH("SCOTCH",C135)),"Whiskey",
 ISNUMBER(SEARCH("RYE",C135)),"Whiskey",
 ISNUMBER(SEARCH("VODKA",C135)),"Vodka",
 ISNUMBER(SEARCH("TEQUILA",C135)),"Tequila/Mezcal",
 ISNUMBER(SEARCH("MEZCAL",C135)),"Tequila/Mezcal",
 ISNUMBER(SEARCH("RUM",C135)),"Rum",
 ISNUMBER(SEARCH("BRAND",C135)),"Brandy",
 ISNUMBER(SEARCH("COGNAC",C135)),"Brandy",
 ISNUMBER(SEARCH("LIQUEUR",C135)),"Liqueurs",
 ISNUMBER(SEARCH("CORDIAL",C135)),"Liqueurs",
 ISNUMBER(SEARCH("SCHNAPP",C135)),"Liqueurs",
 ISNUMBER(SEARCH("GIN",C135)),"Gin",
 TRUE,"Other")</f>
        <v>Other</v>
      </c>
      <c r="E135" s="5">
        <v>12855</v>
      </c>
      <c r="F135" s="5">
        <v>157619.88000000003</v>
      </c>
      <c r="G135" s="5">
        <v>21425.57</v>
      </c>
      <c r="H135" s="5">
        <v>115</v>
      </c>
    </row>
    <row r="136" spans="1:8">
      <c r="A136" s="5">
        <v>2021</v>
      </c>
      <c r="B136" s="6">
        <v>44440</v>
      </c>
      <c r="C136" s="5" t="s">
        <v>51</v>
      </c>
      <c r="D136" s="3" t="str" cm="1">
        <f t="array" ref="D136">_xlfn.IFS(
 ISNUMBER(SEARCH("WHISK",C136)),"Whiskey",
 ISNUMBER(SEARCH("BOURBON",C136)),"Whiskey",
 ISNUMBER(SEARCH("SCOTCH",C136)),"Whiskey",
 ISNUMBER(SEARCH("RYE",C136)),"Whiskey",
 ISNUMBER(SEARCH("VODKA",C136)),"Vodka",
 ISNUMBER(SEARCH("TEQUILA",C136)),"Tequila/Mezcal",
 ISNUMBER(SEARCH("MEZCAL",C136)),"Tequila/Mezcal",
 ISNUMBER(SEARCH("RUM",C136)),"Rum",
 ISNUMBER(SEARCH("BRAND",C136)),"Brandy",
 ISNUMBER(SEARCH("COGNAC",C136)),"Brandy",
 ISNUMBER(SEARCH("LIQUEUR",C136)),"Liqueurs",
 ISNUMBER(SEARCH("CORDIAL",C136)),"Liqueurs",
 ISNUMBER(SEARCH("SCHNAPP",C136)),"Liqueurs",
 ISNUMBER(SEARCH("GIN",C136)),"Gin",
 TRUE,"Other")</f>
        <v>Other</v>
      </c>
      <c r="E136" s="5">
        <v>47</v>
      </c>
      <c r="F136" s="5">
        <v>1645</v>
      </c>
      <c r="G136" s="5">
        <v>35.25</v>
      </c>
      <c r="H136" s="5">
        <v>12</v>
      </c>
    </row>
    <row r="137" spans="1:8">
      <c r="A137" s="5">
        <v>2021</v>
      </c>
      <c r="B137" s="6">
        <v>44440</v>
      </c>
      <c r="C137" s="5" t="s">
        <v>52</v>
      </c>
      <c r="D137" s="3" t="str" cm="1">
        <f t="array" ref="D137">_xlfn.IFS(
 ISNUMBER(SEARCH("WHISK",C137)),"Whiskey",
 ISNUMBER(SEARCH("BOURBON",C137)),"Whiskey",
 ISNUMBER(SEARCH("SCOTCH",C137)),"Whiskey",
 ISNUMBER(SEARCH("RYE",C137)),"Whiskey",
 ISNUMBER(SEARCH("VODKA",C137)),"Vodka",
 ISNUMBER(SEARCH("TEQUILA",C137)),"Tequila/Mezcal",
 ISNUMBER(SEARCH("MEZCAL",C137)),"Tequila/Mezcal",
 ISNUMBER(SEARCH("RUM",C137)),"Rum",
 ISNUMBER(SEARCH("BRAND",C137)),"Brandy",
 ISNUMBER(SEARCH("COGNAC",C137)),"Brandy",
 ISNUMBER(SEARCH("LIQUEUR",C137)),"Liqueurs",
 ISNUMBER(SEARCH("CORDIAL",C137)),"Liqueurs",
 ISNUMBER(SEARCH("SCHNAPP",C137)),"Liqueurs",
 ISNUMBER(SEARCH("GIN",C137)),"Gin",
 TRUE,"Other")</f>
        <v>Gin</v>
      </c>
      <c r="E137" s="5">
        <v>24</v>
      </c>
      <c r="F137" s="5">
        <v>531.12</v>
      </c>
      <c r="G137" s="5">
        <v>18</v>
      </c>
      <c r="H137" s="5">
        <v>2</v>
      </c>
    </row>
    <row r="138" spans="1:8">
      <c r="A138" s="5">
        <v>2021</v>
      </c>
      <c r="B138" s="6">
        <v>44440</v>
      </c>
      <c r="C138" s="5" t="s">
        <v>53</v>
      </c>
      <c r="D138" s="3" t="str" cm="1">
        <f t="array" ref="D138">_xlfn.IFS(
 ISNUMBER(SEARCH("WHISK",C138)),"Whiskey",
 ISNUMBER(SEARCH("BOURBON",C138)),"Whiskey",
 ISNUMBER(SEARCH("SCOTCH",C138)),"Whiskey",
 ISNUMBER(SEARCH("RYE",C138)),"Whiskey",
 ISNUMBER(SEARCH("VODKA",C138)),"Vodka",
 ISNUMBER(SEARCH("TEQUILA",C138)),"Tequila/Mezcal",
 ISNUMBER(SEARCH("MEZCAL",C138)),"Tequila/Mezcal",
 ISNUMBER(SEARCH("RUM",C138)),"Rum",
 ISNUMBER(SEARCH("BRAND",C138)),"Brandy",
 ISNUMBER(SEARCH("COGNAC",C138)),"Brandy",
 ISNUMBER(SEARCH("LIQUEUR",C138)),"Liqueurs",
 ISNUMBER(SEARCH("CORDIAL",C138)),"Liqueurs",
 ISNUMBER(SEARCH("SCHNAPP",C138)),"Liqueurs",
 ISNUMBER(SEARCH("GIN",C138)),"Gin",
 TRUE,"Other")</f>
        <v>Whiskey</v>
      </c>
      <c r="E138" s="5">
        <v>66</v>
      </c>
      <c r="F138" s="5">
        <v>1881</v>
      </c>
      <c r="G138" s="5">
        <v>49.5</v>
      </c>
      <c r="H138" s="5">
        <v>1</v>
      </c>
    </row>
    <row r="139" spans="1:8">
      <c r="A139" s="5">
        <v>2021</v>
      </c>
      <c r="B139" s="6">
        <v>44440</v>
      </c>
      <c r="C139" s="5" t="s">
        <v>54</v>
      </c>
      <c r="D139" s="3" t="str" cm="1">
        <f t="array" ref="D139">_xlfn.IFS(
 ISNUMBER(SEARCH("WHISK",C139)),"Whiskey",
 ISNUMBER(SEARCH("BOURBON",C139)),"Whiskey",
 ISNUMBER(SEARCH("SCOTCH",C139)),"Whiskey",
 ISNUMBER(SEARCH("RYE",C139)),"Whiskey",
 ISNUMBER(SEARCH("VODKA",C139)),"Vodka",
 ISNUMBER(SEARCH("TEQUILA",C139)),"Tequila/Mezcal",
 ISNUMBER(SEARCH("MEZCAL",C139)),"Tequila/Mezcal",
 ISNUMBER(SEARCH("RUM",C139)),"Rum",
 ISNUMBER(SEARCH("BRAND",C139)),"Brandy",
 ISNUMBER(SEARCH("COGNAC",C139)),"Brandy",
 ISNUMBER(SEARCH("LIQUEUR",C139)),"Liqueurs",
 ISNUMBER(SEARCH("CORDIAL",C139)),"Liqueurs",
 ISNUMBER(SEARCH("SCHNAPP",C139)),"Liqueurs",
 ISNUMBER(SEARCH("GIN",C139)),"Gin",
 TRUE,"Other")</f>
        <v>Whiskey</v>
      </c>
      <c r="E139" s="5">
        <v>6</v>
      </c>
      <c r="F139" s="5">
        <v>736.56</v>
      </c>
      <c r="G139" s="5">
        <v>4.5</v>
      </c>
      <c r="H139" s="5">
        <v>1</v>
      </c>
    </row>
    <row r="140" spans="1:8">
      <c r="A140" s="5">
        <v>2021</v>
      </c>
      <c r="B140" s="6">
        <v>44470</v>
      </c>
      <c r="C140" s="5" t="s">
        <v>50</v>
      </c>
      <c r="D140" s="3" t="str" cm="1">
        <f t="array" ref="D140">_xlfn.IFS(
 ISNUMBER(SEARCH("WHISK",C140)),"Whiskey",
 ISNUMBER(SEARCH("BOURBON",C140)),"Whiskey",
 ISNUMBER(SEARCH("SCOTCH",C140)),"Whiskey",
 ISNUMBER(SEARCH("RYE",C140)),"Whiskey",
 ISNUMBER(SEARCH("VODKA",C140)),"Vodka",
 ISNUMBER(SEARCH("TEQUILA",C140)),"Tequila/Mezcal",
 ISNUMBER(SEARCH("MEZCAL",C140)),"Tequila/Mezcal",
 ISNUMBER(SEARCH("RUM",C140)),"Rum",
 ISNUMBER(SEARCH("BRAND",C140)),"Brandy",
 ISNUMBER(SEARCH("COGNAC",C140)),"Brandy",
 ISNUMBER(SEARCH("LIQUEUR",C140)),"Liqueurs",
 ISNUMBER(SEARCH("CORDIAL",C140)),"Liqueurs",
 ISNUMBER(SEARCH("SCHNAPP",C140)),"Liqueurs",
 ISNUMBER(SEARCH("GIN",C140)),"Gin",
 TRUE,"Other")</f>
        <v>Tequila/Mezcal</v>
      </c>
      <c r="E140" s="5">
        <v>71285</v>
      </c>
      <c r="F140" s="5">
        <v>2094589.2999999765</v>
      </c>
      <c r="G140" s="5">
        <v>50237.80000000009</v>
      </c>
      <c r="H140" s="5">
        <v>7774</v>
      </c>
    </row>
    <row r="141" spans="1:8">
      <c r="A141" s="5">
        <v>2021</v>
      </c>
      <c r="B141" s="6">
        <v>44470</v>
      </c>
      <c r="C141" s="5" t="s">
        <v>59</v>
      </c>
      <c r="D141" s="3" t="str" cm="1">
        <f t="array" ref="D141">_xlfn.IFS(
 ISNUMBER(SEARCH("WHISK",C141)),"Whiskey",
 ISNUMBER(SEARCH("BOURBON",C141)),"Whiskey",
 ISNUMBER(SEARCH("SCOTCH",C141)),"Whiskey",
 ISNUMBER(SEARCH("RYE",C141)),"Whiskey",
 ISNUMBER(SEARCH("VODKA",C141)),"Vodka",
 ISNUMBER(SEARCH("TEQUILA",C141)),"Tequila/Mezcal",
 ISNUMBER(SEARCH("MEZCAL",C141)),"Tequila/Mezcal",
 ISNUMBER(SEARCH("RUM",C141)),"Rum",
 ISNUMBER(SEARCH("BRAND",C141)),"Brandy",
 ISNUMBER(SEARCH("COGNAC",C141)),"Brandy",
 ISNUMBER(SEARCH("LIQUEUR",C141)),"Liqueurs",
 ISNUMBER(SEARCH("CORDIAL",C141)),"Liqueurs",
 ISNUMBER(SEARCH("SCHNAPP",C141)),"Liqueurs",
 ISNUMBER(SEARCH("GIN",C141)),"Gin",
 TRUE,"Other")</f>
        <v>Liqueurs</v>
      </c>
      <c r="E141" s="5">
        <v>38105</v>
      </c>
      <c r="F141" s="5">
        <v>339221.55000000435</v>
      </c>
      <c r="G141" s="5">
        <v>18964.099999999657</v>
      </c>
      <c r="H141" s="5">
        <v>5150</v>
      </c>
    </row>
    <row r="142" spans="1:8">
      <c r="A142" s="5">
        <v>2021</v>
      </c>
      <c r="B142" s="6">
        <v>44470</v>
      </c>
      <c r="C142" s="5" t="s">
        <v>12</v>
      </c>
      <c r="D142" s="3" t="str" cm="1">
        <f t="array" ref="D142">_xlfn.IFS(
 ISNUMBER(SEARCH("WHISK",C142)),"Whiskey",
 ISNUMBER(SEARCH("BOURBON",C142)),"Whiskey",
 ISNUMBER(SEARCH("SCOTCH",C142)),"Whiskey",
 ISNUMBER(SEARCH("RYE",C142)),"Whiskey",
 ISNUMBER(SEARCH("VODKA",C142)),"Vodka",
 ISNUMBER(SEARCH("TEQUILA",C142)),"Tequila/Mezcal",
 ISNUMBER(SEARCH("MEZCAL",C142)),"Tequila/Mezcal",
 ISNUMBER(SEARCH("RUM",C142)),"Rum",
 ISNUMBER(SEARCH("BRAND",C142)),"Brandy",
 ISNUMBER(SEARCH("COGNAC",C142)),"Brandy",
 ISNUMBER(SEARCH("LIQUEUR",C142)),"Liqueurs",
 ISNUMBER(SEARCH("CORDIAL",C142)),"Liqueurs",
 ISNUMBER(SEARCH("SCHNAPP",C142)),"Liqueurs",
 ISNUMBER(SEARCH("GIN",C142)),"Gin",
 TRUE,"Other")</f>
        <v>Vodka</v>
      </c>
      <c r="E142" s="5">
        <v>78260</v>
      </c>
      <c r="F142" s="5">
        <v>827463.77000003308</v>
      </c>
      <c r="G142" s="5">
        <v>54793.69000000017</v>
      </c>
      <c r="H142" s="5">
        <v>9178</v>
      </c>
    </row>
    <row r="143" spans="1:8">
      <c r="A143" s="5">
        <v>2021</v>
      </c>
      <c r="B143" s="6">
        <v>44470</v>
      </c>
      <c r="C143" s="5" t="s">
        <v>14</v>
      </c>
      <c r="D143" s="3" t="str" cm="1">
        <f t="array" ref="D143">_xlfn.IFS(
 ISNUMBER(SEARCH("WHISK",C143)),"Whiskey",
 ISNUMBER(SEARCH("BOURBON",C143)),"Whiskey",
 ISNUMBER(SEARCH("SCOTCH",C143)),"Whiskey",
 ISNUMBER(SEARCH("RYE",C143)),"Whiskey",
 ISNUMBER(SEARCH("VODKA",C143)),"Vodka",
 ISNUMBER(SEARCH("TEQUILA",C143)),"Tequila/Mezcal",
 ISNUMBER(SEARCH("MEZCAL",C143)),"Tequila/Mezcal",
 ISNUMBER(SEARCH("RUM",C143)),"Rum",
 ISNUMBER(SEARCH("BRAND",C143)),"Brandy",
 ISNUMBER(SEARCH("COGNAC",C143)),"Brandy",
 ISNUMBER(SEARCH("LIQUEUR",C143)),"Liqueurs",
 ISNUMBER(SEARCH("CORDIAL",C143)),"Liqueurs",
 ISNUMBER(SEARCH("SCHNAPP",C143)),"Liqueurs",
 ISNUMBER(SEARCH("GIN",C143)),"Gin",
 TRUE,"Other")</f>
        <v>Gin</v>
      </c>
      <c r="E143" s="5">
        <v>341</v>
      </c>
      <c r="F143" s="5">
        <v>2772.3300000000008</v>
      </c>
      <c r="G143" s="5">
        <v>341</v>
      </c>
      <c r="H143" s="5">
        <v>61</v>
      </c>
    </row>
    <row r="144" spans="1:8">
      <c r="A144" s="5">
        <v>2021</v>
      </c>
      <c r="B144" s="6">
        <v>44470</v>
      </c>
      <c r="C144" s="5" t="s">
        <v>15</v>
      </c>
      <c r="D144" s="3" t="str" cm="1">
        <f t="array" ref="D144">_xlfn.IFS(
 ISNUMBER(SEARCH("WHISK",C144)),"Whiskey",
 ISNUMBER(SEARCH("BOURBON",C144)),"Whiskey",
 ISNUMBER(SEARCH("SCOTCH",C144)),"Whiskey",
 ISNUMBER(SEARCH("RYE",C144)),"Whiskey",
 ISNUMBER(SEARCH("VODKA",C144)),"Vodka",
 ISNUMBER(SEARCH("TEQUILA",C144)),"Tequila/Mezcal",
 ISNUMBER(SEARCH("MEZCAL",C144)),"Tequila/Mezcal",
 ISNUMBER(SEARCH("RUM",C144)),"Rum",
 ISNUMBER(SEARCH("BRAND",C144)),"Brandy",
 ISNUMBER(SEARCH("COGNAC",C144)),"Brandy",
 ISNUMBER(SEARCH("LIQUEUR",C144)),"Liqueurs",
 ISNUMBER(SEARCH("CORDIAL",C144)),"Liqueurs",
 ISNUMBER(SEARCH("SCHNAPP",C144)),"Liqueurs",
 ISNUMBER(SEARCH("GIN",C144)),"Gin",
 TRUE,"Other")</f>
        <v>Vodka</v>
      </c>
      <c r="E144" s="5">
        <v>508743</v>
      </c>
      <c r="F144" s="5">
        <v>5091568.369999636</v>
      </c>
      <c r="G144" s="5">
        <v>460189.26999998116</v>
      </c>
      <c r="H144" s="5">
        <v>31830</v>
      </c>
    </row>
    <row r="145" spans="1:8">
      <c r="A145" s="5">
        <v>2021</v>
      </c>
      <c r="B145" s="6">
        <v>44470</v>
      </c>
      <c r="C145" s="5" t="s">
        <v>18</v>
      </c>
      <c r="D145" s="3" t="str" cm="1">
        <f t="array" ref="D145">_xlfn.IFS(
 ISNUMBER(SEARCH("WHISK",C145)),"Whiskey",
 ISNUMBER(SEARCH("BOURBON",C145)),"Whiskey",
 ISNUMBER(SEARCH("SCOTCH",C145)),"Whiskey",
 ISNUMBER(SEARCH("RYE",C145)),"Whiskey",
 ISNUMBER(SEARCH("VODKA",C145)),"Vodka",
 ISNUMBER(SEARCH("TEQUILA",C145)),"Tequila/Mezcal",
 ISNUMBER(SEARCH("MEZCAL",C145)),"Tequila/Mezcal",
 ISNUMBER(SEARCH("RUM",C145)),"Rum",
 ISNUMBER(SEARCH("BRAND",C145)),"Brandy",
 ISNUMBER(SEARCH("COGNAC",C145)),"Brandy",
 ISNUMBER(SEARCH("LIQUEUR",C145)),"Liqueurs",
 ISNUMBER(SEARCH("CORDIAL",C145)),"Liqueurs",
 ISNUMBER(SEARCH("SCHNAPP",C145)),"Liqueurs",
 ISNUMBER(SEARCH("GIN",C145)),"Gin",
 TRUE,"Other")</f>
        <v>Whiskey</v>
      </c>
      <c r="E145" s="5">
        <v>284016</v>
      </c>
      <c r="F145" s="5">
        <v>4324345.0100001935</v>
      </c>
      <c r="G145" s="5">
        <v>279930.09999999555</v>
      </c>
      <c r="H145" s="5">
        <v>19803</v>
      </c>
    </row>
    <row r="146" spans="1:8">
      <c r="A146" s="5">
        <v>2021</v>
      </c>
      <c r="B146" s="6">
        <v>44470</v>
      </c>
      <c r="C146" s="5" t="s">
        <v>24</v>
      </c>
      <c r="D146" s="3" t="str" cm="1">
        <f t="array" ref="D146">_xlfn.IFS(
 ISNUMBER(SEARCH("WHISK",C146)),"Whiskey",
 ISNUMBER(SEARCH("BOURBON",C146)),"Whiskey",
 ISNUMBER(SEARCH("SCOTCH",C146)),"Whiskey",
 ISNUMBER(SEARCH("RYE",C146)),"Whiskey",
 ISNUMBER(SEARCH("VODKA",C146)),"Vodka",
 ISNUMBER(SEARCH("TEQUILA",C146)),"Tequila/Mezcal",
 ISNUMBER(SEARCH("MEZCAL",C146)),"Tequila/Mezcal",
 ISNUMBER(SEARCH("RUM",C146)),"Rum",
 ISNUMBER(SEARCH("BRAND",C146)),"Brandy",
 ISNUMBER(SEARCH("COGNAC",C146)),"Brandy",
 ISNUMBER(SEARCH("LIQUEUR",C146)),"Liqueurs",
 ISNUMBER(SEARCH("CORDIAL",C146)),"Liqueurs",
 ISNUMBER(SEARCH("SCHNAPP",C146)),"Liqueurs",
 ISNUMBER(SEARCH("GIN",C146)),"Gin",
 TRUE,"Other")</f>
        <v>Rum</v>
      </c>
      <c r="E146" s="5">
        <v>58965</v>
      </c>
      <c r="F146" s="5">
        <v>821907.29000000027</v>
      </c>
      <c r="G146" s="5">
        <v>52787.000000000022</v>
      </c>
      <c r="H146" s="5">
        <v>5229</v>
      </c>
    </row>
    <row r="147" spans="1:8">
      <c r="A147" s="5">
        <v>2021</v>
      </c>
      <c r="B147" s="6">
        <v>44470</v>
      </c>
      <c r="C147" s="5" t="s">
        <v>26</v>
      </c>
      <c r="D147" s="3" t="str" cm="1">
        <f t="array" ref="D147">_xlfn.IFS(
 ISNUMBER(SEARCH("WHISK",C147)),"Whiskey",
 ISNUMBER(SEARCH("BOURBON",C147)),"Whiskey",
 ISNUMBER(SEARCH("SCOTCH",C147)),"Whiskey",
 ISNUMBER(SEARCH("RYE",C147)),"Whiskey",
 ISNUMBER(SEARCH("VODKA",C147)),"Vodka",
 ISNUMBER(SEARCH("TEQUILA",C147)),"Tequila/Mezcal",
 ISNUMBER(SEARCH("MEZCAL",C147)),"Tequila/Mezcal",
 ISNUMBER(SEARCH("RUM",C147)),"Rum",
 ISNUMBER(SEARCH("BRAND",C147)),"Brandy",
 ISNUMBER(SEARCH("COGNAC",C147)),"Brandy",
 ISNUMBER(SEARCH("LIQUEUR",C147)),"Liqueurs",
 ISNUMBER(SEARCH("CORDIAL",C147)),"Liqueurs",
 ISNUMBER(SEARCH("SCHNAPP",C147)),"Liqueurs",
 ISNUMBER(SEARCH("GIN",C147)),"Gin",
 TRUE,"Other")</f>
        <v>Brandy</v>
      </c>
      <c r="E147" s="5">
        <v>66011</v>
      </c>
      <c r="F147" s="5">
        <v>1289980.8899999743</v>
      </c>
      <c r="G147" s="5">
        <v>25828.839999999702</v>
      </c>
      <c r="H147" s="5">
        <v>4307</v>
      </c>
    </row>
    <row r="148" spans="1:8">
      <c r="A148" s="5">
        <v>2021</v>
      </c>
      <c r="B148" s="6">
        <v>44470</v>
      </c>
      <c r="C148" s="5" t="s">
        <v>42</v>
      </c>
      <c r="D148" s="3" t="str" cm="1">
        <f t="array" ref="D148">_xlfn.IFS(
 ISNUMBER(SEARCH("WHISK",C148)),"Whiskey",
 ISNUMBER(SEARCH("BOURBON",C148)),"Whiskey",
 ISNUMBER(SEARCH("SCOTCH",C148)),"Whiskey",
 ISNUMBER(SEARCH("RYE",C148)),"Whiskey",
 ISNUMBER(SEARCH("VODKA",C148)),"Vodka",
 ISNUMBER(SEARCH("TEQUILA",C148)),"Tequila/Mezcal",
 ISNUMBER(SEARCH("MEZCAL",C148)),"Tequila/Mezcal",
 ISNUMBER(SEARCH("RUM",C148)),"Rum",
 ISNUMBER(SEARCH("BRAND",C148)),"Brandy",
 ISNUMBER(SEARCH("COGNAC",C148)),"Brandy",
 ISNUMBER(SEARCH("LIQUEUR",C148)),"Liqueurs",
 ISNUMBER(SEARCH("CORDIAL",C148)),"Liqueurs",
 ISNUMBER(SEARCH("SCHNAPP",C148)),"Liqueurs",
 ISNUMBER(SEARCH("GIN",C148)),"Gin",
 TRUE,"Other")</f>
        <v>Rum</v>
      </c>
      <c r="E148" s="5">
        <v>123003</v>
      </c>
      <c r="F148" s="5">
        <v>1704371.6599999932</v>
      </c>
      <c r="G148" s="5">
        <v>105733.68000000094</v>
      </c>
      <c r="H148" s="5">
        <v>8855</v>
      </c>
    </row>
    <row r="149" spans="1:8">
      <c r="A149" s="5">
        <v>2021</v>
      </c>
      <c r="B149" s="6">
        <v>44470</v>
      </c>
      <c r="C149" s="5" t="s">
        <v>43</v>
      </c>
      <c r="D149" s="3" t="str" cm="1">
        <f t="array" ref="D149">_xlfn.IFS(
 ISNUMBER(SEARCH("WHISK",C149)),"Whiskey",
 ISNUMBER(SEARCH("BOURBON",C149)),"Whiskey",
 ISNUMBER(SEARCH("SCOTCH",C149)),"Whiskey",
 ISNUMBER(SEARCH("RYE",C149)),"Whiskey",
 ISNUMBER(SEARCH("VODKA",C149)),"Vodka",
 ISNUMBER(SEARCH("TEQUILA",C149)),"Tequila/Mezcal",
 ISNUMBER(SEARCH("MEZCAL",C149)),"Tequila/Mezcal",
 ISNUMBER(SEARCH("RUM",C149)),"Rum",
 ISNUMBER(SEARCH("BRAND",C149)),"Brandy",
 ISNUMBER(SEARCH("COGNAC",C149)),"Brandy",
 ISNUMBER(SEARCH("LIQUEUR",C149)),"Liqueurs",
 ISNUMBER(SEARCH("CORDIAL",C149)),"Liqueurs",
 ISNUMBER(SEARCH("SCHNAPP",C149)),"Liqueurs",
 ISNUMBER(SEARCH("GIN",C149)),"Gin",
 TRUE,"Other")</f>
        <v>Whiskey</v>
      </c>
      <c r="E149" s="5">
        <v>194677</v>
      </c>
      <c r="F149" s="5">
        <v>4262052.7999999318</v>
      </c>
      <c r="G149" s="5">
        <v>154138.74000000153</v>
      </c>
      <c r="H149" s="5">
        <v>15162</v>
      </c>
    </row>
    <row r="150" spans="1:8">
      <c r="A150" s="5">
        <v>2021</v>
      </c>
      <c r="B150" s="6">
        <v>44470</v>
      </c>
      <c r="C150" s="5" t="s">
        <v>45</v>
      </c>
      <c r="D150" s="3" t="str" cm="1">
        <f t="array" ref="D150">_xlfn.IFS(
 ISNUMBER(SEARCH("WHISK",C150)),"Whiskey",
 ISNUMBER(SEARCH("BOURBON",C150)),"Whiskey",
 ISNUMBER(SEARCH("SCOTCH",C150)),"Whiskey",
 ISNUMBER(SEARCH("RYE",C150)),"Whiskey",
 ISNUMBER(SEARCH("VODKA",C150)),"Vodka",
 ISNUMBER(SEARCH("TEQUILA",C150)),"Tequila/Mezcal",
 ISNUMBER(SEARCH("MEZCAL",C150)),"Tequila/Mezcal",
 ISNUMBER(SEARCH("RUM",C150)),"Rum",
 ISNUMBER(SEARCH("BRAND",C150)),"Brandy",
 ISNUMBER(SEARCH("COGNAC",C150)),"Brandy",
 ISNUMBER(SEARCH("LIQUEUR",C150)),"Liqueurs",
 ISNUMBER(SEARCH("CORDIAL",C150)),"Liqueurs",
 ISNUMBER(SEARCH("SCHNAPP",C150)),"Liqueurs",
 ISNUMBER(SEARCH("GIN",C150)),"Gin",
 TRUE,"Other")</f>
        <v>Other</v>
      </c>
      <c r="E150" s="5">
        <v>72407</v>
      </c>
      <c r="F150" s="5">
        <v>1737168.2399999469</v>
      </c>
      <c r="G150" s="5">
        <v>46944.62999999959</v>
      </c>
      <c r="H150" s="5">
        <v>8699</v>
      </c>
    </row>
    <row r="151" spans="1:8">
      <c r="A151" s="5">
        <v>2021</v>
      </c>
      <c r="B151" s="6">
        <v>44470</v>
      </c>
      <c r="C151" s="5" t="s">
        <v>48</v>
      </c>
      <c r="D151" s="3" t="str" cm="1">
        <f t="array" ref="D151">_xlfn.IFS(
 ISNUMBER(SEARCH("WHISK",C151)),"Whiskey",
 ISNUMBER(SEARCH("BOURBON",C151)),"Whiskey",
 ISNUMBER(SEARCH("SCOTCH",C151)),"Whiskey",
 ISNUMBER(SEARCH("RYE",C151)),"Whiskey",
 ISNUMBER(SEARCH("VODKA",C151)),"Vodka",
 ISNUMBER(SEARCH("TEQUILA",C151)),"Tequila/Mezcal",
 ISNUMBER(SEARCH("MEZCAL",C151)),"Tequila/Mezcal",
 ISNUMBER(SEARCH("RUM",C151)),"Rum",
 ISNUMBER(SEARCH("BRAND",C151)),"Brandy",
 ISNUMBER(SEARCH("COGNAC",C151)),"Brandy",
 ISNUMBER(SEARCH("LIQUEUR",C151)),"Liqueurs",
 ISNUMBER(SEARCH("CORDIAL",C151)),"Liqueurs",
 ISNUMBER(SEARCH("SCHNAPP",C151)),"Liqueurs",
 ISNUMBER(SEARCH("GIN",C151)),"Gin",
 TRUE,"Other")</f>
        <v>Whiskey</v>
      </c>
      <c r="E151" s="5">
        <v>363599</v>
      </c>
      <c r="F151" s="5">
        <v>2232609.7299999972</v>
      </c>
      <c r="G151" s="5">
        <v>111374.99000000341</v>
      </c>
      <c r="H151" s="5">
        <v>11195</v>
      </c>
    </row>
    <row r="152" spans="1:8">
      <c r="A152" s="5">
        <v>2021</v>
      </c>
      <c r="B152" s="6">
        <v>44470</v>
      </c>
      <c r="C152" s="5" t="s">
        <v>10</v>
      </c>
      <c r="D152" s="3" t="str" cm="1">
        <f t="array" ref="D152">_xlfn.IFS(
 ISNUMBER(SEARCH("WHISK",C152)),"Whiskey",
 ISNUMBER(SEARCH("BOURBON",C152)),"Whiskey",
 ISNUMBER(SEARCH("SCOTCH",C152)),"Whiskey",
 ISNUMBER(SEARCH("RYE",C152)),"Whiskey",
 ISNUMBER(SEARCH("VODKA",C152)),"Vodka",
 ISNUMBER(SEARCH("TEQUILA",C152)),"Tequila/Mezcal",
 ISNUMBER(SEARCH("MEZCAL",C152)),"Tequila/Mezcal",
 ISNUMBER(SEARCH("RUM",C152)),"Rum",
 ISNUMBER(SEARCH("BRAND",C152)),"Brandy",
 ISNUMBER(SEARCH("COGNAC",C152)),"Brandy",
 ISNUMBER(SEARCH("LIQUEUR",C152)),"Liqueurs",
 ISNUMBER(SEARCH("CORDIAL",C152)),"Liqueurs",
 ISNUMBER(SEARCH("SCHNAPP",C152)),"Liqueurs",
 ISNUMBER(SEARCH("GIN",C152)),"Gin",
 TRUE,"Other")</f>
        <v>Other</v>
      </c>
      <c r="E152" s="5">
        <v>6922</v>
      </c>
      <c r="F152" s="5">
        <v>127008.58999999957</v>
      </c>
      <c r="G152" s="5">
        <v>4201.1000000000004</v>
      </c>
      <c r="H152" s="5">
        <v>860</v>
      </c>
    </row>
    <row r="153" spans="1:8">
      <c r="A153" s="5">
        <v>2021</v>
      </c>
      <c r="B153" s="6">
        <v>44470</v>
      </c>
      <c r="C153" s="5" t="s">
        <v>16</v>
      </c>
      <c r="D153" s="3" t="str" cm="1">
        <f t="array" ref="D153">_xlfn.IFS(
 ISNUMBER(SEARCH("WHISK",C153)),"Whiskey",
 ISNUMBER(SEARCH("BOURBON",C153)),"Whiskey",
 ISNUMBER(SEARCH("SCOTCH",C153)),"Whiskey",
 ISNUMBER(SEARCH("RYE",C153)),"Whiskey",
 ISNUMBER(SEARCH("VODKA",C153)),"Vodka",
 ISNUMBER(SEARCH("TEQUILA",C153)),"Tequila/Mezcal",
 ISNUMBER(SEARCH("MEZCAL",C153)),"Tequila/Mezcal",
 ISNUMBER(SEARCH("RUM",C153)),"Rum",
 ISNUMBER(SEARCH("BRAND",C153)),"Brandy",
 ISNUMBER(SEARCH("COGNAC",C153)),"Brandy",
 ISNUMBER(SEARCH("LIQUEUR",C153)),"Liqueurs",
 ISNUMBER(SEARCH("CORDIAL",C153)),"Liqueurs",
 ISNUMBER(SEARCH("SCHNAPP",C153)),"Liqueurs",
 ISNUMBER(SEARCH("GIN",C153)),"Gin",
 TRUE,"Other")</f>
        <v>Whiskey</v>
      </c>
      <c r="E153" s="5">
        <v>77204</v>
      </c>
      <c r="F153" s="5">
        <v>1004929.2099999984</v>
      </c>
      <c r="G153" s="5">
        <v>65010.270000000492</v>
      </c>
      <c r="H153" s="5">
        <v>8759</v>
      </c>
    </row>
    <row r="154" spans="1:8">
      <c r="A154" s="5">
        <v>2021</v>
      </c>
      <c r="B154" s="6">
        <v>44470</v>
      </c>
      <c r="C154" s="5" t="s">
        <v>19</v>
      </c>
      <c r="D154" s="3" t="str" cm="1">
        <f t="array" ref="D154">_xlfn.IFS(
 ISNUMBER(SEARCH("WHISK",C154)),"Whiskey",
 ISNUMBER(SEARCH("BOURBON",C154)),"Whiskey",
 ISNUMBER(SEARCH("SCOTCH",C154)),"Whiskey",
 ISNUMBER(SEARCH("RYE",C154)),"Whiskey",
 ISNUMBER(SEARCH("VODKA",C154)),"Vodka",
 ISNUMBER(SEARCH("TEQUILA",C154)),"Tequila/Mezcal",
 ISNUMBER(SEARCH("MEZCAL",C154)),"Tequila/Mezcal",
 ISNUMBER(SEARCH("RUM",C154)),"Rum",
 ISNUMBER(SEARCH("BRAND",C154)),"Brandy",
 ISNUMBER(SEARCH("COGNAC",C154)),"Brandy",
 ISNUMBER(SEARCH("LIQUEUR",C154)),"Liqueurs",
 ISNUMBER(SEARCH("CORDIAL",C154)),"Liqueurs",
 ISNUMBER(SEARCH("SCHNAPP",C154)),"Liqueurs",
 ISNUMBER(SEARCH("GIN",C154)),"Gin",
 TRUE,"Other")</f>
        <v>Other</v>
      </c>
      <c r="E154" s="5">
        <v>45696</v>
      </c>
      <c r="F154" s="5">
        <v>522516.87999999058</v>
      </c>
      <c r="G154" s="5">
        <v>63987.370000000061</v>
      </c>
      <c r="H154" s="5">
        <v>5632</v>
      </c>
    </row>
    <row r="155" spans="1:8">
      <c r="A155" s="5">
        <v>2021</v>
      </c>
      <c r="B155" s="6">
        <v>44470</v>
      </c>
      <c r="C155" s="5" t="s">
        <v>22</v>
      </c>
      <c r="D155" s="3" t="str" cm="1">
        <f t="array" ref="D155">_xlfn.IFS(
 ISNUMBER(SEARCH("WHISK",C155)),"Whiskey",
 ISNUMBER(SEARCH("BOURBON",C155)),"Whiskey",
 ISNUMBER(SEARCH("SCOTCH",C155)),"Whiskey",
 ISNUMBER(SEARCH("RYE",C155)),"Whiskey",
 ISNUMBER(SEARCH("VODKA",C155)),"Vodka",
 ISNUMBER(SEARCH("TEQUILA",C155)),"Tequila/Mezcal",
 ISNUMBER(SEARCH("MEZCAL",C155)),"Tequila/Mezcal",
 ISNUMBER(SEARCH("RUM",C155)),"Rum",
 ISNUMBER(SEARCH("BRAND",C155)),"Brandy",
 ISNUMBER(SEARCH("COGNAC",C155)),"Brandy",
 ISNUMBER(SEARCH("LIQUEUR",C155)),"Liqueurs",
 ISNUMBER(SEARCH("CORDIAL",C155)),"Liqueurs",
 ISNUMBER(SEARCH("SCHNAPP",C155)),"Liqueurs",
 ISNUMBER(SEARCH("GIN",C155)),"Gin",
 TRUE,"Other")</f>
        <v>Liqueurs</v>
      </c>
      <c r="E155" s="5">
        <v>53771</v>
      </c>
      <c r="F155" s="5">
        <v>1043486.1599999997</v>
      </c>
      <c r="G155" s="5">
        <v>48682.380000000092</v>
      </c>
      <c r="H155" s="5">
        <v>4582</v>
      </c>
    </row>
    <row r="156" spans="1:8">
      <c r="A156" s="5">
        <v>2021</v>
      </c>
      <c r="B156" s="6">
        <v>44470</v>
      </c>
      <c r="C156" s="5" t="s">
        <v>25</v>
      </c>
      <c r="D156" s="3" t="str" cm="1">
        <f t="array" ref="D156">_xlfn.IFS(
 ISNUMBER(SEARCH("WHISK",C156)),"Whiskey",
 ISNUMBER(SEARCH("BOURBON",C156)),"Whiskey",
 ISNUMBER(SEARCH("SCOTCH",C156)),"Whiskey",
 ISNUMBER(SEARCH("RYE",C156)),"Whiskey",
 ISNUMBER(SEARCH("VODKA",C156)),"Vodka",
 ISNUMBER(SEARCH("TEQUILA",C156)),"Tequila/Mezcal",
 ISNUMBER(SEARCH("MEZCAL",C156)),"Tequila/Mezcal",
 ISNUMBER(SEARCH("RUM",C156)),"Rum",
 ISNUMBER(SEARCH("BRAND",C156)),"Brandy",
 ISNUMBER(SEARCH("COGNAC",C156)),"Brandy",
 ISNUMBER(SEARCH("LIQUEUR",C156)),"Liqueurs",
 ISNUMBER(SEARCH("CORDIAL",C156)),"Liqueurs",
 ISNUMBER(SEARCH("SCHNAPP",C156)),"Liqueurs",
 ISNUMBER(SEARCH("GIN",C156)),"Gin",
 TRUE,"Other")</f>
        <v>Rum</v>
      </c>
      <c r="E156" s="5">
        <v>7591</v>
      </c>
      <c r="F156" s="5">
        <v>98340.049999999683</v>
      </c>
      <c r="G156" s="5">
        <v>8353.9800000000068</v>
      </c>
      <c r="H156" s="5">
        <v>1061</v>
      </c>
    </row>
    <row r="157" spans="1:8">
      <c r="A157" s="5">
        <v>2021</v>
      </c>
      <c r="B157" s="6">
        <v>44470</v>
      </c>
      <c r="C157" s="5" t="s">
        <v>60</v>
      </c>
      <c r="D157" s="3" t="str" cm="1">
        <f t="array" ref="D157">_xlfn.IFS(
 ISNUMBER(SEARCH("WHISK",C157)),"Whiskey",
 ISNUMBER(SEARCH("BOURBON",C157)),"Whiskey",
 ISNUMBER(SEARCH("SCOTCH",C157)),"Whiskey",
 ISNUMBER(SEARCH("RYE",C157)),"Whiskey",
 ISNUMBER(SEARCH("VODKA",C157)),"Vodka",
 ISNUMBER(SEARCH("TEQUILA",C157)),"Tequila/Mezcal",
 ISNUMBER(SEARCH("MEZCAL",C157)),"Tequila/Mezcal",
 ISNUMBER(SEARCH("RUM",C157)),"Rum",
 ISNUMBER(SEARCH("BRAND",C157)),"Brandy",
 ISNUMBER(SEARCH("COGNAC",C157)),"Brandy",
 ISNUMBER(SEARCH("LIQUEUR",C157)),"Liqueurs",
 ISNUMBER(SEARCH("CORDIAL",C157)),"Liqueurs",
 ISNUMBER(SEARCH("SCHNAPP",C157)),"Liqueurs",
 ISNUMBER(SEARCH("GIN",C157)),"Gin",
 TRUE,"Other")</f>
        <v>Liqueurs</v>
      </c>
      <c r="E157" s="5">
        <v>45588</v>
      </c>
      <c r="F157" s="5">
        <v>1000190.220000002</v>
      </c>
      <c r="G157" s="5">
        <v>30013.219999999801</v>
      </c>
      <c r="H157" s="5">
        <v>5133</v>
      </c>
    </row>
    <row r="158" spans="1:8">
      <c r="A158" s="5">
        <v>2021</v>
      </c>
      <c r="B158" s="6">
        <v>44470</v>
      </c>
      <c r="C158" s="5" t="s">
        <v>32</v>
      </c>
      <c r="D158" s="3" t="str" cm="1">
        <f t="array" ref="D158">_xlfn.IFS(
 ISNUMBER(SEARCH("WHISK",C158)),"Whiskey",
 ISNUMBER(SEARCH("BOURBON",C158)),"Whiskey",
 ISNUMBER(SEARCH("SCOTCH",C158)),"Whiskey",
 ISNUMBER(SEARCH("RYE",C158)),"Whiskey",
 ISNUMBER(SEARCH("VODKA",C158)),"Vodka",
 ISNUMBER(SEARCH("TEQUILA",C158)),"Tequila/Mezcal",
 ISNUMBER(SEARCH("MEZCAL",C158)),"Tequila/Mezcal",
 ISNUMBER(SEARCH("RUM",C158)),"Rum",
 ISNUMBER(SEARCH("BRAND",C158)),"Brandy",
 ISNUMBER(SEARCH("COGNAC",C158)),"Brandy",
 ISNUMBER(SEARCH("LIQUEUR",C158)),"Liqueurs",
 ISNUMBER(SEARCH("CORDIAL",C158)),"Liqueurs",
 ISNUMBER(SEARCH("SCHNAPP",C158)),"Liqueurs",
 ISNUMBER(SEARCH("GIN",C158)),"Gin",
 TRUE,"Other")</f>
        <v>Vodka</v>
      </c>
      <c r="E158" s="5">
        <v>68175</v>
      </c>
      <c r="F158" s="5">
        <v>1216092.3099999574</v>
      </c>
      <c r="G158" s="5">
        <v>70101.240000000354</v>
      </c>
      <c r="H158" s="5">
        <v>5034</v>
      </c>
    </row>
    <row r="159" spans="1:8">
      <c r="A159" s="5">
        <v>2021</v>
      </c>
      <c r="B159" s="6">
        <v>44470</v>
      </c>
      <c r="C159" s="5" t="s">
        <v>35</v>
      </c>
      <c r="D159" s="3" t="str" cm="1">
        <f t="array" ref="D159">_xlfn.IFS(
 ISNUMBER(SEARCH("WHISK",C159)),"Whiskey",
 ISNUMBER(SEARCH("BOURBON",C159)),"Whiskey",
 ISNUMBER(SEARCH("SCOTCH",C159)),"Whiskey",
 ISNUMBER(SEARCH("RYE",C159)),"Whiskey",
 ISNUMBER(SEARCH("VODKA",C159)),"Vodka",
 ISNUMBER(SEARCH("TEQUILA",C159)),"Tequila/Mezcal",
 ISNUMBER(SEARCH("MEZCAL",C159)),"Tequila/Mezcal",
 ISNUMBER(SEARCH("RUM",C159)),"Rum",
 ISNUMBER(SEARCH("BRAND",C159)),"Brandy",
 ISNUMBER(SEARCH("COGNAC",C159)),"Brandy",
 ISNUMBER(SEARCH("LIQUEUR",C159)),"Liqueurs",
 ISNUMBER(SEARCH("CORDIAL",C159)),"Liqueurs",
 ISNUMBER(SEARCH("SCHNAPP",C159)),"Liqueurs",
 ISNUMBER(SEARCH("GIN",C159)),"Gin",
 TRUE,"Other")</f>
        <v>Tequila/Mezcal</v>
      </c>
      <c r="E159" s="5">
        <v>64826</v>
      </c>
      <c r="F159" s="5">
        <v>920397.67999998445</v>
      </c>
      <c r="G159" s="5">
        <v>53134.910000000062</v>
      </c>
      <c r="H159" s="5">
        <v>4380</v>
      </c>
    </row>
    <row r="160" spans="1:8">
      <c r="A160" s="5">
        <v>2021</v>
      </c>
      <c r="B160" s="6">
        <v>44470</v>
      </c>
      <c r="C160" s="5" t="s">
        <v>37</v>
      </c>
      <c r="D160" s="3" t="str" cm="1">
        <f t="array" ref="D160">_xlfn.IFS(
 ISNUMBER(SEARCH("WHISK",C160)),"Whiskey",
 ISNUMBER(SEARCH("BOURBON",C160)),"Whiskey",
 ISNUMBER(SEARCH("SCOTCH",C160)),"Whiskey",
 ISNUMBER(SEARCH("RYE",C160)),"Whiskey",
 ISNUMBER(SEARCH("VODKA",C160)),"Vodka",
 ISNUMBER(SEARCH("TEQUILA",C160)),"Tequila/Mezcal",
 ISNUMBER(SEARCH("MEZCAL",C160)),"Tequila/Mezcal",
 ISNUMBER(SEARCH("RUM",C160)),"Rum",
 ISNUMBER(SEARCH("BRAND",C160)),"Brandy",
 ISNUMBER(SEARCH("COGNAC",C160)),"Brandy",
 ISNUMBER(SEARCH("LIQUEUR",C160)),"Liqueurs",
 ISNUMBER(SEARCH("CORDIAL",C160)),"Liqueurs",
 ISNUMBER(SEARCH("SCHNAPP",C160)),"Liqueurs",
 ISNUMBER(SEARCH("GIN",C160)),"Gin",
 TRUE,"Other")</f>
        <v>Other</v>
      </c>
      <c r="E160" s="5">
        <v>9725</v>
      </c>
      <c r="F160" s="5">
        <v>155382.22</v>
      </c>
      <c r="G160" s="5">
        <v>5910.5499999999984</v>
      </c>
      <c r="H160" s="5">
        <v>1386</v>
      </c>
    </row>
    <row r="161" spans="1:8">
      <c r="A161" s="5">
        <v>2021</v>
      </c>
      <c r="B161" s="6">
        <v>44470</v>
      </c>
      <c r="C161" s="5" t="s">
        <v>38</v>
      </c>
      <c r="D161" s="3" t="str" cm="1">
        <f t="array" ref="D161">_xlfn.IFS(
 ISNUMBER(SEARCH("WHISK",C161)),"Whiskey",
 ISNUMBER(SEARCH("BOURBON",C161)),"Whiskey",
 ISNUMBER(SEARCH("SCOTCH",C161)),"Whiskey",
 ISNUMBER(SEARCH("RYE",C161)),"Whiskey",
 ISNUMBER(SEARCH("VODKA",C161)),"Vodka",
 ISNUMBER(SEARCH("TEQUILA",C161)),"Tequila/Mezcal",
 ISNUMBER(SEARCH("MEZCAL",C161)),"Tequila/Mezcal",
 ISNUMBER(SEARCH("RUM",C161)),"Rum",
 ISNUMBER(SEARCH("BRAND",C161)),"Brandy",
 ISNUMBER(SEARCH("COGNAC",C161)),"Brandy",
 ISNUMBER(SEARCH("LIQUEUR",C161)),"Liqueurs",
 ISNUMBER(SEARCH("CORDIAL",C161)),"Liqueurs",
 ISNUMBER(SEARCH("SCHNAPP",C161)),"Liqueurs",
 ISNUMBER(SEARCH("GIN",C161)),"Gin",
 TRUE,"Other")</f>
        <v>Whiskey</v>
      </c>
      <c r="E161" s="5">
        <v>17491</v>
      </c>
      <c r="F161" s="5">
        <v>474401.69999999832</v>
      </c>
      <c r="G161" s="5">
        <v>18191.459999999995</v>
      </c>
      <c r="H161" s="5">
        <v>2800</v>
      </c>
    </row>
    <row r="162" spans="1:8">
      <c r="A162" s="5">
        <v>2021</v>
      </c>
      <c r="B162" s="6">
        <v>44470</v>
      </c>
      <c r="C162" s="5" t="s">
        <v>46</v>
      </c>
      <c r="D162" s="3" t="str" cm="1">
        <f t="array" ref="D162">_xlfn.IFS(
 ISNUMBER(SEARCH("WHISK",C162)),"Whiskey",
 ISNUMBER(SEARCH("BOURBON",C162)),"Whiskey",
 ISNUMBER(SEARCH("SCOTCH",C162)),"Whiskey",
 ISNUMBER(SEARCH("RYE",C162)),"Whiskey",
 ISNUMBER(SEARCH("VODKA",C162)),"Vodka",
 ISNUMBER(SEARCH("TEQUILA",C162)),"Tequila/Mezcal",
 ISNUMBER(SEARCH("MEZCAL",C162)),"Tequila/Mezcal",
 ISNUMBER(SEARCH("RUM",C162)),"Rum",
 ISNUMBER(SEARCH("BRAND",C162)),"Brandy",
 ISNUMBER(SEARCH("COGNAC",C162)),"Brandy",
 ISNUMBER(SEARCH("LIQUEUR",C162)),"Liqueurs",
 ISNUMBER(SEARCH("CORDIAL",C162)),"Liqueurs",
 ISNUMBER(SEARCH("SCHNAPP",C162)),"Liqueurs",
 ISNUMBER(SEARCH("GIN",C162)),"Gin",
 TRUE,"Other")</f>
        <v>Whiskey</v>
      </c>
      <c r="E162" s="5">
        <v>54982</v>
      </c>
      <c r="F162" s="5">
        <v>1158525.7699999851</v>
      </c>
      <c r="G162" s="5">
        <v>35811.029999999446</v>
      </c>
      <c r="H162" s="5">
        <v>5515</v>
      </c>
    </row>
    <row r="163" spans="1:8">
      <c r="A163" s="5">
        <v>2021</v>
      </c>
      <c r="B163" s="6">
        <v>44470</v>
      </c>
      <c r="C163" s="5" t="s">
        <v>49</v>
      </c>
      <c r="D163" s="3" t="str" cm="1">
        <f t="array" ref="D163">_xlfn.IFS(
 ISNUMBER(SEARCH("WHISK",C163)),"Whiskey",
 ISNUMBER(SEARCH("BOURBON",C163)),"Whiskey",
 ISNUMBER(SEARCH("SCOTCH",C163)),"Whiskey",
 ISNUMBER(SEARCH("RYE",C163)),"Whiskey",
 ISNUMBER(SEARCH("VODKA",C163)),"Vodka",
 ISNUMBER(SEARCH("TEQUILA",C163)),"Tequila/Mezcal",
 ISNUMBER(SEARCH("MEZCAL",C163)),"Tequila/Mezcal",
 ISNUMBER(SEARCH("RUM",C163)),"Rum",
 ISNUMBER(SEARCH("BRAND",C163)),"Brandy",
 ISNUMBER(SEARCH("COGNAC",C163)),"Brandy",
 ISNUMBER(SEARCH("LIQUEUR",C163)),"Liqueurs",
 ISNUMBER(SEARCH("CORDIAL",C163)),"Liqueurs",
 ISNUMBER(SEARCH("SCHNAPP",C163)),"Liqueurs",
 ISNUMBER(SEARCH("GIN",C163)),"Gin",
 TRUE,"Other")</f>
        <v>Rum</v>
      </c>
      <c r="E163" s="5">
        <v>48467</v>
      </c>
      <c r="F163" s="5">
        <v>557476.22999999893</v>
      </c>
      <c r="G163" s="5">
        <v>50257.690000000097</v>
      </c>
      <c r="H163" s="5">
        <v>4082</v>
      </c>
    </row>
    <row r="164" spans="1:8">
      <c r="A164" s="5">
        <v>2021</v>
      </c>
      <c r="B164" s="6">
        <v>44470</v>
      </c>
      <c r="C164" s="5" t="s">
        <v>11</v>
      </c>
      <c r="D164" s="3" t="str" cm="1">
        <f t="array" ref="D164">_xlfn.IFS(
 ISNUMBER(SEARCH("WHISK",C164)),"Whiskey",
 ISNUMBER(SEARCH("BOURBON",C164)),"Whiskey",
 ISNUMBER(SEARCH("SCOTCH",C164)),"Whiskey",
 ISNUMBER(SEARCH("RYE",C164)),"Whiskey",
 ISNUMBER(SEARCH("VODKA",C164)),"Vodka",
 ISNUMBER(SEARCH("TEQUILA",C164)),"Tequila/Mezcal",
 ISNUMBER(SEARCH("MEZCAL",C164)),"Tequila/Mezcal",
 ISNUMBER(SEARCH("RUM",C164)),"Rum",
 ISNUMBER(SEARCH("BRAND",C164)),"Brandy",
 ISNUMBER(SEARCH("COGNAC",C164)),"Brandy",
 ISNUMBER(SEARCH("LIQUEUR",C164)),"Liqueurs",
 ISNUMBER(SEARCH("CORDIAL",C164)),"Liqueurs",
 ISNUMBER(SEARCH("SCHNAPP",C164)),"Liqueurs",
 ISNUMBER(SEARCH("GIN",C164)),"Gin",
 TRUE,"Other")</f>
        <v>Gin</v>
      </c>
      <c r="E164" s="5">
        <v>29880</v>
      </c>
      <c r="F164" s="5">
        <v>292517.94000000216</v>
      </c>
      <c r="G164" s="5">
        <v>26924.759999999875</v>
      </c>
      <c r="H164" s="5">
        <v>3214</v>
      </c>
    </row>
    <row r="165" spans="1:8">
      <c r="A165" s="5">
        <v>2021</v>
      </c>
      <c r="B165" s="6">
        <v>44470</v>
      </c>
      <c r="C165" s="5" t="s">
        <v>31</v>
      </c>
      <c r="D165" s="3" t="str" cm="1">
        <f t="array" ref="D165">_xlfn.IFS(
 ISNUMBER(SEARCH("WHISK",C165)),"Whiskey",
 ISNUMBER(SEARCH("BOURBON",C165)),"Whiskey",
 ISNUMBER(SEARCH("SCOTCH",C165)),"Whiskey",
 ISNUMBER(SEARCH("RYE",C165)),"Whiskey",
 ISNUMBER(SEARCH("VODKA",C165)),"Vodka",
 ISNUMBER(SEARCH("TEQUILA",C165)),"Tequila/Mezcal",
 ISNUMBER(SEARCH("MEZCAL",C165)),"Tequila/Mezcal",
 ISNUMBER(SEARCH("RUM",C165)),"Rum",
 ISNUMBER(SEARCH("BRAND",C165)),"Brandy",
 ISNUMBER(SEARCH("COGNAC",C165)),"Brandy",
 ISNUMBER(SEARCH("LIQUEUR",C165)),"Liqueurs",
 ISNUMBER(SEARCH("CORDIAL",C165)),"Liqueurs",
 ISNUMBER(SEARCH("SCHNAPP",C165)),"Liqueurs",
 ISNUMBER(SEARCH("GIN",C165)),"Gin",
 TRUE,"Other")</f>
        <v>Liqueurs</v>
      </c>
      <c r="E165" s="5">
        <v>30533</v>
      </c>
      <c r="F165" s="5">
        <v>512712.48999999871</v>
      </c>
      <c r="G165" s="5">
        <v>26998.389999999737</v>
      </c>
      <c r="H165" s="5">
        <v>3350</v>
      </c>
    </row>
    <row r="166" spans="1:8">
      <c r="A166" s="5">
        <v>2021</v>
      </c>
      <c r="B166" s="6">
        <v>44470</v>
      </c>
      <c r="C166" s="5" t="s">
        <v>8</v>
      </c>
      <c r="D166" s="3" t="str" cm="1">
        <f t="array" ref="D166">_xlfn.IFS(
 ISNUMBER(SEARCH("WHISK",C166)),"Whiskey",
 ISNUMBER(SEARCH("BOURBON",C166)),"Whiskey",
 ISNUMBER(SEARCH("SCOTCH",C166)),"Whiskey",
 ISNUMBER(SEARCH("RYE",C166)),"Whiskey",
 ISNUMBER(SEARCH("VODKA",C166)),"Vodka",
 ISNUMBER(SEARCH("TEQUILA",C166)),"Tequila/Mezcal",
 ISNUMBER(SEARCH("MEZCAL",C166)),"Tequila/Mezcal",
 ISNUMBER(SEARCH("RUM",C166)),"Rum",
 ISNUMBER(SEARCH("BRAND",C166)),"Brandy",
 ISNUMBER(SEARCH("COGNAC",C166)),"Brandy",
 ISNUMBER(SEARCH("LIQUEUR",C166)),"Liqueurs",
 ISNUMBER(SEARCH("CORDIAL",C166)),"Liqueurs",
 ISNUMBER(SEARCH("SCHNAPP",C166)),"Liqueurs",
 ISNUMBER(SEARCH("GIN",C166)),"Gin",
 TRUE,"Other")</f>
        <v>Brandy</v>
      </c>
      <c r="E166" s="5">
        <v>61422</v>
      </c>
      <c r="F166" s="5">
        <v>411798.18999999878</v>
      </c>
      <c r="G166" s="5">
        <v>32841.219999999616</v>
      </c>
      <c r="H166" s="5">
        <v>5537</v>
      </c>
    </row>
    <row r="167" spans="1:8">
      <c r="A167" s="5">
        <v>2021</v>
      </c>
      <c r="B167" s="6">
        <v>44470</v>
      </c>
      <c r="C167" s="5" t="s">
        <v>29</v>
      </c>
      <c r="D167" s="3" t="str" cm="1">
        <f t="array" ref="D167">_xlfn.IFS(
 ISNUMBER(SEARCH("WHISK",C167)),"Whiskey",
 ISNUMBER(SEARCH("BOURBON",C167)),"Whiskey",
 ISNUMBER(SEARCH("SCOTCH",C167)),"Whiskey",
 ISNUMBER(SEARCH("RYE",C167)),"Whiskey",
 ISNUMBER(SEARCH("VODKA",C167)),"Vodka",
 ISNUMBER(SEARCH("TEQUILA",C167)),"Tequila/Mezcal",
 ISNUMBER(SEARCH("MEZCAL",C167)),"Tequila/Mezcal",
 ISNUMBER(SEARCH("RUM",C167)),"Rum",
 ISNUMBER(SEARCH("BRAND",C167)),"Brandy",
 ISNUMBER(SEARCH("COGNAC",C167)),"Brandy",
 ISNUMBER(SEARCH("LIQUEUR",C167)),"Liqueurs",
 ISNUMBER(SEARCH("CORDIAL",C167)),"Liqueurs",
 ISNUMBER(SEARCH("SCHNAPP",C167)),"Liqueurs",
 ISNUMBER(SEARCH("GIN",C167)),"Gin",
 TRUE,"Other")</f>
        <v>Gin</v>
      </c>
      <c r="E167" s="5">
        <v>18601</v>
      </c>
      <c r="F167" s="5">
        <v>435740.27000000037</v>
      </c>
      <c r="G167" s="5">
        <v>17036.660000000014</v>
      </c>
      <c r="H167" s="5">
        <v>2137</v>
      </c>
    </row>
    <row r="168" spans="1:8">
      <c r="A168" s="5">
        <v>2021</v>
      </c>
      <c r="B168" s="6">
        <v>44470</v>
      </c>
      <c r="C168" s="5" t="s">
        <v>30</v>
      </c>
      <c r="D168" s="3" t="str" cm="1">
        <f t="array" ref="D168">_xlfn.IFS(
 ISNUMBER(SEARCH("WHISK",C168)),"Whiskey",
 ISNUMBER(SEARCH("BOURBON",C168)),"Whiskey",
 ISNUMBER(SEARCH("SCOTCH",C168)),"Whiskey",
 ISNUMBER(SEARCH("RYE",C168)),"Whiskey",
 ISNUMBER(SEARCH("VODKA",C168)),"Vodka",
 ISNUMBER(SEARCH("TEQUILA",C168)),"Tequila/Mezcal",
 ISNUMBER(SEARCH("MEZCAL",C168)),"Tequila/Mezcal",
 ISNUMBER(SEARCH("RUM",C168)),"Rum",
 ISNUMBER(SEARCH("BRAND",C168)),"Brandy",
 ISNUMBER(SEARCH("COGNAC",C168)),"Brandy",
 ISNUMBER(SEARCH("LIQUEUR",C168)),"Liqueurs",
 ISNUMBER(SEARCH("CORDIAL",C168)),"Liqueurs",
 ISNUMBER(SEARCH("SCHNAPP",C168)),"Liqueurs",
 ISNUMBER(SEARCH("GIN",C168)),"Gin",
 TRUE,"Other")</f>
        <v>Vodka</v>
      </c>
      <c r="E168" s="5">
        <v>25365</v>
      </c>
      <c r="F168" s="5">
        <v>414507.53000000265</v>
      </c>
      <c r="G168" s="5">
        <v>19636.930000000011</v>
      </c>
      <c r="H168" s="5">
        <v>2788</v>
      </c>
    </row>
    <row r="169" spans="1:8">
      <c r="A169" s="5">
        <v>2021</v>
      </c>
      <c r="B169" s="6">
        <v>44470</v>
      </c>
      <c r="C169" s="5" t="s">
        <v>13</v>
      </c>
      <c r="D169" s="3" t="str" cm="1">
        <f t="array" ref="D169">_xlfn.IFS(
 ISNUMBER(SEARCH("WHISK",C169)),"Whiskey",
 ISNUMBER(SEARCH("BOURBON",C169)),"Whiskey",
 ISNUMBER(SEARCH("SCOTCH",C169)),"Whiskey",
 ISNUMBER(SEARCH("RYE",C169)),"Whiskey",
 ISNUMBER(SEARCH("VODKA",C169)),"Vodka",
 ISNUMBER(SEARCH("TEQUILA",C169)),"Tequila/Mezcal",
 ISNUMBER(SEARCH("MEZCAL",C169)),"Tequila/Mezcal",
 ISNUMBER(SEARCH("RUM",C169)),"Rum",
 ISNUMBER(SEARCH("BRAND",C169)),"Brandy",
 ISNUMBER(SEARCH("COGNAC",C169)),"Brandy",
 ISNUMBER(SEARCH("LIQUEUR",C169)),"Liqueurs",
 ISNUMBER(SEARCH("CORDIAL",C169)),"Liqueurs",
 ISNUMBER(SEARCH("SCHNAPP",C169)),"Liqueurs",
 ISNUMBER(SEARCH("GIN",C169)),"Gin",
 TRUE,"Other")</f>
        <v>Liqueurs</v>
      </c>
      <c r="E169" s="5">
        <v>68674</v>
      </c>
      <c r="F169" s="5">
        <v>575952.44999998901</v>
      </c>
      <c r="G169" s="5">
        <v>45227.2400000001</v>
      </c>
      <c r="H169" s="5">
        <v>6889</v>
      </c>
    </row>
    <row r="170" spans="1:8">
      <c r="A170" s="5">
        <v>2021</v>
      </c>
      <c r="B170" s="6">
        <v>44470</v>
      </c>
      <c r="C170" s="5" t="s">
        <v>44</v>
      </c>
      <c r="D170" s="3" t="str" cm="1">
        <f t="array" ref="D170">_xlfn.IFS(
 ISNUMBER(SEARCH("WHISK",C170)),"Whiskey",
 ISNUMBER(SEARCH("BOURBON",C170)),"Whiskey",
 ISNUMBER(SEARCH("SCOTCH",C170)),"Whiskey",
 ISNUMBER(SEARCH("RYE",C170)),"Whiskey",
 ISNUMBER(SEARCH("VODKA",C170)),"Vodka",
 ISNUMBER(SEARCH("TEQUILA",C170)),"Tequila/Mezcal",
 ISNUMBER(SEARCH("MEZCAL",C170)),"Tequila/Mezcal",
 ISNUMBER(SEARCH("RUM",C170)),"Rum",
 ISNUMBER(SEARCH("BRAND",C170)),"Brandy",
 ISNUMBER(SEARCH("COGNAC",C170)),"Brandy",
 ISNUMBER(SEARCH("LIQUEUR",C170)),"Liqueurs",
 ISNUMBER(SEARCH("CORDIAL",C170)),"Liqueurs",
 ISNUMBER(SEARCH("SCHNAPP",C170)),"Liqueurs",
 ISNUMBER(SEARCH("GIN",C170)),"Gin",
 TRUE,"Other")</f>
        <v>Whiskey</v>
      </c>
      <c r="E170" s="5">
        <v>13751</v>
      </c>
      <c r="F170" s="5">
        <v>446822.82000000292</v>
      </c>
      <c r="G170" s="5">
        <v>10308.929999999998</v>
      </c>
      <c r="H170" s="5">
        <v>1963</v>
      </c>
    </row>
    <row r="171" spans="1:8">
      <c r="A171" s="5">
        <v>2021</v>
      </c>
      <c r="B171" s="6">
        <v>44470</v>
      </c>
      <c r="C171" s="5" t="s">
        <v>20</v>
      </c>
      <c r="D171" s="3" t="str" cm="1">
        <f t="array" ref="D171">_xlfn.IFS(
 ISNUMBER(SEARCH("WHISK",C171)),"Whiskey",
 ISNUMBER(SEARCH("BOURBON",C171)),"Whiskey",
 ISNUMBER(SEARCH("SCOTCH",C171)),"Whiskey",
 ISNUMBER(SEARCH("RYE",C171)),"Whiskey",
 ISNUMBER(SEARCH("VODKA",C171)),"Vodka",
 ISNUMBER(SEARCH("TEQUILA",C171)),"Tequila/Mezcal",
 ISNUMBER(SEARCH("MEZCAL",C171)),"Tequila/Mezcal",
 ISNUMBER(SEARCH("RUM",C171)),"Rum",
 ISNUMBER(SEARCH("BRAND",C171)),"Brandy",
 ISNUMBER(SEARCH("COGNAC",C171)),"Brandy",
 ISNUMBER(SEARCH("LIQUEUR",C171)),"Liqueurs",
 ISNUMBER(SEARCH("CORDIAL",C171)),"Liqueurs",
 ISNUMBER(SEARCH("SCHNAPP",C171)),"Liqueurs",
 ISNUMBER(SEARCH("GIN",C171)),"Gin",
 TRUE,"Other")</f>
        <v>Liqueurs</v>
      </c>
      <c r="E171" s="5">
        <v>9642</v>
      </c>
      <c r="F171" s="5">
        <v>187355.27999999965</v>
      </c>
      <c r="G171" s="5">
        <v>8220.950000000008</v>
      </c>
      <c r="H171" s="5">
        <v>795</v>
      </c>
    </row>
    <row r="172" spans="1:8">
      <c r="A172" s="5">
        <v>2021</v>
      </c>
      <c r="B172" s="6">
        <v>44470</v>
      </c>
      <c r="C172" s="5" t="s">
        <v>33</v>
      </c>
      <c r="D172" s="3" t="str" cm="1">
        <f t="array" ref="D172">_xlfn.IFS(
 ISNUMBER(SEARCH("WHISK",C172)),"Whiskey",
 ISNUMBER(SEARCH("BOURBON",C172)),"Whiskey",
 ISNUMBER(SEARCH("SCOTCH",C172)),"Whiskey",
 ISNUMBER(SEARCH("RYE",C172)),"Whiskey",
 ISNUMBER(SEARCH("VODKA",C172)),"Vodka",
 ISNUMBER(SEARCH("TEQUILA",C172)),"Tequila/Mezcal",
 ISNUMBER(SEARCH("MEZCAL",C172)),"Tequila/Mezcal",
 ISNUMBER(SEARCH("RUM",C172)),"Rum",
 ISNUMBER(SEARCH("BRAND",C172)),"Brandy",
 ISNUMBER(SEARCH("COGNAC",C172)),"Brandy",
 ISNUMBER(SEARCH("LIQUEUR",C172)),"Liqueurs",
 ISNUMBER(SEARCH("CORDIAL",C172)),"Liqueurs",
 ISNUMBER(SEARCH("SCHNAPP",C172)),"Liqueurs",
 ISNUMBER(SEARCH("GIN",C172)),"Gin",
 TRUE,"Other")</f>
        <v>Whiskey</v>
      </c>
      <c r="E172" s="5">
        <v>29093</v>
      </c>
      <c r="F172" s="5">
        <v>777008.61999998987</v>
      </c>
      <c r="G172" s="5">
        <v>25686.199999999917</v>
      </c>
      <c r="H172" s="5">
        <v>1841</v>
      </c>
    </row>
    <row r="173" spans="1:8">
      <c r="A173" s="5">
        <v>2021</v>
      </c>
      <c r="B173" s="6">
        <v>44470</v>
      </c>
      <c r="C173" s="5" t="s">
        <v>36</v>
      </c>
      <c r="D173" s="3" t="str" cm="1">
        <f t="array" ref="D173">_xlfn.IFS(
 ISNUMBER(SEARCH("WHISK",C173)),"Whiskey",
 ISNUMBER(SEARCH("BOURBON",C173)),"Whiskey",
 ISNUMBER(SEARCH("SCOTCH",C173)),"Whiskey",
 ISNUMBER(SEARCH("RYE",C173)),"Whiskey",
 ISNUMBER(SEARCH("VODKA",C173)),"Vodka",
 ISNUMBER(SEARCH("TEQUILA",C173)),"Tequila/Mezcal",
 ISNUMBER(SEARCH("MEZCAL",C173)),"Tequila/Mezcal",
 ISNUMBER(SEARCH("RUM",C173)),"Rum",
 ISNUMBER(SEARCH("BRAND",C173)),"Brandy",
 ISNUMBER(SEARCH("COGNAC",C173)),"Brandy",
 ISNUMBER(SEARCH("LIQUEUR",C173)),"Liqueurs",
 ISNUMBER(SEARCH("CORDIAL",C173)),"Liqueurs",
 ISNUMBER(SEARCH("SCHNAPP",C173)),"Liqueurs",
 ISNUMBER(SEARCH("GIN",C173)),"Gin",
 TRUE,"Other")</f>
        <v>Other</v>
      </c>
      <c r="E173" s="5">
        <v>4974</v>
      </c>
      <c r="F173" s="5">
        <v>68947.070000000007</v>
      </c>
      <c r="G173" s="5">
        <v>3940.5</v>
      </c>
      <c r="H173" s="5">
        <v>529</v>
      </c>
    </row>
    <row r="174" spans="1:8">
      <c r="A174" s="5">
        <v>2021</v>
      </c>
      <c r="B174" s="6">
        <v>44470</v>
      </c>
      <c r="C174" s="5" t="s">
        <v>17</v>
      </c>
      <c r="D174" s="3" t="str" cm="1">
        <f t="array" ref="D174">_xlfn.IFS(
 ISNUMBER(SEARCH("WHISK",C174)),"Whiskey",
 ISNUMBER(SEARCH("BOURBON",C174)),"Whiskey",
 ISNUMBER(SEARCH("SCOTCH",C174)),"Whiskey",
 ISNUMBER(SEARCH("RYE",C174)),"Whiskey",
 ISNUMBER(SEARCH("VODKA",C174)),"Vodka",
 ISNUMBER(SEARCH("TEQUILA",C174)),"Tequila/Mezcal",
 ISNUMBER(SEARCH("MEZCAL",C174)),"Tequila/Mezcal",
 ISNUMBER(SEARCH("RUM",C174)),"Rum",
 ISNUMBER(SEARCH("BRAND",C174)),"Brandy",
 ISNUMBER(SEARCH("COGNAC",C174)),"Brandy",
 ISNUMBER(SEARCH("LIQUEUR",C174)),"Liqueurs",
 ISNUMBER(SEARCH("CORDIAL",C174)),"Liqueurs",
 ISNUMBER(SEARCH("SCHNAPP",C174)),"Liqueurs",
 ISNUMBER(SEARCH("GIN",C174)),"Gin",
 TRUE,"Other")</f>
        <v>Whiskey</v>
      </c>
      <c r="E174" s="5">
        <v>1834</v>
      </c>
      <c r="F174" s="5">
        <v>45690.679999999993</v>
      </c>
      <c r="G174" s="5">
        <v>1499.5</v>
      </c>
      <c r="H174" s="5">
        <v>376</v>
      </c>
    </row>
    <row r="175" spans="1:8">
      <c r="A175" s="5">
        <v>2021</v>
      </c>
      <c r="B175" s="6">
        <v>44470</v>
      </c>
      <c r="C175" s="5" t="s">
        <v>21</v>
      </c>
      <c r="D175" s="3" t="str" cm="1">
        <f t="array" ref="D175">_xlfn.IFS(
 ISNUMBER(SEARCH("WHISK",C175)),"Whiskey",
 ISNUMBER(SEARCH("BOURBON",C175)),"Whiskey",
 ISNUMBER(SEARCH("SCOTCH",C175)),"Whiskey",
 ISNUMBER(SEARCH("RYE",C175)),"Whiskey",
 ISNUMBER(SEARCH("VODKA",C175)),"Vodka",
 ISNUMBER(SEARCH("TEQUILA",C175)),"Tequila/Mezcal",
 ISNUMBER(SEARCH("MEZCAL",C175)),"Tequila/Mezcal",
 ISNUMBER(SEARCH("RUM",C175)),"Rum",
 ISNUMBER(SEARCH("BRAND",C175)),"Brandy",
 ISNUMBER(SEARCH("COGNAC",C175)),"Brandy",
 ISNUMBER(SEARCH("LIQUEUR",C175)),"Liqueurs",
 ISNUMBER(SEARCH("CORDIAL",C175)),"Liqueurs",
 ISNUMBER(SEARCH("SCHNAPP",C175)),"Liqueurs",
 ISNUMBER(SEARCH("GIN",C175)),"Gin",
 TRUE,"Other")</f>
        <v>Whiskey</v>
      </c>
      <c r="E175" s="5">
        <v>771</v>
      </c>
      <c r="F175" s="5">
        <v>19962.75</v>
      </c>
      <c r="G175" s="5">
        <v>577.54999999999995</v>
      </c>
      <c r="H175" s="5">
        <v>146</v>
      </c>
    </row>
    <row r="176" spans="1:8">
      <c r="A176" s="5">
        <v>2021</v>
      </c>
      <c r="B176" s="6">
        <v>44470</v>
      </c>
      <c r="C176" s="5" t="s">
        <v>40</v>
      </c>
      <c r="D176" s="3" t="str" cm="1">
        <f t="array" ref="D176">_xlfn.IFS(
 ISNUMBER(SEARCH("WHISK",C176)),"Whiskey",
 ISNUMBER(SEARCH("BOURBON",C176)),"Whiskey",
 ISNUMBER(SEARCH("SCOTCH",C176)),"Whiskey",
 ISNUMBER(SEARCH("RYE",C176)),"Whiskey",
 ISNUMBER(SEARCH("VODKA",C176)),"Vodka",
 ISNUMBER(SEARCH("TEQUILA",C176)),"Tequila/Mezcal",
 ISNUMBER(SEARCH("MEZCAL",C176)),"Tequila/Mezcal",
 ISNUMBER(SEARCH("RUM",C176)),"Rum",
 ISNUMBER(SEARCH("BRAND",C176)),"Brandy",
 ISNUMBER(SEARCH("COGNAC",C176)),"Brandy",
 ISNUMBER(SEARCH("LIQUEUR",C176)),"Liqueurs",
 ISNUMBER(SEARCH("CORDIAL",C176)),"Liqueurs",
 ISNUMBER(SEARCH("SCHNAPP",C176)),"Liqueurs",
 ISNUMBER(SEARCH("GIN",C176)),"Gin",
 TRUE,"Other")</f>
        <v>Whiskey</v>
      </c>
      <c r="E176" s="5">
        <v>7121</v>
      </c>
      <c r="F176" s="5">
        <v>334504.1199999993</v>
      </c>
      <c r="G176" s="5">
        <v>5303.85</v>
      </c>
      <c r="H176" s="5">
        <v>1363</v>
      </c>
    </row>
    <row r="177" spans="1:8">
      <c r="A177" s="5">
        <v>2021</v>
      </c>
      <c r="B177" s="6">
        <v>44470</v>
      </c>
      <c r="C177" s="5" t="s">
        <v>47</v>
      </c>
      <c r="D177" s="3" t="str" cm="1">
        <f t="array" ref="D177">_xlfn.IFS(
 ISNUMBER(SEARCH("WHISK",C177)),"Whiskey",
 ISNUMBER(SEARCH("BOURBON",C177)),"Whiskey",
 ISNUMBER(SEARCH("SCOTCH",C177)),"Whiskey",
 ISNUMBER(SEARCH("RYE",C177)),"Whiskey",
 ISNUMBER(SEARCH("VODKA",C177)),"Vodka",
 ISNUMBER(SEARCH("TEQUILA",C177)),"Tequila/Mezcal",
 ISNUMBER(SEARCH("MEZCAL",C177)),"Tequila/Mezcal",
 ISNUMBER(SEARCH("RUM",C177)),"Rum",
 ISNUMBER(SEARCH("BRAND",C177)),"Brandy",
 ISNUMBER(SEARCH("COGNAC",C177)),"Brandy",
 ISNUMBER(SEARCH("LIQUEUR",C177)),"Liqueurs",
 ISNUMBER(SEARCH("CORDIAL",C177)),"Liqueurs",
 ISNUMBER(SEARCH("SCHNAPP",C177)),"Liqueurs",
 ISNUMBER(SEARCH("GIN",C177)),"Gin",
 TRUE,"Other")</f>
        <v>Other</v>
      </c>
      <c r="E177" s="5">
        <v>15662</v>
      </c>
      <c r="F177" s="5">
        <v>63189.439999999908</v>
      </c>
      <c r="G177" s="5">
        <v>15472.25</v>
      </c>
      <c r="H177" s="5">
        <v>598</v>
      </c>
    </row>
    <row r="178" spans="1:8">
      <c r="A178" s="5">
        <v>2021</v>
      </c>
      <c r="B178" s="6">
        <v>44470</v>
      </c>
      <c r="C178" s="5" t="s">
        <v>7</v>
      </c>
      <c r="D178" s="3" t="str" cm="1">
        <f t="array" ref="D178">_xlfn.IFS(
 ISNUMBER(SEARCH("WHISK",C178)),"Whiskey",
 ISNUMBER(SEARCH("BOURBON",C178)),"Whiskey",
 ISNUMBER(SEARCH("SCOTCH",C178)),"Whiskey",
 ISNUMBER(SEARCH("RYE",C178)),"Whiskey",
 ISNUMBER(SEARCH("VODKA",C178)),"Vodka",
 ISNUMBER(SEARCH("TEQUILA",C178)),"Tequila/Mezcal",
 ISNUMBER(SEARCH("MEZCAL",C178)),"Tequila/Mezcal",
 ISNUMBER(SEARCH("RUM",C178)),"Rum",
 ISNUMBER(SEARCH("BRAND",C178)),"Brandy",
 ISNUMBER(SEARCH("COGNAC",C178)),"Brandy",
 ISNUMBER(SEARCH("LIQUEUR",C178)),"Liqueurs",
 ISNUMBER(SEARCH("CORDIAL",C178)),"Liqueurs",
 ISNUMBER(SEARCH("SCHNAPP",C178)),"Liqueurs",
 ISNUMBER(SEARCH("GIN",C178)),"Gin",
 TRUE,"Other")</f>
        <v>Rum</v>
      </c>
      <c r="E178" s="5">
        <v>4040</v>
      </c>
      <c r="F178" s="5">
        <v>82238.440000000061</v>
      </c>
      <c r="G178" s="5">
        <v>3286.25</v>
      </c>
      <c r="H178" s="5">
        <v>636</v>
      </c>
    </row>
    <row r="179" spans="1:8">
      <c r="A179" s="5">
        <v>2021</v>
      </c>
      <c r="B179" s="6">
        <v>44470</v>
      </c>
      <c r="C179" s="5" t="s">
        <v>34</v>
      </c>
      <c r="D179" s="3" t="str" cm="1">
        <f t="array" ref="D179">_xlfn.IFS(
 ISNUMBER(SEARCH("WHISK",C179)),"Whiskey",
 ISNUMBER(SEARCH("BOURBON",C179)),"Whiskey",
 ISNUMBER(SEARCH("SCOTCH",C179)),"Whiskey",
 ISNUMBER(SEARCH("RYE",C179)),"Whiskey",
 ISNUMBER(SEARCH("VODKA",C179)),"Vodka",
 ISNUMBER(SEARCH("TEQUILA",C179)),"Tequila/Mezcal",
 ISNUMBER(SEARCH("MEZCAL",C179)),"Tequila/Mezcal",
 ISNUMBER(SEARCH("RUM",C179)),"Rum",
 ISNUMBER(SEARCH("BRAND",C179)),"Brandy",
 ISNUMBER(SEARCH("COGNAC",C179)),"Brandy",
 ISNUMBER(SEARCH("LIQUEUR",C179)),"Liqueurs",
 ISNUMBER(SEARCH("CORDIAL",C179)),"Liqueurs",
 ISNUMBER(SEARCH("SCHNAPP",C179)),"Liqueurs",
 ISNUMBER(SEARCH("GIN",C179)),"Gin",
 TRUE,"Other")</f>
        <v>Tequila/Mezcal</v>
      </c>
      <c r="E179" s="5">
        <v>1442</v>
      </c>
      <c r="F179" s="5">
        <v>47308.389999999948</v>
      </c>
      <c r="G179" s="5">
        <v>1081.5</v>
      </c>
      <c r="H179" s="5">
        <v>204</v>
      </c>
    </row>
    <row r="180" spans="1:8">
      <c r="A180" s="5">
        <v>2021</v>
      </c>
      <c r="B180" s="6">
        <v>44470</v>
      </c>
      <c r="C180" s="5" t="s">
        <v>28</v>
      </c>
      <c r="D180" s="3" t="str" cm="1">
        <f t="array" ref="D180">_xlfn.IFS(
 ISNUMBER(SEARCH("WHISK",C180)),"Whiskey",
 ISNUMBER(SEARCH("BOURBON",C180)),"Whiskey",
 ISNUMBER(SEARCH("SCOTCH",C180)),"Whiskey",
 ISNUMBER(SEARCH("RYE",C180)),"Whiskey",
 ISNUMBER(SEARCH("VODKA",C180)),"Vodka",
 ISNUMBER(SEARCH("TEQUILA",C180)),"Tequila/Mezcal",
 ISNUMBER(SEARCH("MEZCAL",C180)),"Tequila/Mezcal",
 ISNUMBER(SEARCH("RUM",C180)),"Rum",
 ISNUMBER(SEARCH("BRAND",C180)),"Brandy",
 ISNUMBER(SEARCH("COGNAC",C180)),"Brandy",
 ISNUMBER(SEARCH("LIQUEUR",C180)),"Liqueurs",
 ISNUMBER(SEARCH("CORDIAL",C180)),"Liqueurs",
 ISNUMBER(SEARCH("SCHNAPP",C180)),"Liqueurs",
 ISNUMBER(SEARCH("GIN",C180)),"Gin",
 TRUE,"Other")</f>
        <v>Other</v>
      </c>
      <c r="E180" s="5">
        <v>16351</v>
      </c>
      <c r="F180" s="5">
        <v>137657.49000000005</v>
      </c>
      <c r="G180" s="5">
        <v>15964.100000000002</v>
      </c>
      <c r="H180" s="5">
        <v>314</v>
      </c>
    </row>
    <row r="181" spans="1:8">
      <c r="A181" s="5">
        <v>2021</v>
      </c>
      <c r="B181" s="6">
        <v>44470</v>
      </c>
      <c r="C181" s="5" t="s">
        <v>23</v>
      </c>
      <c r="D181" s="3" t="str" cm="1">
        <f t="array" ref="D181">_xlfn.IFS(
 ISNUMBER(SEARCH("WHISK",C181)),"Whiskey",
 ISNUMBER(SEARCH("BOURBON",C181)),"Whiskey",
 ISNUMBER(SEARCH("SCOTCH",C181)),"Whiskey",
 ISNUMBER(SEARCH("RYE",C181)),"Whiskey",
 ISNUMBER(SEARCH("VODKA",C181)),"Vodka",
 ISNUMBER(SEARCH("TEQUILA",C181)),"Tequila/Mezcal",
 ISNUMBER(SEARCH("MEZCAL",C181)),"Tequila/Mezcal",
 ISNUMBER(SEARCH("RUM",C181)),"Rum",
 ISNUMBER(SEARCH("BRAND",C181)),"Brandy",
 ISNUMBER(SEARCH("COGNAC",C181)),"Brandy",
 ISNUMBER(SEARCH("LIQUEUR",C181)),"Liqueurs",
 ISNUMBER(SEARCH("CORDIAL",C181)),"Liqueurs",
 ISNUMBER(SEARCH("SCHNAPP",C181)),"Liqueurs",
 ISNUMBER(SEARCH("GIN",C181)),"Gin",
 TRUE,"Other")</f>
        <v>Gin</v>
      </c>
      <c r="E181" s="5">
        <v>2016</v>
      </c>
      <c r="F181" s="5">
        <v>41253.839999999982</v>
      </c>
      <c r="G181" s="5">
        <v>1468.7999999999997</v>
      </c>
      <c r="H181" s="5">
        <v>226</v>
      </c>
    </row>
    <row r="182" spans="1:8">
      <c r="A182" s="5">
        <v>2021</v>
      </c>
      <c r="B182" s="6">
        <v>44470</v>
      </c>
      <c r="C182" s="5" t="s">
        <v>39</v>
      </c>
      <c r="D182" s="3" t="str" cm="1">
        <f t="array" ref="D182">_xlfn.IFS(
 ISNUMBER(SEARCH("WHISK",C182)),"Whiskey",
 ISNUMBER(SEARCH("BOURBON",C182)),"Whiskey",
 ISNUMBER(SEARCH("SCOTCH",C182)),"Whiskey",
 ISNUMBER(SEARCH("RYE",C182)),"Whiskey",
 ISNUMBER(SEARCH("VODKA",C182)),"Vodka",
 ISNUMBER(SEARCH("TEQUILA",C182)),"Tequila/Mezcal",
 ISNUMBER(SEARCH("MEZCAL",C182)),"Tequila/Mezcal",
 ISNUMBER(SEARCH("RUM",C182)),"Rum",
 ISNUMBER(SEARCH("BRAND",C182)),"Brandy",
 ISNUMBER(SEARCH("COGNAC",C182)),"Brandy",
 ISNUMBER(SEARCH("LIQUEUR",C182)),"Liqueurs",
 ISNUMBER(SEARCH("CORDIAL",C182)),"Liqueurs",
 ISNUMBER(SEARCH("SCHNAPP",C182)),"Liqueurs",
 ISNUMBER(SEARCH("GIN",C182)),"Gin",
 TRUE,"Other")</f>
        <v>Whiskey</v>
      </c>
      <c r="E182" s="5">
        <v>3112</v>
      </c>
      <c r="F182" s="5">
        <v>102948.94000000025</v>
      </c>
      <c r="G182" s="5">
        <v>2334</v>
      </c>
      <c r="H182" s="5">
        <v>396</v>
      </c>
    </row>
    <row r="183" spans="1:8">
      <c r="A183" s="5">
        <v>2021</v>
      </c>
      <c r="B183" s="6">
        <v>44470</v>
      </c>
      <c r="C183" s="5" t="s">
        <v>51</v>
      </c>
      <c r="D183" s="3" t="str" cm="1">
        <f t="array" ref="D183">_xlfn.IFS(
 ISNUMBER(SEARCH("WHISK",C183)),"Whiskey",
 ISNUMBER(SEARCH("BOURBON",C183)),"Whiskey",
 ISNUMBER(SEARCH("SCOTCH",C183)),"Whiskey",
 ISNUMBER(SEARCH("RYE",C183)),"Whiskey",
 ISNUMBER(SEARCH("VODKA",C183)),"Vodka",
 ISNUMBER(SEARCH("TEQUILA",C183)),"Tequila/Mezcal",
 ISNUMBER(SEARCH("MEZCAL",C183)),"Tequila/Mezcal",
 ISNUMBER(SEARCH("RUM",C183)),"Rum",
 ISNUMBER(SEARCH("BRAND",C183)),"Brandy",
 ISNUMBER(SEARCH("COGNAC",C183)),"Brandy",
 ISNUMBER(SEARCH("LIQUEUR",C183)),"Liqueurs",
 ISNUMBER(SEARCH("CORDIAL",C183)),"Liqueurs",
 ISNUMBER(SEARCH("SCHNAPP",C183)),"Liqueurs",
 ISNUMBER(SEARCH("GIN",C183)),"Gin",
 TRUE,"Other")</f>
        <v>Other</v>
      </c>
      <c r="E183" s="5">
        <v>50</v>
      </c>
      <c r="F183" s="5">
        <v>1750</v>
      </c>
      <c r="G183" s="5">
        <v>37.5</v>
      </c>
      <c r="H183" s="5">
        <v>15</v>
      </c>
    </row>
    <row r="184" spans="1:8">
      <c r="A184" s="5">
        <v>2021</v>
      </c>
      <c r="B184" s="6">
        <v>44470</v>
      </c>
      <c r="C184" s="5" t="s">
        <v>41</v>
      </c>
      <c r="D184" s="3" t="str" cm="1">
        <f t="array" ref="D184">_xlfn.IFS(
 ISNUMBER(SEARCH("WHISK",C184)),"Whiskey",
 ISNUMBER(SEARCH("BOURBON",C184)),"Whiskey",
 ISNUMBER(SEARCH("SCOTCH",C184)),"Whiskey",
 ISNUMBER(SEARCH("RYE",C184)),"Whiskey",
 ISNUMBER(SEARCH("VODKA",C184)),"Vodka",
 ISNUMBER(SEARCH("TEQUILA",C184)),"Tequila/Mezcal",
 ISNUMBER(SEARCH("MEZCAL",C184)),"Tequila/Mezcal",
 ISNUMBER(SEARCH("RUM",C184)),"Rum",
 ISNUMBER(SEARCH("BRAND",C184)),"Brandy",
 ISNUMBER(SEARCH("COGNAC",C184)),"Brandy",
 ISNUMBER(SEARCH("LIQUEUR",C184)),"Liqueurs",
 ISNUMBER(SEARCH("CORDIAL",C184)),"Liqueurs",
 ISNUMBER(SEARCH("SCHNAPP",C184)),"Liqueurs",
 ISNUMBER(SEARCH("GIN",C184)),"Gin",
 TRUE,"Other")</f>
        <v>Other</v>
      </c>
      <c r="E184" s="5">
        <v>5321</v>
      </c>
      <c r="F184" s="5">
        <v>78361.09</v>
      </c>
      <c r="G184" s="5">
        <v>8369.85</v>
      </c>
      <c r="H184" s="5">
        <v>85</v>
      </c>
    </row>
    <row r="185" spans="1:8">
      <c r="A185" s="5">
        <v>2021</v>
      </c>
      <c r="B185" s="6">
        <v>44470</v>
      </c>
      <c r="C185" s="5" t="s">
        <v>54</v>
      </c>
      <c r="D185" s="3" t="str" cm="1">
        <f t="array" ref="D185">_xlfn.IFS(
 ISNUMBER(SEARCH("WHISK",C185)),"Whiskey",
 ISNUMBER(SEARCH("BOURBON",C185)),"Whiskey",
 ISNUMBER(SEARCH("SCOTCH",C185)),"Whiskey",
 ISNUMBER(SEARCH("RYE",C185)),"Whiskey",
 ISNUMBER(SEARCH("VODKA",C185)),"Vodka",
 ISNUMBER(SEARCH("TEQUILA",C185)),"Tequila/Mezcal",
 ISNUMBER(SEARCH("MEZCAL",C185)),"Tequila/Mezcal",
 ISNUMBER(SEARCH("RUM",C185)),"Rum",
 ISNUMBER(SEARCH("BRAND",C185)),"Brandy",
 ISNUMBER(SEARCH("COGNAC",C185)),"Brandy",
 ISNUMBER(SEARCH("LIQUEUR",C185)),"Liqueurs",
 ISNUMBER(SEARCH("CORDIAL",C185)),"Liqueurs",
 ISNUMBER(SEARCH("SCHNAPP",C185)),"Liqueurs",
 ISNUMBER(SEARCH("GIN",C185)),"Gin",
 TRUE,"Other")</f>
        <v>Whiskey</v>
      </c>
      <c r="E185" s="5">
        <v>6</v>
      </c>
      <c r="F185" s="5">
        <v>736.56</v>
      </c>
      <c r="G185" s="5">
        <v>4.5</v>
      </c>
      <c r="H185" s="5">
        <v>1</v>
      </c>
    </row>
    <row r="186" spans="1:8">
      <c r="A186" s="5">
        <v>2021</v>
      </c>
      <c r="B186" s="6">
        <v>44501</v>
      </c>
      <c r="C186" s="5" t="s">
        <v>50</v>
      </c>
      <c r="D186" s="3" t="str" cm="1">
        <f t="array" ref="D186">_xlfn.IFS(
 ISNUMBER(SEARCH("WHISK",C186)),"Whiskey",
 ISNUMBER(SEARCH("BOURBON",C186)),"Whiskey",
 ISNUMBER(SEARCH("SCOTCH",C186)),"Whiskey",
 ISNUMBER(SEARCH("RYE",C186)),"Whiskey",
 ISNUMBER(SEARCH("VODKA",C186)),"Vodka",
 ISNUMBER(SEARCH("TEQUILA",C186)),"Tequila/Mezcal",
 ISNUMBER(SEARCH("MEZCAL",C186)),"Tequila/Mezcal",
 ISNUMBER(SEARCH("RUM",C186)),"Rum",
 ISNUMBER(SEARCH("BRAND",C186)),"Brandy",
 ISNUMBER(SEARCH("COGNAC",C186)),"Brandy",
 ISNUMBER(SEARCH("LIQUEUR",C186)),"Liqueurs",
 ISNUMBER(SEARCH("CORDIAL",C186)),"Liqueurs",
 ISNUMBER(SEARCH("SCHNAPP",C186)),"Liqueurs",
 ISNUMBER(SEARCH("GIN",C186)),"Gin",
 TRUE,"Other")</f>
        <v>Tequila/Mezcal</v>
      </c>
      <c r="E186" s="5">
        <v>75418</v>
      </c>
      <c r="F186" s="5">
        <v>2314629.6599999815</v>
      </c>
      <c r="G186" s="5">
        <v>59792.030000000304</v>
      </c>
      <c r="H186" s="5">
        <v>7787</v>
      </c>
    </row>
    <row r="187" spans="1:8">
      <c r="A187" s="5">
        <v>2021</v>
      </c>
      <c r="B187" s="6">
        <v>44501</v>
      </c>
      <c r="C187" s="5" t="s">
        <v>13</v>
      </c>
      <c r="D187" s="3" t="str" cm="1">
        <f t="array" ref="D187">_xlfn.IFS(
 ISNUMBER(SEARCH("WHISK",C187)),"Whiskey",
 ISNUMBER(SEARCH("BOURBON",C187)),"Whiskey",
 ISNUMBER(SEARCH("SCOTCH",C187)),"Whiskey",
 ISNUMBER(SEARCH("RYE",C187)),"Whiskey",
 ISNUMBER(SEARCH("VODKA",C187)),"Vodka",
 ISNUMBER(SEARCH("TEQUILA",C187)),"Tequila/Mezcal",
 ISNUMBER(SEARCH("MEZCAL",C187)),"Tequila/Mezcal",
 ISNUMBER(SEARCH("RUM",C187)),"Rum",
 ISNUMBER(SEARCH("BRAND",C187)),"Brandy",
 ISNUMBER(SEARCH("COGNAC",C187)),"Brandy",
 ISNUMBER(SEARCH("LIQUEUR",C187)),"Liqueurs",
 ISNUMBER(SEARCH("CORDIAL",C187)),"Liqueurs",
 ISNUMBER(SEARCH("SCHNAPP",C187)),"Liqueurs",
 ISNUMBER(SEARCH("GIN",C187)),"Gin",
 TRUE,"Other")</f>
        <v>Liqueurs</v>
      </c>
      <c r="E187" s="5">
        <v>66738</v>
      </c>
      <c r="F187" s="5">
        <v>528279.11999999126</v>
      </c>
      <c r="G187" s="5">
        <v>42141.889999999992</v>
      </c>
      <c r="H187" s="5">
        <v>7183</v>
      </c>
    </row>
    <row r="188" spans="1:8">
      <c r="A188" s="5">
        <v>2021</v>
      </c>
      <c r="B188" s="6">
        <v>44501</v>
      </c>
      <c r="C188" s="5" t="s">
        <v>15</v>
      </c>
      <c r="D188" s="3" t="str" cm="1">
        <f t="array" ref="D188">_xlfn.IFS(
 ISNUMBER(SEARCH("WHISK",C188)),"Whiskey",
 ISNUMBER(SEARCH("BOURBON",C188)),"Whiskey",
 ISNUMBER(SEARCH("SCOTCH",C188)),"Whiskey",
 ISNUMBER(SEARCH("RYE",C188)),"Whiskey",
 ISNUMBER(SEARCH("VODKA",C188)),"Vodka",
 ISNUMBER(SEARCH("TEQUILA",C188)),"Tequila/Mezcal",
 ISNUMBER(SEARCH("MEZCAL",C188)),"Tequila/Mezcal",
 ISNUMBER(SEARCH("RUM",C188)),"Rum",
 ISNUMBER(SEARCH("BRAND",C188)),"Brandy",
 ISNUMBER(SEARCH("COGNAC",C188)),"Brandy",
 ISNUMBER(SEARCH("LIQUEUR",C188)),"Liqueurs",
 ISNUMBER(SEARCH("CORDIAL",C188)),"Liqueurs",
 ISNUMBER(SEARCH("SCHNAPP",C188)),"Liqueurs",
 ISNUMBER(SEARCH("GIN",C188)),"Gin",
 TRUE,"Other")</f>
        <v>Vodka</v>
      </c>
      <c r="E188" s="5">
        <v>544179</v>
      </c>
      <c r="F188" s="5">
        <v>5906357.6699994206</v>
      </c>
      <c r="G188" s="5">
        <v>525360.71999997785</v>
      </c>
      <c r="H188" s="5">
        <v>33096</v>
      </c>
    </row>
    <row r="189" spans="1:8">
      <c r="A189" s="5">
        <v>2021</v>
      </c>
      <c r="B189" s="6">
        <v>44501</v>
      </c>
      <c r="C189" s="5" t="s">
        <v>19</v>
      </c>
      <c r="D189" s="3" t="str" cm="1">
        <f t="array" ref="D189">_xlfn.IFS(
 ISNUMBER(SEARCH("WHISK",C189)),"Whiskey",
 ISNUMBER(SEARCH("BOURBON",C189)),"Whiskey",
 ISNUMBER(SEARCH("SCOTCH",C189)),"Whiskey",
 ISNUMBER(SEARCH("RYE",C189)),"Whiskey",
 ISNUMBER(SEARCH("VODKA",C189)),"Vodka",
 ISNUMBER(SEARCH("TEQUILA",C189)),"Tequila/Mezcal",
 ISNUMBER(SEARCH("MEZCAL",C189)),"Tequila/Mezcal",
 ISNUMBER(SEARCH("RUM",C189)),"Rum",
 ISNUMBER(SEARCH("BRAND",C189)),"Brandy",
 ISNUMBER(SEARCH("COGNAC",C189)),"Brandy",
 ISNUMBER(SEARCH("LIQUEUR",C189)),"Liqueurs",
 ISNUMBER(SEARCH("CORDIAL",C189)),"Liqueurs",
 ISNUMBER(SEARCH("SCHNAPP",C189)),"Liqueurs",
 ISNUMBER(SEARCH("GIN",C189)),"Gin",
 TRUE,"Other")</f>
        <v>Other</v>
      </c>
      <c r="E189" s="5">
        <v>41308</v>
      </c>
      <c r="F189" s="5">
        <v>471699.08999998076</v>
      </c>
      <c r="G189" s="5">
        <v>53045.280000000093</v>
      </c>
      <c r="H189" s="5">
        <v>5572</v>
      </c>
    </row>
    <row r="190" spans="1:8">
      <c r="A190" s="5">
        <v>2021</v>
      </c>
      <c r="B190" s="6">
        <v>44501</v>
      </c>
      <c r="C190" s="5" t="s">
        <v>60</v>
      </c>
      <c r="D190" s="3" t="str" cm="1">
        <f t="array" ref="D190">_xlfn.IFS(
 ISNUMBER(SEARCH("WHISK",C190)),"Whiskey",
 ISNUMBER(SEARCH("BOURBON",C190)),"Whiskey",
 ISNUMBER(SEARCH("SCOTCH",C190)),"Whiskey",
 ISNUMBER(SEARCH("RYE",C190)),"Whiskey",
 ISNUMBER(SEARCH("VODKA",C190)),"Vodka",
 ISNUMBER(SEARCH("TEQUILA",C190)),"Tequila/Mezcal",
 ISNUMBER(SEARCH("MEZCAL",C190)),"Tequila/Mezcal",
 ISNUMBER(SEARCH("RUM",C190)),"Rum",
 ISNUMBER(SEARCH("BRAND",C190)),"Brandy",
 ISNUMBER(SEARCH("COGNAC",C190)),"Brandy",
 ISNUMBER(SEARCH("LIQUEUR",C190)),"Liqueurs",
 ISNUMBER(SEARCH("CORDIAL",C190)),"Liqueurs",
 ISNUMBER(SEARCH("SCHNAPP",C190)),"Liqueurs",
 ISNUMBER(SEARCH("GIN",C190)),"Gin",
 TRUE,"Other")</f>
        <v>Liqueurs</v>
      </c>
      <c r="E190" s="5">
        <v>45383</v>
      </c>
      <c r="F190" s="5">
        <v>974226.6300000014</v>
      </c>
      <c r="G190" s="5">
        <v>31035.139999999778</v>
      </c>
      <c r="H190" s="5">
        <v>5233</v>
      </c>
    </row>
    <row r="191" spans="1:8">
      <c r="A191" s="5">
        <v>2021</v>
      </c>
      <c r="B191" s="6">
        <v>44501</v>
      </c>
      <c r="C191" s="5" t="s">
        <v>28</v>
      </c>
      <c r="D191" s="3" t="str" cm="1">
        <f t="array" ref="D191">_xlfn.IFS(
 ISNUMBER(SEARCH("WHISK",C191)),"Whiskey",
 ISNUMBER(SEARCH("BOURBON",C191)),"Whiskey",
 ISNUMBER(SEARCH("SCOTCH",C191)),"Whiskey",
 ISNUMBER(SEARCH("RYE",C191)),"Whiskey",
 ISNUMBER(SEARCH("VODKA",C191)),"Vodka",
 ISNUMBER(SEARCH("TEQUILA",C191)),"Tequila/Mezcal",
 ISNUMBER(SEARCH("MEZCAL",C191)),"Tequila/Mezcal",
 ISNUMBER(SEARCH("RUM",C191)),"Rum",
 ISNUMBER(SEARCH("BRAND",C191)),"Brandy",
 ISNUMBER(SEARCH("COGNAC",C191)),"Brandy",
 ISNUMBER(SEARCH("LIQUEUR",C191)),"Liqueurs",
 ISNUMBER(SEARCH("CORDIAL",C191)),"Liqueurs",
 ISNUMBER(SEARCH("SCHNAPP",C191)),"Liqueurs",
 ISNUMBER(SEARCH("GIN",C191)),"Gin",
 TRUE,"Other")</f>
        <v>Other</v>
      </c>
      <c r="E191" s="5">
        <v>29903</v>
      </c>
      <c r="F191" s="5">
        <v>239637.34000000014</v>
      </c>
      <c r="G191" s="5">
        <v>29175.609999999997</v>
      </c>
      <c r="H191" s="5">
        <v>351</v>
      </c>
    </row>
    <row r="192" spans="1:8">
      <c r="A192" s="5">
        <v>2021</v>
      </c>
      <c r="B192" s="6">
        <v>44501</v>
      </c>
      <c r="C192" s="5" t="s">
        <v>29</v>
      </c>
      <c r="D192" s="3" t="str" cm="1">
        <f t="array" ref="D192">_xlfn.IFS(
 ISNUMBER(SEARCH("WHISK",C192)),"Whiskey",
 ISNUMBER(SEARCH("BOURBON",C192)),"Whiskey",
 ISNUMBER(SEARCH("SCOTCH",C192)),"Whiskey",
 ISNUMBER(SEARCH("RYE",C192)),"Whiskey",
 ISNUMBER(SEARCH("VODKA",C192)),"Vodka",
 ISNUMBER(SEARCH("TEQUILA",C192)),"Tequila/Mezcal",
 ISNUMBER(SEARCH("MEZCAL",C192)),"Tequila/Mezcal",
 ISNUMBER(SEARCH("RUM",C192)),"Rum",
 ISNUMBER(SEARCH("BRAND",C192)),"Brandy",
 ISNUMBER(SEARCH("COGNAC",C192)),"Brandy",
 ISNUMBER(SEARCH("LIQUEUR",C192)),"Liqueurs",
 ISNUMBER(SEARCH("CORDIAL",C192)),"Liqueurs",
 ISNUMBER(SEARCH("SCHNAPP",C192)),"Liqueurs",
 ISNUMBER(SEARCH("GIN",C192)),"Gin",
 TRUE,"Other")</f>
        <v>Gin</v>
      </c>
      <c r="E192" s="5">
        <v>18070</v>
      </c>
      <c r="F192" s="5">
        <v>451751.53000000009</v>
      </c>
      <c r="G192" s="5">
        <v>17578.270000000008</v>
      </c>
      <c r="H192" s="5">
        <v>2037</v>
      </c>
    </row>
    <row r="193" spans="1:8">
      <c r="A193" s="5">
        <v>2021</v>
      </c>
      <c r="B193" s="6">
        <v>44501</v>
      </c>
      <c r="C193" s="5" t="s">
        <v>34</v>
      </c>
      <c r="D193" s="3" t="str" cm="1">
        <f t="array" ref="D193">_xlfn.IFS(
 ISNUMBER(SEARCH("WHISK",C193)),"Whiskey",
 ISNUMBER(SEARCH("BOURBON",C193)),"Whiskey",
 ISNUMBER(SEARCH("SCOTCH",C193)),"Whiskey",
 ISNUMBER(SEARCH("RYE",C193)),"Whiskey",
 ISNUMBER(SEARCH("VODKA",C193)),"Vodka",
 ISNUMBER(SEARCH("TEQUILA",C193)),"Tequila/Mezcal",
 ISNUMBER(SEARCH("MEZCAL",C193)),"Tequila/Mezcal",
 ISNUMBER(SEARCH("RUM",C193)),"Rum",
 ISNUMBER(SEARCH("BRAND",C193)),"Brandy",
 ISNUMBER(SEARCH("COGNAC",C193)),"Brandy",
 ISNUMBER(SEARCH("LIQUEUR",C193)),"Liqueurs",
 ISNUMBER(SEARCH("CORDIAL",C193)),"Liqueurs",
 ISNUMBER(SEARCH("SCHNAPP",C193)),"Liqueurs",
 ISNUMBER(SEARCH("GIN",C193)),"Gin",
 TRUE,"Other")</f>
        <v>Tequila/Mezcal</v>
      </c>
      <c r="E193" s="5">
        <v>1345</v>
      </c>
      <c r="F193" s="5">
        <v>49635.129999999954</v>
      </c>
      <c r="G193" s="5">
        <v>1008.75</v>
      </c>
      <c r="H193" s="5">
        <v>192</v>
      </c>
    </row>
    <row r="194" spans="1:8">
      <c r="A194" s="5">
        <v>2021</v>
      </c>
      <c r="B194" s="6">
        <v>44501</v>
      </c>
      <c r="C194" s="5" t="s">
        <v>38</v>
      </c>
      <c r="D194" s="3" t="str" cm="1">
        <f t="array" ref="D194">_xlfn.IFS(
 ISNUMBER(SEARCH("WHISK",C194)),"Whiskey",
 ISNUMBER(SEARCH("BOURBON",C194)),"Whiskey",
 ISNUMBER(SEARCH("SCOTCH",C194)),"Whiskey",
 ISNUMBER(SEARCH("RYE",C194)),"Whiskey",
 ISNUMBER(SEARCH("VODKA",C194)),"Vodka",
 ISNUMBER(SEARCH("TEQUILA",C194)),"Tequila/Mezcal",
 ISNUMBER(SEARCH("MEZCAL",C194)),"Tequila/Mezcal",
 ISNUMBER(SEARCH("RUM",C194)),"Rum",
 ISNUMBER(SEARCH("BRAND",C194)),"Brandy",
 ISNUMBER(SEARCH("COGNAC",C194)),"Brandy",
 ISNUMBER(SEARCH("LIQUEUR",C194)),"Liqueurs",
 ISNUMBER(SEARCH("CORDIAL",C194)),"Liqueurs",
 ISNUMBER(SEARCH("SCHNAPP",C194)),"Liqueurs",
 ISNUMBER(SEARCH("GIN",C194)),"Gin",
 TRUE,"Other")</f>
        <v>Whiskey</v>
      </c>
      <c r="E194" s="5">
        <v>19968</v>
      </c>
      <c r="F194" s="5">
        <v>552777.01</v>
      </c>
      <c r="G194" s="5">
        <v>21514.399999999994</v>
      </c>
      <c r="H194" s="5">
        <v>3018</v>
      </c>
    </row>
    <row r="195" spans="1:8">
      <c r="A195" s="5">
        <v>2021</v>
      </c>
      <c r="B195" s="6">
        <v>44501</v>
      </c>
      <c r="C195" s="5" t="s">
        <v>42</v>
      </c>
      <c r="D195" s="3" t="str" cm="1">
        <f t="array" ref="D195">_xlfn.IFS(
 ISNUMBER(SEARCH("WHISK",C195)),"Whiskey",
 ISNUMBER(SEARCH("BOURBON",C195)),"Whiskey",
 ISNUMBER(SEARCH("SCOTCH",C195)),"Whiskey",
 ISNUMBER(SEARCH("RYE",C195)),"Whiskey",
 ISNUMBER(SEARCH("VODKA",C195)),"Vodka",
 ISNUMBER(SEARCH("TEQUILA",C195)),"Tequila/Mezcal",
 ISNUMBER(SEARCH("MEZCAL",C195)),"Tequila/Mezcal",
 ISNUMBER(SEARCH("RUM",C195)),"Rum",
 ISNUMBER(SEARCH("BRAND",C195)),"Brandy",
 ISNUMBER(SEARCH("COGNAC",C195)),"Brandy",
 ISNUMBER(SEARCH("LIQUEUR",C195)),"Liqueurs",
 ISNUMBER(SEARCH("CORDIAL",C195)),"Liqueurs",
 ISNUMBER(SEARCH("SCHNAPP",C195)),"Liqueurs",
 ISNUMBER(SEARCH("GIN",C195)),"Gin",
 TRUE,"Other")</f>
        <v>Rum</v>
      </c>
      <c r="E195" s="5">
        <v>155813</v>
      </c>
      <c r="F195" s="5">
        <v>2752803.9400000293</v>
      </c>
      <c r="G195" s="5">
        <v>177493.82000000036</v>
      </c>
      <c r="H195" s="5">
        <v>9113</v>
      </c>
    </row>
    <row r="196" spans="1:8">
      <c r="A196" s="5">
        <v>2021</v>
      </c>
      <c r="B196" s="6">
        <v>44501</v>
      </c>
      <c r="C196" s="5" t="s">
        <v>43</v>
      </c>
      <c r="D196" s="3" t="str" cm="1">
        <f t="array" ref="D196">_xlfn.IFS(
 ISNUMBER(SEARCH("WHISK",C196)),"Whiskey",
 ISNUMBER(SEARCH("BOURBON",C196)),"Whiskey",
 ISNUMBER(SEARCH("SCOTCH",C196)),"Whiskey",
 ISNUMBER(SEARCH("RYE",C196)),"Whiskey",
 ISNUMBER(SEARCH("VODKA",C196)),"Vodka",
 ISNUMBER(SEARCH("TEQUILA",C196)),"Tequila/Mezcal",
 ISNUMBER(SEARCH("MEZCAL",C196)),"Tequila/Mezcal",
 ISNUMBER(SEARCH("RUM",C196)),"Rum",
 ISNUMBER(SEARCH("BRAND",C196)),"Brandy",
 ISNUMBER(SEARCH("COGNAC",C196)),"Brandy",
 ISNUMBER(SEARCH("LIQUEUR",C196)),"Liqueurs",
 ISNUMBER(SEARCH("CORDIAL",C196)),"Liqueurs",
 ISNUMBER(SEARCH("SCHNAPP",C196)),"Liqueurs",
 ISNUMBER(SEARCH("GIN",C196)),"Gin",
 TRUE,"Other")</f>
        <v>Whiskey</v>
      </c>
      <c r="E196" s="5">
        <v>136902</v>
      </c>
      <c r="F196" s="5">
        <v>2885867.7299999837</v>
      </c>
      <c r="G196" s="5">
        <v>106670.45000000231</v>
      </c>
      <c r="H196" s="5">
        <v>15856</v>
      </c>
    </row>
    <row r="197" spans="1:8">
      <c r="A197" s="5">
        <v>2021</v>
      </c>
      <c r="B197" s="6">
        <v>44501</v>
      </c>
      <c r="C197" s="5" t="s">
        <v>45</v>
      </c>
      <c r="D197" s="3" t="str" cm="1">
        <f t="array" ref="D197">_xlfn.IFS(
 ISNUMBER(SEARCH("WHISK",C197)),"Whiskey",
 ISNUMBER(SEARCH("BOURBON",C197)),"Whiskey",
 ISNUMBER(SEARCH("SCOTCH",C197)),"Whiskey",
 ISNUMBER(SEARCH("RYE",C197)),"Whiskey",
 ISNUMBER(SEARCH("VODKA",C197)),"Vodka",
 ISNUMBER(SEARCH("TEQUILA",C197)),"Tequila/Mezcal",
 ISNUMBER(SEARCH("MEZCAL",C197)),"Tequila/Mezcal",
 ISNUMBER(SEARCH("RUM",C197)),"Rum",
 ISNUMBER(SEARCH("BRAND",C197)),"Brandy",
 ISNUMBER(SEARCH("COGNAC",C197)),"Brandy",
 ISNUMBER(SEARCH("LIQUEUR",C197)),"Liqueurs",
 ISNUMBER(SEARCH("CORDIAL",C197)),"Liqueurs",
 ISNUMBER(SEARCH("SCHNAPP",C197)),"Liqueurs",
 ISNUMBER(SEARCH("GIN",C197)),"Gin",
 TRUE,"Other")</f>
        <v>Other</v>
      </c>
      <c r="E197" s="5">
        <v>69788</v>
      </c>
      <c r="F197" s="5">
        <v>1494681.53999996</v>
      </c>
      <c r="G197" s="5">
        <v>52130.380000000085</v>
      </c>
      <c r="H197" s="5">
        <v>9610</v>
      </c>
    </row>
    <row r="198" spans="1:8">
      <c r="A198" s="5">
        <v>2021</v>
      </c>
      <c r="B198" s="6">
        <v>44501</v>
      </c>
      <c r="C198" s="5" t="s">
        <v>8</v>
      </c>
      <c r="D198" s="3" t="str" cm="1">
        <f t="array" ref="D198">_xlfn.IFS(
 ISNUMBER(SEARCH("WHISK",C198)),"Whiskey",
 ISNUMBER(SEARCH("BOURBON",C198)),"Whiskey",
 ISNUMBER(SEARCH("SCOTCH",C198)),"Whiskey",
 ISNUMBER(SEARCH("RYE",C198)),"Whiskey",
 ISNUMBER(SEARCH("VODKA",C198)),"Vodka",
 ISNUMBER(SEARCH("TEQUILA",C198)),"Tequila/Mezcal",
 ISNUMBER(SEARCH("MEZCAL",C198)),"Tequila/Mezcal",
 ISNUMBER(SEARCH("RUM",C198)),"Rum",
 ISNUMBER(SEARCH("BRAND",C198)),"Brandy",
 ISNUMBER(SEARCH("COGNAC",C198)),"Brandy",
 ISNUMBER(SEARCH("LIQUEUR",C198)),"Liqueurs",
 ISNUMBER(SEARCH("CORDIAL",C198)),"Liqueurs",
 ISNUMBER(SEARCH("SCHNAPP",C198)),"Liqueurs",
 ISNUMBER(SEARCH("GIN",C198)),"Gin",
 TRUE,"Other")</f>
        <v>Brandy</v>
      </c>
      <c r="E198" s="5">
        <v>73585</v>
      </c>
      <c r="F198" s="5">
        <v>491566.34999999846</v>
      </c>
      <c r="G198" s="5">
        <v>39390.439999999981</v>
      </c>
      <c r="H198" s="5">
        <v>6355</v>
      </c>
    </row>
    <row r="199" spans="1:8">
      <c r="A199" s="5">
        <v>2021</v>
      </c>
      <c r="B199" s="6">
        <v>44501</v>
      </c>
      <c r="C199" s="5" t="s">
        <v>59</v>
      </c>
      <c r="D199" s="3" t="str" cm="1">
        <f t="array" ref="D199">_xlfn.IFS(
 ISNUMBER(SEARCH("WHISK",C199)),"Whiskey",
 ISNUMBER(SEARCH("BOURBON",C199)),"Whiskey",
 ISNUMBER(SEARCH("SCOTCH",C199)),"Whiskey",
 ISNUMBER(SEARCH("RYE",C199)),"Whiskey",
 ISNUMBER(SEARCH("VODKA",C199)),"Vodka",
 ISNUMBER(SEARCH("TEQUILA",C199)),"Tequila/Mezcal",
 ISNUMBER(SEARCH("MEZCAL",C199)),"Tequila/Mezcal",
 ISNUMBER(SEARCH("RUM",C199)),"Rum",
 ISNUMBER(SEARCH("BRAND",C199)),"Brandy",
 ISNUMBER(SEARCH("COGNAC",C199)),"Brandy",
 ISNUMBER(SEARCH("LIQUEUR",C199)),"Liqueurs",
 ISNUMBER(SEARCH("CORDIAL",C199)),"Liqueurs",
 ISNUMBER(SEARCH("SCHNAPP",C199)),"Liqueurs",
 ISNUMBER(SEARCH("GIN",C199)),"Gin",
 TRUE,"Other")</f>
        <v>Liqueurs</v>
      </c>
      <c r="E199" s="5">
        <v>42532</v>
      </c>
      <c r="F199" s="5">
        <v>367178.27000000596</v>
      </c>
      <c r="G199" s="5">
        <v>21319.759999999485</v>
      </c>
      <c r="H199" s="5">
        <v>5706</v>
      </c>
    </row>
    <row r="200" spans="1:8">
      <c r="A200" s="5">
        <v>2021</v>
      </c>
      <c r="B200" s="6">
        <v>44501</v>
      </c>
      <c r="C200" s="5" t="s">
        <v>12</v>
      </c>
      <c r="D200" s="3" t="str" cm="1">
        <f t="array" ref="D200">_xlfn.IFS(
 ISNUMBER(SEARCH("WHISK",C200)),"Whiskey",
 ISNUMBER(SEARCH("BOURBON",C200)),"Whiskey",
 ISNUMBER(SEARCH("SCOTCH",C200)),"Whiskey",
 ISNUMBER(SEARCH("RYE",C200)),"Whiskey",
 ISNUMBER(SEARCH("VODKA",C200)),"Vodka",
 ISNUMBER(SEARCH("TEQUILA",C200)),"Tequila/Mezcal",
 ISNUMBER(SEARCH("MEZCAL",C200)),"Tequila/Mezcal",
 ISNUMBER(SEARCH("RUM",C200)),"Rum",
 ISNUMBER(SEARCH("BRAND",C200)),"Brandy",
 ISNUMBER(SEARCH("COGNAC",C200)),"Brandy",
 ISNUMBER(SEARCH("LIQUEUR",C200)),"Liqueurs",
 ISNUMBER(SEARCH("CORDIAL",C200)),"Liqueurs",
 ISNUMBER(SEARCH("SCHNAPP",C200)),"Liqueurs",
 ISNUMBER(SEARCH("GIN",C200)),"Gin",
 TRUE,"Other")</f>
        <v>Vodka</v>
      </c>
      <c r="E200" s="5">
        <v>78251</v>
      </c>
      <c r="F200" s="5">
        <v>818885.810000033</v>
      </c>
      <c r="G200" s="5">
        <v>55260.000000000291</v>
      </c>
      <c r="H200" s="5">
        <v>9391</v>
      </c>
    </row>
    <row r="201" spans="1:8">
      <c r="A201" s="5">
        <v>2021</v>
      </c>
      <c r="B201" s="6">
        <v>44501</v>
      </c>
      <c r="C201" s="5" t="s">
        <v>16</v>
      </c>
      <c r="D201" s="3" t="str" cm="1">
        <f t="array" ref="D201">_xlfn.IFS(
 ISNUMBER(SEARCH("WHISK",C201)),"Whiskey",
 ISNUMBER(SEARCH("BOURBON",C201)),"Whiskey",
 ISNUMBER(SEARCH("SCOTCH",C201)),"Whiskey",
 ISNUMBER(SEARCH("RYE",C201)),"Whiskey",
 ISNUMBER(SEARCH("VODKA",C201)),"Vodka",
 ISNUMBER(SEARCH("TEQUILA",C201)),"Tequila/Mezcal",
 ISNUMBER(SEARCH("MEZCAL",C201)),"Tequila/Mezcal",
 ISNUMBER(SEARCH("RUM",C201)),"Rum",
 ISNUMBER(SEARCH("BRAND",C201)),"Brandy",
 ISNUMBER(SEARCH("COGNAC",C201)),"Brandy",
 ISNUMBER(SEARCH("LIQUEUR",C201)),"Liqueurs",
 ISNUMBER(SEARCH("CORDIAL",C201)),"Liqueurs",
 ISNUMBER(SEARCH("SCHNAPP",C201)),"Liqueurs",
 ISNUMBER(SEARCH("GIN",C201)),"Gin",
 TRUE,"Other")</f>
        <v>Whiskey</v>
      </c>
      <c r="E201" s="5">
        <v>84153</v>
      </c>
      <c r="F201" s="5">
        <v>1090456.3900000046</v>
      </c>
      <c r="G201" s="5">
        <v>71618.620000000563</v>
      </c>
      <c r="H201" s="5">
        <v>9560</v>
      </c>
    </row>
    <row r="202" spans="1:8">
      <c r="A202" s="5">
        <v>2021</v>
      </c>
      <c r="B202" s="6">
        <v>44501</v>
      </c>
      <c r="C202" s="5" t="s">
        <v>18</v>
      </c>
      <c r="D202" s="3" t="str" cm="1">
        <f t="array" ref="D202">_xlfn.IFS(
 ISNUMBER(SEARCH("WHISK",C202)),"Whiskey",
 ISNUMBER(SEARCH("BOURBON",C202)),"Whiskey",
 ISNUMBER(SEARCH("SCOTCH",C202)),"Whiskey",
 ISNUMBER(SEARCH("RYE",C202)),"Whiskey",
 ISNUMBER(SEARCH("VODKA",C202)),"Vodka",
 ISNUMBER(SEARCH("TEQUILA",C202)),"Tequila/Mezcal",
 ISNUMBER(SEARCH("MEZCAL",C202)),"Tequila/Mezcal",
 ISNUMBER(SEARCH("RUM",C202)),"Rum",
 ISNUMBER(SEARCH("BRAND",C202)),"Brandy",
 ISNUMBER(SEARCH("COGNAC",C202)),"Brandy",
 ISNUMBER(SEARCH("LIQUEUR",C202)),"Liqueurs",
 ISNUMBER(SEARCH("CORDIAL",C202)),"Liqueurs",
 ISNUMBER(SEARCH("SCHNAPP",C202)),"Liqueurs",
 ISNUMBER(SEARCH("GIN",C202)),"Gin",
 TRUE,"Other")</f>
        <v>Whiskey</v>
      </c>
      <c r="E202" s="5">
        <v>236148</v>
      </c>
      <c r="F202" s="5">
        <v>3570346.0600002334</v>
      </c>
      <c r="G202" s="5">
        <v>214992.92999999828</v>
      </c>
      <c r="H202" s="5">
        <v>20808</v>
      </c>
    </row>
    <row r="203" spans="1:8">
      <c r="A203" s="5">
        <v>2021</v>
      </c>
      <c r="B203" s="6">
        <v>44501</v>
      </c>
      <c r="C203" s="5" t="s">
        <v>22</v>
      </c>
      <c r="D203" s="3" t="str" cm="1">
        <f t="array" ref="D203">_xlfn.IFS(
 ISNUMBER(SEARCH("WHISK",C203)),"Whiskey",
 ISNUMBER(SEARCH("BOURBON",C203)),"Whiskey",
 ISNUMBER(SEARCH("SCOTCH",C203)),"Whiskey",
 ISNUMBER(SEARCH("RYE",C203)),"Whiskey",
 ISNUMBER(SEARCH("VODKA",C203)),"Vodka",
 ISNUMBER(SEARCH("TEQUILA",C203)),"Tequila/Mezcal",
 ISNUMBER(SEARCH("MEZCAL",C203)),"Tequila/Mezcal",
 ISNUMBER(SEARCH("RUM",C203)),"Rum",
 ISNUMBER(SEARCH("BRAND",C203)),"Brandy",
 ISNUMBER(SEARCH("COGNAC",C203)),"Brandy",
 ISNUMBER(SEARCH("LIQUEUR",C203)),"Liqueurs",
 ISNUMBER(SEARCH("CORDIAL",C203)),"Liqueurs",
 ISNUMBER(SEARCH("SCHNAPP",C203)),"Liqueurs",
 ISNUMBER(SEARCH("GIN",C203)),"Gin",
 TRUE,"Other")</f>
        <v>Liqueurs</v>
      </c>
      <c r="E203" s="5">
        <v>52697</v>
      </c>
      <c r="F203" s="5">
        <v>1108627.0199999986</v>
      </c>
      <c r="G203" s="5">
        <v>45518.86</v>
      </c>
      <c r="H203" s="5">
        <v>5409</v>
      </c>
    </row>
    <row r="204" spans="1:8">
      <c r="A204" s="5">
        <v>2021</v>
      </c>
      <c r="B204" s="6">
        <v>44501</v>
      </c>
      <c r="C204" s="5" t="s">
        <v>35</v>
      </c>
      <c r="D204" s="3" t="str" cm="1">
        <f t="array" ref="D204">_xlfn.IFS(
 ISNUMBER(SEARCH("WHISK",C204)),"Whiskey",
 ISNUMBER(SEARCH("BOURBON",C204)),"Whiskey",
 ISNUMBER(SEARCH("SCOTCH",C204)),"Whiskey",
 ISNUMBER(SEARCH("RYE",C204)),"Whiskey",
 ISNUMBER(SEARCH("VODKA",C204)),"Vodka",
 ISNUMBER(SEARCH("TEQUILA",C204)),"Tequila/Mezcal",
 ISNUMBER(SEARCH("MEZCAL",C204)),"Tequila/Mezcal",
 ISNUMBER(SEARCH("RUM",C204)),"Rum",
 ISNUMBER(SEARCH("BRAND",C204)),"Brandy",
 ISNUMBER(SEARCH("COGNAC",C204)),"Brandy",
 ISNUMBER(SEARCH("LIQUEUR",C204)),"Liqueurs",
 ISNUMBER(SEARCH("CORDIAL",C204)),"Liqueurs",
 ISNUMBER(SEARCH("SCHNAPP",C204)),"Liqueurs",
 ISNUMBER(SEARCH("GIN",C204)),"Gin",
 TRUE,"Other")</f>
        <v>Tequila/Mezcal</v>
      </c>
      <c r="E204" s="5">
        <v>54137</v>
      </c>
      <c r="F204" s="5">
        <v>738750.87999998662</v>
      </c>
      <c r="G204" s="5">
        <v>44293.970000000118</v>
      </c>
      <c r="H204" s="5">
        <v>4263</v>
      </c>
    </row>
    <row r="205" spans="1:8">
      <c r="A205" s="5">
        <v>2021</v>
      </c>
      <c r="B205" s="6">
        <v>44501</v>
      </c>
      <c r="C205" s="5" t="s">
        <v>37</v>
      </c>
      <c r="D205" s="3" t="str" cm="1">
        <f t="array" ref="D205">_xlfn.IFS(
 ISNUMBER(SEARCH("WHISK",C205)),"Whiskey",
 ISNUMBER(SEARCH("BOURBON",C205)),"Whiskey",
 ISNUMBER(SEARCH("SCOTCH",C205)),"Whiskey",
 ISNUMBER(SEARCH("RYE",C205)),"Whiskey",
 ISNUMBER(SEARCH("VODKA",C205)),"Vodka",
 ISNUMBER(SEARCH("TEQUILA",C205)),"Tequila/Mezcal",
 ISNUMBER(SEARCH("MEZCAL",C205)),"Tequila/Mezcal",
 ISNUMBER(SEARCH("RUM",C205)),"Rum",
 ISNUMBER(SEARCH("BRAND",C205)),"Brandy",
 ISNUMBER(SEARCH("COGNAC",C205)),"Brandy",
 ISNUMBER(SEARCH("LIQUEUR",C205)),"Liqueurs",
 ISNUMBER(SEARCH("CORDIAL",C205)),"Liqueurs",
 ISNUMBER(SEARCH("SCHNAPP",C205)),"Liqueurs",
 ISNUMBER(SEARCH("GIN",C205)),"Gin",
 TRUE,"Other")</f>
        <v>Other</v>
      </c>
      <c r="E205" s="5">
        <v>8373</v>
      </c>
      <c r="F205" s="5">
        <v>133986.06999999986</v>
      </c>
      <c r="G205" s="5">
        <v>5072.9500000000062</v>
      </c>
      <c r="H205" s="5">
        <v>1573</v>
      </c>
    </row>
    <row r="206" spans="1:8">
      <c r="A206" s="5">
        <v>2021</v>
      </c>
      <c r="B206" s="6">
        <v>44501</v>
      </c>
      <c r="C206" s="5" t="s">
        <v>46</v>
      </c>
      <c r="D206" s="3" t="str" cm="1">
        <f t="array" ref="D206">_xlfn.IFS(
 ISNUMBER(SEARCH("WHISK",C206)),"Whiskey",
 ISNUMBER(SEARCH("BOURBON",C206)),"Whiskey",
 ISNUMBER(SEARCH("SCOTCH",C206)),"Whiskey",
 ISNUMBER(SEARCH("RYE",C206)),"Whiskey",
 ISNUMBER(SEARCH("VODKA",C206)),"Vodka",
 ISNUMBER(SEARCH("TEQUILA",C206)),"Tequila/Mezcal",
 ISNUMBER(SEARCH("MEZCAL",C206)),"Tequila/Mezcal",
 ISNUMBER(SEARCH("RUM",C206)),"Rum",
 ISNUMBER(SEARCH("BRAND",C206)),"Brandy",
 ISNUMBER(SEARCH("COGNAC",C206)),"Brandy",
 ISNUMBER(SEARCH("LIQUEUR",C206)),"Liqueurs",
 ISNUMBER(SEARCH("CORDIAL",C206)),"Liqueurs",
 ISNUMBER(SEARCH("SCHNAPP",C206)),"Liqueurs",
 ISNUMBER(SEARCH("GIN",C206)),"Gin",
 TRUE,"Other")</f>
        <v>Whiskey</v>
      </c>
      <c r="E206" s="5">
        <v>59445</v>
      </c>
      <c r="F206" s="5">
        <v>1324447.1499999911</v>
      </c>
      <c r="G206" s="5">
        <v>41940.869999999617</v>
      </c>
      <c r="H206" s="5">
        <v>5805</v>
      </c>
    </row>
    <row r="207" spans="1:8">
      <c r="A207" s="5">
        <v>2021</v>
      </c>
      <c r="B207" s="6">
        <v>44501</v>
      </c>
      <c r="C207" s="5" t="s">
        <v>48</v>
      </c>
      <c r="D207" s="3" t="str" cm="1">
        <f t="array" ref="D207">_xlfn.IFS(
 ISNUMBER(SEARCH("WHISK",C207)),"Whiskey",
 ISNUMBER(SEARCH("BOURBON",C207)),"Whiskey",
 ISNUMBER(SEARCH("SCOTCH",C207)),"Whiskey",
 ISNUMBER(SEARCH("RYE",C207)),"Whiskey",
 ISNUMBER(SEARCH("VODKA",C207)),"Vodka",
 ISNUMBER(SEARCH("TEQUILA",C207)),"Tequila/Mezcal",
 ISNUMBER(SEARCH("MEZCAL",C207)),"Tequila/Mezcal",
 ISNUMBER(SEARCH("RUM",C207)),"Rum",
 ISNUMBER(SEARCH("BRAND",C207)),"Brandy",
 ISNUMBER(SEARCH("COGNAC",C207)),"Brandy",
 ISNUMBER(SEARCH("LIQUEUR",C207)),"Liqueurs",
 ISNUMBER(SEARCH("CORDIAL",C207)),"Liqueurs",
 ISNUMBER(SEARCH("SCHNAPP",C207)),"Liqueurs",
 ISNUMBER(SEARCH("GIN",C207)),"Gin",
 TRUE,"Other")</f>
        <v>Whiskey</v>
      </c>
      <c r="E207" s="5">
        <v>304073</v>
      </c>
      <c r="F207" s="5">
        <v>2162802.4599999851</v>
      </c>
      <c r="G207" s="5">
        <v>96758.230000003299</v>
      </c>
      <c r="H207" s="5">
        <v>12253</v>
      </c>
    </row>
    <row r="208" spans="1:8">
      <c r="A208" s="5">
        <v>2021</v>
      </c>
      <c r="B208" s="6">
        <v>44501</v>
      </c>
      <c r="C208" s="5" t="s">
        <v>49</v>
      </c>
      <c r="D208" s="3" t="str" cm="1">
        <f t="array" ref="D208">_xlfn.IFS(
 ISNUMBER(SEARCH("WHISK",C208)),"Whiskey",
 ISNUMBER(SEARCH("BOURBON",C208)),"Whiskey",
 ISNUMBER(SEARCH("SCOTCH",C208)),"Whiskey",
 ISNUMBER(SEARCH("RYE",C208)),"Whiskey",
 ISNUMBER(SEARCH("VODKA",C208)),"Vodka",
 ISNUMBER(SEARCH("TEQUILA",C208)),"Tequila/Mezcal",
 ISNUMBER(SEARCH("MEZCAL",C208)),"Tequila/Mezcal",
 ISNUMBER(SEARCH("RUM",C208)),"Rum",
 ISNUMBER(SEARCH("BRAND",C208)),"Brandy",
 ISNUMBER(SEARCH("COGNAC",C208)),"Brandy",
 ISNUMBER(SEARCH("LIQUEUR",C208)),"Liqueurs",
 ISNUMBER(SEARCH("CORDIAL",C208)),"Liqueurs",
 ISNUMBER(SEARCH("SCHNAPP",C208)),"Liqueurs",
 ISNUMBER(SEARCH("GIN",C208)),"Gin",
 TRUE,"Other")</f>
        <v>Rum</v>
      </c>
      <c r="E208" s="5">
        <v>44498</v>
      </c>
      <c r="F208" s="5">
        <v>546279.81999999855</v>
      </c>
      <c r="G208" s="5">
        <v>50307.339999999982</v>
      </c>
      <c r="H208" s="5">
        <v>4127</v>
      </c>
    </row>
    <row r="209" spans="1:8">
      <c r="A209" s="5">
        <v>2021</v>
      </c>
      <c r="B209" s="6">
        <v>44501</v>
      </c>
      <c r="C209" s="5" t="s">
        <v>44</v>
      </c>
      <c r="D209" s="3" t="str" cm="1">
        <f t="array" ref="D209">_xlfn.IFS(
 ISNUMBER(SEARCH("WHISK",C209)),"Whiskey",
 ISNUMBER(SEARCH("BOURBON",C209)),"Whiskey",
 ISNUMBER(SEARCH("SCOTCH",C209)),"Whiskey",
 ISNUMBER(SEARCH("RYE",C209)),"Whiskey",
 ISNUMBER(SEARCH("VODKA",C209)),"Vodka",
 ISNUMBER(SEARCH("TEQUILA",C209)),"Tequila/Mezcal",
 ISNUMBER(SEARCH("MEZCAL",C209)),"Tequila/Mezcal",
 ISNUMBER(SEARCH("RUM",C209)),"Rum",
 ISNUMBER(SEARCH("BRAND",C209)),"Brandy",
 ISNUMBER(SEARCH("COGNAC",C209)),"Brandy",
 ISNUMBER(SEARCH("LIQUEUR",C209)),"Liqueurs",
 ISNUMBER(SEARCH("CORDIAL",C209)),"Liqueurs",
 ISNUMBER(SEARCH("SCHNAPP",C209)),"Liqueurs",
 ISNUMBER(SEARCH("GIN",C209)),"Gin",
 TRUE,"Other")</f>
        <v>Whiskey</v>
      </c>
      <c r="E209" s="5">
        <v>13611</v>
      </c>
      <c r="F209" s="5">
        <v>469944.6800000057</v>
      </c>
      <c r="G209" s="5">
        <v>10234.960000000003</v>
      </c>
      <c r="H209" s="5">
        <v>2277</v>
      </c>
    </row>
    <row r="210" spans="1:8">
      <c r="A210" s="5">
        <v>2021</v>
      </c>
      <c r="B210" s="6">
        <v>44501</v>
      </c>
      <c r="C210" s="5" t="s">
        <v>40</v>
      </c>
      <c r="D210" s="3" t="str" cm="1">
        <f t="array" ref="D210">_xlfn.IFS(
 ISNUMBER(SEARCH("WHISK",C210)),"Whiskey",
 ISNUMBER(SEARCH("BOURBON",C210)),"Whiskey",
 ISNUMBER(SEARCH("SCOTCH",C210)),"Whiskey",
 ISNUMBER(SEARCH("RYE",C210)),"Whiskey",
 ISNUMBER(SEARCH("VODKA",C210)),"Vodka",
 ISNUMBER(SEARCH("TEQUILA",C210)),"Tequila/Mezcal",
 ISNUMBER(SEARCH("MEZCAL",C210)),"Tequila/Mezcal",
 ISNUMBER(SEARCH("RUM",C210)),"Rum",
 ISNUMBER(SEARCH("BRAND",C210)),"Brandy",
 ISNUMBER(SEARCH("COGNAC",C210)),"Brandy",
 ISNUMBER(SEARCH("LIQUEUR",C210)),"Liqueurs",
 ISNUMBER(SEARCH("CORDIAL",C210)),"Liqueurs",
 ISNUMBER(SEARCH("SCHNAPP",C210)),"Liqueurs",
 ISNUMBER(SEARCH("GIN",C210)),"Gin",
 TRUE,"Other")</f>
        <v>Whiskey</v>
      </c>
      <c r="E210" s="5">
        <v>11089</v>
      </c>
      <c r="F210" s="5">
        <v>501288.20000000088</v>
      </c>
      <c r="G210" s="5">
        <v>8790.85</v>
      </c>
      <c r="H210" s="5">
        <v>1971</v>
      </c>
    </row>
    <row r="211" spans="1:8">
      <c r="A211" s="5">
        <v>2021</v>
      </c>
      <c r="B211" s="6">
        <v>44501</v>
      </c>
      <c r="C211" s="5" t="s">
        <v>7</v>
      </c>
      <c r="D211" s="3" t="str" cm="1">
        <f t="array" ref="D211">_xlfn.IFS(
 ISNUMBER(SEARCH("WHISK",C211)),"Whiskey",
 ISNUMBER(SEARCH("BOURBON",C211)),"Whiskey",
 ISNUMBER(SEARCH("SCOTCH",C211)),"Whiskey",
 ISNUMBER(SEARCH("RYE",C211)),"Whiskey",
 ISNUMBER(SEARCH("VODKA",C211)),"Vodka",
 ISNUMBER(SEARCH("TEQUILA",C211)),"Tequila/Mezcal",
 ISNUMBER(SEARCH("MEZCAL",C211)),"Tequila/Mezcal",
 ISNUMBER(SEARCH("RUM",C211)),"Rum",
 ISNUMBER(SEARCH("BRAND",C211)),"Brandy",
 ISNUMBER(SEARCH("COGNAC",C211)),"Brandy",
 ISNUMBER(SEARCH("LIQUEUR",C211)),"Liqueurs",
 ISNUMBER(SEARCH("CORDIAL",C211)),"Liqueurs",
 ISNUMBER(SEARCH("SCHNAPP",C211)),"Liqueurs",
 ISNUMBER(SEARCH("GIN",C211)),"Gin",
 TRUE,"Other")</f>
        <v>Rum</v>
      </c>
      <c r="E211" s="5">
        <v>4311</v>
      </c>
      <c r="F211" s="5">
        <v>91537.890000000029</v>
      </c>
      <c r="G211" s="5">
        <v>3492</v>
      </c>
      <c r="H211" s="5">
        <v>746</v>
      </c>
    </row>
    <row r="212" spans="1:8">
      <c r="A212" s="5">
        <v>2021</v>
      </c>
      <c r="B212" s="6">
        <v>44501</v>
      </c>
      <c r="C212" s="5" t="s">
        <v>10</v>
      </c>
      <c r="D212" s="3" t="str" cm="1">
        <f t="array" ref="D212">_xlfn.IFS(
 ISNUMBER(SEARCH("WHISK",C212)),"Whiskey",
 ISNUMBER(SEARCH("BOURBON",C212)),"Whiskey",
 ISNUMBER(SEARCH("SCOTCH",C212)),"Whiskey",
 ISNUMBER(SEARCH("RYE",C212)),"Whiskey",
 ISNUMBER(SEARCH("VODKA",C212)),"Vodka",
 ISNUMBER(SEARCH("TEQUILA",C212)),"Tequila/Mezcal",
 ISNUMBER(SEARCH("MEZCAL",C212)),"Tequila/Mezcal",
 ISNUMBER(SEARCH("RUM",C212)),"Rum",
 ISNUMBER(SEARCH("BRAND",C212)),"Brandy",
 ISNUMBER(SEARCH("COGNAC",C212)),"Brandy",
 ISNUMBER(SEARCH("LIQUEUR",C212)),"Liqueurs",
 ISNUMBER(SEARCH("CORDIAL",C212)),"Liqueurs",
 ISNUMBER(SEARCH("SCHNAPP",C212)),"Liqueurs",
 ISNUMBER(SEARCH("GIN",C212)),"Gin",
 TRUE,"Other")</f>
        <v>Other</v>
      </c>
      <c r="E212" s="5">
        <v>9198</v>
      </c>
      <c r="F212" s="5">
        <v>171759.24999999849</v>
      </c>
      <c r="G212" s="5">
        <v>5392.6000000000022</v>
      </c>
      <c r="H212" s="5">
        <v>959</v>
      </c>
    </row>
    <row r="213" spans="1:8">
      <c r="A213" s="5">
        <v>2021</v>
      </c>
      <c r="B213" s="6">
        <v>44501</v>
      </c>
      <c r="C213" s="5" t="s">
        <v>11</v>
      </c>
      <c r="D213" s="3" t="str" cm="1">
        <f t="array" ref="D213">_xlfn.IFS(
 ISNUMBER(SEARCH("WHISK",C213)),"Whiskey",
 ISNUMBER(SEARCH("BOURBON",C213)),"Whiskey",
 ISNUMBER(SEARCH("SCOTCH",C213)),"Whiskey",
 ISNUMBER(SEARCH("RYE",C213)),"Whiskey",
 ISNUMBER(SEARCH("VODKA",C213)),"Vodka",
 ISNUMBER(SEARCH("TEQUILA",C213)),"Tequila/Mezcal",
 ISNUMBER(SEARCH("MEZCAL",C213)),"Tequila/Mezcal",
 ISNUMBER(SEARCH("RUM",C213)),"Rum",
 ISNUMBER(SEARCH("BRAND",C213)),"Brandy",
 ISNUMBER(SEARCH("COGNAC",C213)),"Brandy",
 ISNUMBER(SEARCH("LIQUEUR",C213)),"Liqueurs",
 ISNUMBER(SEARCH("CORDIAL",C213)),"Liqueurs",
 ISNUMBER(SEARCH("SCHNAPP",C213)),"Liqueurs",
 ISNUMBER(SEARCH("GIN",C213)),"Gin",
 TRUE,"Other")</f>
        <v>Gin</v>
      </c>
      <c r="E213" s="5">
        <v>30346</v>
      </c>
      <c r="F213" s="5">
        <v>284329.55000000127</v>
      </c>
      <c r="G213" s="5">
        <v>25524.539999999874</v>
      </c>
      <c r="H213" s="5">
        <v>3285</v>
      </c>
    </row>
    <row r="214" spans="1:8">
      <c r="A214" s="5">
        <v>2021</v>
      </c>
      <c r="B214" s="6">
        <v>44501</v>
      </c>
      <c r="C214" s="5" t="s">
        <v>20</v>
      </c>
      <c r="D214" s="3" t="str" cm="1">
        <f t="array" ref="D214">_xlfn.IFS(
 ISNUMBER(SEARCH("WHISK",C214)),"Whiskey",
 ISNUMBER(SEARCH("BOURBON",C214)),"Whiskey",
 ISNUMBER(SEARCH("SCOTCH",C214)),"Whiskey",
 ISNUMBER(SEARCH("RYE",C214)),"Whiskey",
 ISNUMBER(SEARCH("VODKA",C214)),"Vodka",
 ISNUMBER(SEARCH("TEQUILA",C214)),"Tequila/Mezcal",
 ISNUMBER(SEARCH("MEZCAL",C214)),"Tequila/Mezcal",
 ISNUMBER(SEARCH("RUM",C214)),"Rum",
 ISNUMBER(SEARCH("BRAND",C214)),"Brandy",
 ISNUMBER(SEARCH("COGNAC",C214)),"Brandy",
 ISNUMBER(SEARCH("LIQUEUR",C214)),"Liqueurs",
 ISNUMBER(SEARCH("CORDIAL",C214)),"Liqueurs",
 ISNUMBER(SEARCH("SCHNAPP",C214)),"Liqueurs",
 ISNUMBER(SEARCH("GIN",C214)),"Gin",
 TRUE,"Other")</f>
        <v>Liqueurs</v>
      </c>
      <c r="E214" s="5">
        <v>13945</v>
      </c>
      <c r="F214" s="5">
        <v>257182.98000000167</v>
      </c>
      <c r="G214" s="5">
        <v>11488.400000000016</v>
      </c>
      <c r="H214" s="5">
        <v>1416</v>
      </c>
    </row>
    <row r="215" spans="1:8">
      <c r="A215" s="5">
        <v>2021</v>
      </c>
      <c r="B215" s="6">
        <v>44501</v>
      </c>
      <c r="C215" s="5" t="s">
        <v>23</v>
      </c>
      <c r="D215" s="3" t="str" cm="1">
        <f t="array" ref="D215">_xlfn.IFS(
 ISNUMBER(SEARCH("WHISK",C215)),"Whiskey",
 ISNUMBER(SEARCH("BOURBON",C215)),"Whiskey",
 ISNUMBER(SEARCH("SCOTCH",C215)),"Whiskey",
 ISNUMBER(SEARCH("RYE",C215)),"Whiskey",
 ISNUMBER(SEARCH("VODKA",C215)),"Vodka",
 ISNUMBER(SEARCH("TEQUILA",C215)),"Tequila/Mezcal",
 ISNUMBER(SEARCH("MEZCAL",C215)),"Tequila/Mezcal",
 ISNUMBER(SEARCH("RUM",C215)),"Rum",
 ISNUMBER(SEARCH("BRAND",C215)),"Brandy",
 ISNUMBER(SEARCH("COGNAC",C215)),"Brandy",
 ISNUMBER(SEARCH("LIQUEUR",C215)),"Liqueurs",
 ISNUMBER(SEARCH("CORDIAL",C215)),"Liqueurs",
 ISNUMBER(SEARCH("SCHNAPP",C215)),"Liqueurs",
 ISNUMBER(SEARCH("GIN",C215)),"Gin",
 TRUE,"Other")</f>
        <v>Gin</v>
      </c>
      <c r="E215" s="5">
        <v>1409</v>
      </c>
      <c r="F215" s="5">
        <v>28279.700000000008</v>
      </c>
      <c r="G215" s="5">
        <v>1013.55</v>
      </c>
      <c r="H215" s="5">
        <v>211</v>
      </c>
    </row>
    <row r="216" spans="1:8">
      <c r="A216" s="5">
        <v>2021</v>
      </c>
      <c r="B216" s="6">
        <v>44501</v>
      </c>
      <c r="C216" s="5" t="s">
        <v>24</v>
      </c>
      <c r="D216" s="3" t="str" cm="1">
        <f t="array" ref="D216">_xlfn.IFS(
 ISNUMBER(SEARCH("WHISK",C216)),"Whiskey",
 ISNUMBER(SEARCH("BOURBON",C216)),"Whiskey",
 ISNUMBER(SEARCH("SCOTCH",C216)),"Whiskey",
 ISNUMBER(SEARCH("RYE",C216)),"Whiskey",
 ISNUMBER(SEARCH("VODKA",C216)),"Vodka",
 ISNUMBER(SEARCH("TEQUILA",C216)),"Tequila/Mezcal",
 ISNUMBER(SEARCH("MEZCAL",C216)),"Tequila/Mezcal",
 ISNUMBER(SEARCH("RUM",C216)),"Rum",
 ISNUMBER(SEARCH("BRAND",C216)),"Brandy",
 ISNUMBER(SEARCH("COGNAC",C216)),"Brandy",
 ISNUMBER(SEARCH("LIQUEUR",C216)),"Liqueurs",
 ISNUMBER(SEARCH("CORDIAL",C216)),"Liqueurs",
 ISNUMBER(SEARCH("SCHNAPP",C216)),"Liqueurs",
 ISNUMBER(SEARCH("GIN",C216)),"Gin",
 TRUE,"Other")</f>
        <v>Rum</v>
      </c>
      <c r="E216" s="5">
        <v>43796</v>
      </c>
      <c r="F216" s="5">
        <v>610364.80999999843</v>
      </c>
      <c r="G216" s="5">
        <v>39107.889999999883</v>
      </c>
      <c r="H216" s="5">
        <v>4960</v>
      </c>
    </row>
    <row r="217" spans="1:8">
      <c r="A217" s="5">
        <v>2021</v>
      </c>
      <c r="B217" s="6">
        <v>44501</v>
      </c>
      <c r="C217" s="5" t="s">
        <v>25</v>
      </c>
      <c r="D217" s="3" t="str" cm="1">
        <f t="array" ref="D217">_xlfn.IFS(
 ISNUMBER(SEARCH("WHISK",C217)),"Whiskey",
 ISNUMBER(SEARCH("BOURBON",C217)),"Whiskey",
 ISNUMBER(SEARCH("SCOTCH",C217)),"Whiskey",
 ISNUMBER(SEARCH("RYE",C217)),"Whiskey",
 ISNUMBER(SEARCH("VODKA",C217)),"Vodka",
 ISNUMBER(SEARCH("TEQUILA",C217)),"Tequila/Mezcal",
 ISNUMBER(SEARCH("MEZCAL",C217)),"Tequila/Mezcal",
 ISNUMBER(SEARCH("RUM",C217)),"Rum",
 ISNUMBER(SEARCH("BRAND",C217)),"Brandy",
 ISNUMBER(SEARCH("COGNAC",C217)),"Brandy",
 ISNUMBER(SEARCH("LIQUEUR",C217)),"Liqueurs",
 ISNUMBER(SEARCH("CORDIAL",C217)),"Liqueurs",
 ISNUMBER(SEARCH("SCHNAPP",C217)),"Liqueurs",
 ISNUMBER(SEARCH("GIN",C217)),"Gin",
 TRUE,"Other")</f>
        <v>Rum</v>
      </c>
      <c r="E217" s="5">
        <v>7566</v>
      </c>
      <c r="F217" s="5">
        <v>96907.999999999724</v>
      </c>
      <c r="G217" s="5">
        <v>8470.7600000000093</v>
      </c>
      <c r="H217" s="5">
        <v>1160</v>
      </c>
    </row>
    <row r="218" spans="1:8">
      <c r="A218" s="5">
        <v>2021</v>
      </c>
      <c r="B218" s="6">
        <v>44501</v>
      </c>
      <c r="C218" s="5" t="s">
        <v>26</v>
      </c>
      <c r="D218" s="3" t="str" cm="1">
        <f t="array" ref="D218">_xlfn.IFS(
 ISNUMBER(SEARCH("WHISK",C218)),"Whiskey",
 ISNUMBER(SEARCH("BOURBON",C218)),"Whiskey",
 ISNUMBER(SEARCH("SCOTCH",C218)),"Whiskey",
 ISNUMBER(SEARCH("RYE",C218)),"Whiskey",
 ISNUMBER(SEARCH("VODKA",C218)),"Vodka",
 ISNUMBER(SEARCH("TEQUILA",C218)),"Tequila/Mezcal",
 ISNUMBER(SEARCH("MEZCAL",C218)),"Tequila/Mezcal",
 ISNUMBER(SEARCH("RUM",C218)),"Rum",
 ISNUMBER(SEARCH("BRAND",C218)),"Brandy",
 ISNUMBER(SEARCH("COGNAC",C218)),"Brandy",
 ISNUMBER(SEARCH("LIQUEUR",C218)),"Liqueurs",
 ISNUMBER(SEARCH("CORDIAL",C218)),"Liqueurs",
 ISNUMBER(SEARCH("SCHNAPP",C218)),"Liqueurs",
 ISNUMBER(SEARCH("GIN",C218)),"Gin",
 TRUE,"Other")</f>
        <v>Brandy</v>
      </c>
      <c r="E218" s="5">
        <v>40185</v>
      </c>
      <c r="F218" s="5">
        <v>938380.29999999306</v>
      </c>
      <c r="G218" s="5">
        <v>19203.959999999817</v>
      </c>
      <c r="H218" s="5">
        <v>3424</v>
      </c>
    </row>
    <row r="219" spans="1:8">
      <c r="A219" s="5">
        <v>2021</v>
      </c>
      <c r="B219" s="6">
        <v>44501</v>
      </c>
      <c r="C219" s="5" t="s">
        <v>30</v>
      </c>
      <c r="D219" s="3" t="str" cm="1">
        <f t="array" ref="D219">_xlfn.IFS(
 ISNUMBER(SEARCH("WHISK",C219)),"Whiskey",
 ISNUMBER(SEARCH("BOURBON",C219)),"Whiskey",
 ISNUMBER(SEARCH("SCOTCH",C219)),"Whiskey",
 ISNUMBER(SEARCH("RYE",C219)),"Whiskey",
 ISNUMBER(SEARCH("VODKA",C219)),"Vodka",
 ISNUMBER(SEARCH("TEQUILA",C219)),"Tequila/Mezcal",
 ISNUMBER(SEARCH("MEZCAL",C219)),"Tequila/Mezcal",
 ISNUMBER(SEARCH("RUM",C219)),"Rum",
 ISNUMBER(SEARCH("BRAND",C219)),"Brandy",
 ISNUMBER(SEARCH("COGNAC",C219)),"Brandy",
 ISNUMBER(SEARCH("LIQUEUR",C219)),"Liqueurs",
 ISNUMBER(SEARCH("CORDIAL",C219)),"Liqueurs",
 ISNUMBER(SEARCH("SCHNAPP",C219)),"Liqueurs",
 ISNUMBER(SEARCH("GIN",C219)),"Gin",
 TRUE,"Other")</f>
        <v>Vodka</v>
      </c>
      <c r="E219" s="5">
        <v>28084</v>
      </c>
      <c r="F219" s="5">
        <v>473896.7100000006</v>
      </c>
      <c r="G219" s="5">
        <v>21851.989999999976</v>
      </c>
      <c r="H219" s="5">
        <v>3306</v>
      </c>
    </row>
    <row r="220" spans="1:8">
      <c r="A220" s="5">
        <v>2021</v>
      </c>
      <c r="B220" s="6">
        <v>44501</v>
      </c>
      <c r="C220" s="5" t="s">
        <v>31</v>
      </c>
      <c r="D220" s="3" t="str" cm="1">
        <f t="array" ref="D220">_xlfn.IFS(
 ISNUMBER(SEARCH("WHISK",C220)),"Whiskey",
 ISNUMBER(SEARCH("BOURBON",C220)),"Whiskey",
 ISNUMBER(SEARCH("SCOTCH",C220)),"Whiskey",
 ISNUMBER(SEARCH("RYE",C220)),"Whiskey",
 ISNUMBER(SEARCH("VODKA",C220)),"Vodka",
 ISNUMBER(SEARCH("TEQUILA",C220)),"Tequila/Mezcal",
 ISNUMBER(SEARCH("MEZCAL",C220)),"Tequila/Mezcal",
 ISNUMBER(SEARCH("RUM",C220)),"Rum",
 ISNUMBER(SEARCH("BRAND",C220)),"Brandy",
 ISNUMBER(SEARCH("COGNAC",C220)),"Brandy",
 ISNUMBER(SEARCH("LIQUEUR",C220)),"Liqueurs",
 ISNUMBER(SEARCH("CORDIAL",C220)),"Liqueurs",
 ISNUMBER(SEARCH("SCHNAPP",C220)),"Liqueurs",
 ISNUMBER(SEARCH("GIN",C220)),"Gin",
 TRUE,"Other")</f>
        <v>Liqueurs</v>
      </c>
      <c r="E220" s="5">
        <v>36046</v>
      </c>
      <c r="F220" s="5">
        <v>603687.22999999381</v>
      </c>
      <c r="G220" s="5">
        <v>31836.869999999592</v>
      </c>
      <c r="H220" s="5">
        <v>3549</v>
      </c>
    </row>
    <row r="221" spans="1:8">
      <c r="A221" s="5">
        <v>2021</v>
      </c>
      <c r="B221" s="6">
        <v>44501</v>
      </c>
      <c r="C221" s="5" t="s">
        <v>32</v>
      </c>
      <c r="D221" s="3" t="str" cm="1">
        <f t="array" ref="D221">_xlfn.IFS(
 ISNUMBER(SEARCH("WHISK",C221)),"Whiskey",
 ISNUMBER(SEARCH("BOURBON",C221)),"Whiskey",
 ISNUMBER(SEARCH("SCOTCH",C221)),"Whiskey",
 ISNUMBER(SEARCH("RYE",C221)),"Whiskey",
 ISNUMBER(SEARCH("VODKA",C221)),"Vodka",
 ISNUMBER(SEARCH("TEQUILA",C221)),"Tequila/Mezcal",
 ISNUMBER(SEARCH("MEZCAL",C221)),"Tequila/Mezcal",
 ISNUMBER(SEARCH("RUM",C221)),"Rum",
 ISNUMBER(SEARCH("BRAND",C221)),"Brandy",
 ISNUMBER(SEARCH("COGNAC",C221)),"Brandy",
 ISNUMBER(SEARCH("LIQUEUR",C221)),"Liqueurs",
 ISNUMBER(SEARCH("CORDIAL",C221)),"Liqueurs",
 ISNUMBER(SEARCH("SCHNAPP",C221)),"Liqueurs",
 ISNUMBER(SEARCH("GIN",C221)),"Gin",
 TRUE,"Other")</f>
        <v>Vodka</v>
      </c>
      <c r="E221" s="5">
        <v>70726</v>
      </c>
      <c r="F221" s="5">
        <v>1275239.6099999547</v>
      </c>
      <c r="G221" s="5">
        <v>71151.99000000018</v>
      </c>
      <c r="H221" s="5">
        <v>5104</v>
      </c>
    </row>
    <row r="222" spans="1:8">
      <c r="A222" s="5">
        <v>2021</v>
      </c>
      <c r="B222" s="6">
        <v>44501</v>
      </c>
      <c r="C222" s="5" t="s">
        <v>33</v>
      </c>
      <c r="D222" s="3" t="str" cm="1">
        <f t="array" ref="D222">_xlfn.IFS(
 ISNUMBER(SEARCH("WHISK",C222)),"Whiskey",
 ISNUMBER(SEARCH("BOURBON",C222)),"Whiskey",
 ISNUMBER(SEARCH("SCOTCH",C222)),"Whiskey",
 ISNUMBER(SEARCH("RYE",C222)),"Whiskey",
 ISNUMBER(SEARCH("VODKA",C222)),"Vodka",
 ISNUMBER(SEARCH("TEQUILA",C222)),"Tequila/Mezcal",
 ISNUMBER(SEARCH("MEZCAL",C222)),"Tequila/Mezcal",
 ISNUMBER(SEARCH("RUM",C222)),"Rum",
 ISNUMBER(SEARCH("BRAND",C222)),"Brandy",
 ISNUMBER(SEARCH("COGNAC",C222)),"Brandy",
 ISNUMBER(SEARCH("LIQUEUR",C222)),"Liqueurs",
 ISNUMBER(SEARCH("CORDIAL",C222)),"Liqueurs",
 ISNUMBER(SEARCH("SCHNAPP",C222)),"Liqueurs",
 ISNUMBER(SEARCH("GIN",C222)),"Gin",
 TRUE,"Other")</f>
        <v>Whiskey</v>
      </c>
      <c r="E222" s="5">
        <v>29804</v>
      </c>
      <c r="F222" s="5">
        <v>748805.08999998902</v>
      </c>
      <c r="G222" s="5">
        <v>24340.739999999918</v>
      </c>
      <c r="H222" s="5">
        <v>2741</v>
      </c>
    </row>
    <row r="223" spans="1:8">
      <c r="A223" s="5">
        <v>2021</v>
      </c>
      <c r="B223" s="6">
        <v>44501</v>
      </c>
      <c r="C223" s="5" t="s">
        <v>36</v>
      </c>
      <c r="D223" s="3" t="str" cm="1">
        <f t="array" ref="D223">_xlfn.IFS(
 ISNUMBER(SEARCH("WHISK",C223)),"Whiskey",
 ISNUMBER(SEARCH("BOURBON",C223)),"Whiskey",
 ISNUMBER(SEARCH("SCOTCH",C223)),"Whiskey",
 ISNUMBER(SEARCH("RYE",C223)),"Whiskey",
 ISNUMBER(SEARCH("VODKA",C223)),"Vodka",
 ISNUMBER(SEARCH("TEQUILA",C223)),"Tequila/Mezcal",
 ISNUMBER(SEARCH("MEZCAL",C223)),"Tequila/Mezcal",
 ISNUMBER(SEARCH("RUM",C223)),"Rum",
 ISNUMBER(SEARCH("BRAND",C223)),"Brandy",
 ISNUMBER(SEARCH("COGNAC",C223)),"Brandy",
 ISNUMBER(SEARCH("LIQUEUR",C223)),"Liqueurs",
 ISNUMBER(SEARCH("CORDIAL",C223)),"Liqueurs",
 ISNUMBER(SEARCH("SCHNAPP",C223)),"Liqueurs",
 ISNUMBER(SEARCH("GIN",C223)),"Gin",
 TRUE,"Other")</f>
        <v>Other</v>
      </c>
      <c r="E223" s="5">
        <v>5627</v>
      </c>
      <c r="F223" s="5">
        <v>77617.470000000016</v>
      </c>
      <c r="G223" s="5">
        <v>4497.25</v>
      </c>
      <c r="H223" s="5">
        <v>603</v>
      </c>
    </row>
    <row r="224" spans="1:8">
      <c r="A224" s="5">
        <v>2021</v>
      </c>
      <c r="B224" s="6">
        <v>44501</v>
      </c>
      <c r="C224" s="5" t="s">
        <v>47</v>
      </c>
      <c r="D224" s="3" t="str" cm="1">
        <f t="array" ref="D224">_xlfn.IFS(
 ISNUMBER(SEARCH("WHISK",C224)),"Whiskey",
 ISNUMBER(SEARCH("BOURBON",C224)),"Whiskey",
 ISNUMBER(SEARCH("SCOTCH",C224)),"Whiskey",
 ISNUMBER(SEARCH("RYE",C224)),"Whiskey",
 ISNUMBER(SEARCH("VODKA",C224)),"Vodka",
 ISNUMBER(SEARCH("TEQUILA",C224)),"Tequila/Mezcal",
 ISNUMBER(SEARCH("MEZCAL",C224)),"Tequila/Mezcal",
 ISNUMBER(SEARCH("RUM",C224)),"Rum",
 ISNUMBER(SEARCH("BRAND",C224)),"Brandy",
 ISNUMBER(SEARCH("COGNAC",C224)),"Brandy",
 ISNUMBER(SEARCH("LIQUEUR",C224)),"Liqueurs",
 ISNUMBER(SEARCH("CORDIAL",C224)),"Liqueurs",
 ISNUMBER(SEARCH("SCHNAPP",C224)),"Liqueurs",
 ISNUMBER(SEARCH("GIN",C224)),"Gin",
 TRUE,"Other")</f>
        <v>Other</v>
      </c>
      <c r="E224" s="5">
        <v>15419</v>
      </c>
      <c r="F224" s="5">
        <v>62053.959999999963</v>
      </c>
      <c r="G224" s="5">
        <v>15187</v>
      </c>
      <c r="H224" s="5">
        <v>627</v>
      </c>
    </row>
    <row r="225" spans="1:8">
      <c r="A225" s="5">
        <v>2021</v>
      </c>
      <c r="B225" s="6">
        <v>44501</v>
      </c>
      <c r="C225" s="5" t="s">
        <v>17</v>
      </c>
      <c r="D225" s="3" t="str" cm="1">
        <f t="array" ref="D225">_xlfn.IFS(
 ISNUMBER(SEARCH("WHISK",C225)),"Whiskey",
 ISNUMBER(SEARCH("BOURBON",C225)),"Whiskey",
 ISNUMBER(SEARCH("SCOTCH",C225)),"Whiskey",
 ISNUMBER(SEARCH("RYE",C225)),"Whiskey",
 ISNUMBER(SEARCH("VODKA",C225)),"Vodka",
 ISNUMBER(SEARCH("TEQUILA",C225)),"Tequila/Mezcal",
 ISNUMBER(SEARCH("MEZCAL",C225)),"Tequila/Mezcal",
 ISNUMBER(SEARCH("RUM",C225)),"Rum",
 ISNUMBER(SEARCH("BRAND",C225)),"Brandy",
 ISNUMBER(SEARCH("COGNAC",C225)),"Brandy",
 ISNUMBER(SEARCH("LIQUEUR",C225)),"Liqueurs",
 ISNUMBER(SEARCH("CORDIAL",C225)),"Liqueurs",
 ISNUMBER(SEARCH("SCHNAPP",C225)),"Liqueurs",
 ISNUMBER(SEARCH("GIN",C225)),"Gin",
 TRUE,"Other")</f>
        <v>Whiskey</v>
      </c>
      <c r="E225" s="5">
        <v>2628</v>
      </c>
      <c r="F225" s="5">
        <v>71638.84000000004</v>
      </c>
      <c r="G225" s="5">
        <v>2251</v>
      </c>
      <c r="H225" s="5">
        <v>398</v>
      </c>
    </row>
    <row r="226" spans="1:8">
      <c r="A226" s="5">
        <v>2021</v>
      </c>
      <c r="B226" s="6">
        <v>44501</v>
      </c>
      <c r="C226" s="5" t="s">
        <v>41</v>
      </c>
      <c r="D226" s="3" t="str" cm="1">
        <f t="array" ref="D226">_xlfn.IFS(
 ISNUMBER(SEARCH("WHISK",C226)),"Whiskey",
 ISNUMBER(SEARCH("BOURBON",C226)),"Whiskey",
 ISNUMBER(SEARCH("SCOTCH",C226)),"Whiskey",
 ISNUMBER(SEARCH("RYE",C226)),"Whiskey",
 ISNUMBER(SEARCH("VODKA",C226)),"Vodka",
 ISNUMBER(SEARCH("TEQUILA",C226)),"Tequila/Mezcal",
 ISNUMBER(SEARCH("MEZCAL",C226)),"Tequila/Mezcal",
 ISNUMBER(SEARCH("RUM",C226)),"Rum",
 ISNUMBER(SEARCH("BRAND",C226)),"Brandy",
 ISNUMBER(SEARCH("COGNAC",C226)),"Brandy",
 ISNUMBER(SEARCH("LIQUEUR",C226)),"Liqueurs",
 ISNUMBER(SEARCH("CORDIAL",C226)),"Liqueurs",
 ISNUMBER(SEARCH("SCHNAPP",C226)),"Liqueurs",
 ISNUMBER(SEARCH("GIN",C226)),"Gin",
 TRUE,"Other")</f>
        <v>Other</v>
      </c>
      <c r="E226" s="5">
        <v>8850</v>
      </c>
      <c r="F226" s="5">
        <v>124884.04999999999</v>
      </c>
      <c r="G226" s="5">
        <v>13599</v>
      </c>
      <c r="H226" s="5">
        <v>102</v>
      </c>
    </row>
    <row r="227" spans="1:8">
      <c r="A227" s="5">
        <v>2021</v>
      </c>
      <c r="B227" s="6">
        <v>44501</v>
      </c>
      <c r="C227" s="5" t="s">
        <v>21</v>
      </c>
      <c r="D227" s="3" t="str" cm="1">
        <f t="array" ref="D227">_xlfn.IFS(
 ISNUMBER(SEARCH("WHISK",C227)),"Whiskey",
 ISNUMBER(SEARCH("BOURBON",C227)),"Whiskey",
 ISNUMBER(SEARCH("SCOTCH",C227)),"Whiskey",
 ISNUMBER(SEARCH("RYE",C227)),"Whiskey",
 ISNUMBER(SEARCH("VODKA",C227)),"Vodka",
 ISNUMBER(SEARCH("TEQUILA",C227)),"Tequila/Mezcal",
 ISNUMBER(SEARCH("MEZCAL",C227)),"Tequila/Mezcal",
 ISNUMBER(SEARCH("RUM",C227)),"Rum",
 ISNUMBER(SEARCH("BRAND",C227)),"Brandy",
 ISNUMBER(SEARCH("COGNAC",C227)),"Brandy",
 ISNUMBER(SEARCH("LIQUEUR",C227)),"Liqueurs",
 ISNUMBER(SEARCH("CORDIAL",C227)),"Liqueurs",
 ISNUMBER(SEARCH("SCHNAPP",C227)),"Liqueurs",
 ISNUMBER(SEARCH("GIN",C227)),"Gin",
 TRUE,"Other")</f>
        <v>Whiskey</v>
      </c>
      <c r="E227" s="5">
        <v>955</v>
      </c>
      <c r="F227" s="5">
        <v>24835.85</v>
      </c>
      <c r="G227" s="5">
        <v>711.35</v>
      </c>
      <c r="H227" s="5">
        <v>147</v>
      </c>
    </row>
    <row r="228" spans="1:8">
      <c r="A228" s="5">
        <v>2021</v>
      </c>
      <c r="B228" s="6">
        <v>44501</v>
      </c>
      <c r="C228" s="5" t="s">
        <v>39</v>
      </c>
      <c r="D228" s="3" t="str" cm="1">
        <f t="array" ref="D228">_xlfn.IFS(
 ISNUMBER(SEARCH("WHISK",C228)),"Whiskey",
 ISNUMBER(SEARCH("BOURBON",C228)),"Whiskey",
 ISNUMBER(SEARCH("SCOTCH",C228)),"Whiskey",
 ISNUMBER(SEARCH("RYE",C228)),"Whiskey",
 ISNUMBER(SEARCH("VODKA",C228)),"Vodka",
 ISNUMBER(SEARCH("TEQUILA",C228)),"Tequila/Mezcal",
 ISNUMBER(SEARCH("MEZCAL",C228)),"Tequila/Mezcal",
 ISNUMBER(SEARCH("RUM",C228)),"Rum",
 ISNUMBER(SEARCH("BRAND",C228)),"Brandy",
 ISNUMBER(SEARCH("COGNAC",C228)),"Brandy",
 ISNUMBER(SEARCH("LIQUEUR",C228)),"Liqueurs",
 ISNUMBER(SEARCH("CORDIAL",C228)),"Liqueurs",
 ISNUMBER(SEARCH("SCHNAPP",C228)),"Liqueurs",
 ISNUMBER(SEARCH("GIN",C228)),"Gin",
 TRUE,"Other")</f>
        <v>Whiskey</v>
      </c>
      <c r="E228" s="5">
        <v>2926</v>
      </c>
      <c r="F228" s="5">
        <v>115013.55999999796</v>
      </c>
      <c r="G228" s="5">
        <v>2194.5</v>
      </c>
      <c r="H228" s="5">
        <v>829</v>
      </c>
    </row>
    <row r="229" spans="1:8">
      <c r="A229" s="5">
        <v>2021</v>
      </c>
      <c r="B229" s="6">
        <v>44501</v>
      </c>
      <c r="C229" s="5" t="s">
        <v>14</v>
      </c>
      <c r="D229" s="3" t="str" cm="1">
        <f t="array" ref="D229">_xlfn.IFS(
 ISNUMBER(SEARCH("WHISK",C229)),"Whiskey",
 ISNUMBER(SEARCH("BOURBON",C229)),"Whiskey",
 ISNUMBER(SEARCH("SCOTCH",C229)),"Whiskey",
 ISNUMBER(SEARCH("RYE",C229)),"Whiskey",
 ISNUMBER(SEARCH("VODKA",C229)),"Vodka",
 ISNUMBER(SEARCH("TEQUILA",C229)),"Tequila/Mezcal",
 ISNUMBER(SEARCH("MEZCAL",C229)),"Tequila/Mezcal",
 ISNUMBER(SEARCH("RUM",C229)),"Rum",
 ISNUMBER(SEARCH("BRAND",C229)),"Brandy",
 ISNUMBER(SEARCH("COGNAC",C229)),"Brandy",
 ISNUMBER(SEARCH("LIQUEUR",C229)),"Liqueurs",
 ISNUMBER(SEARCH("CORDIAL",C229)),"Liqueurs",
 ISNUMBER(SEARCH("SCHNAPP",C229)),"Liqueurs",
 ISNUMBER(SEARCH("GIN",C229)),"Gin",
 TRUE,"Other")</f>
        <v>Gin</v>
      </c>
      <c r="E229" s="5">
        <v>327</v>
      </c>
      <c r="F229" s="5">
        <v>2658.510000000002</v>
      </c>
      <c r="G229" s="5">
        <v>327</v>
      </c>
      <c r="H229" s="5">
        <v>65</v>
      </c>
    </row>
    <row r="230" spans="1:8">
      <c r="A230" s="5">
        <v>2021</v>
      </c>
      <c r="B230" s="6">
        <v>44501</v>
      </c>
      <c r="C230" s="5" t="s">
        <v>51</v>
      </c>
      <c r="D230" s="3" t="str" cm="1">
        <f t="array" ref="D230">_xlfn.IFS(
 ISNUMBER(SEARCH("WHISK",C230)),"Whiskey",
 ISNUMBER(SEARCH("BOURBON",C230)),"Whiskey",
 ISNUMBER(SEARCH("SCOTCH",C230)),"Whiskey",
 ISNUMBER(SEARCH("RYE",C230)),"Whiskey",
 ISNUMBER(SEARCH("VODKA",C230)),"Vodka",
 ISNUMBER(SEARCH("TEQUILA",C230)),"Tequila/Mezcal",
 ISNUMBER(SEARCH("MEZCAL",C230)),"Tequila/Mezcal",
 ISNUMBER(SEARCH("RUM",C230)),"Rum",
 ISNUMBER(SEARCH("BRAND",C230)),"Brandy",
 ISNUMBER(SEARCH("COGNAC",C230)),"Brandy",
 ISNUMBER(SEARCH("LIQUEUR",C230)),"Liqueurs",
 ISNUMBER(SEARCH("CORDIAL",C230)),"Liqueurs",
 ISNUMBER(SEARCH("SCHNAPP",C230)),"Liqueurs",
 ISNUMBER(SEARCH("GIN",C230)),"Gin",
 TRUE,"Other")</f>
        <v>Other</v>
      </c>
      <c r="E230" s="5">
        <v>44</v>
      </c>
      <c r="F230" s="5">
        <v>1540</v>
      </c>
      <c r="G230" s="5">
        <v>33</v>
      </c>
      <c r="H230" s="5">
        <v>8</v>
      </c>
    </row>
    <row r="231" spans="1:8">
      <c r="A231" s="5">
        <v>2021</v>
      </c>
      <c r="B231" s="6">
        <v>44501</v>
      </c>
      <c r="C231" s="5" t="s">
        <v>54</v>
      </c>
      <c r="D231" s="3" t="str" cm="1">
        <f t="array" ref="D231">_xlfn.IFS(
 ISNUMBER(SEARCH("WHISK",C231)),"Whiskey",
 ISNUMBER(SEARCH("BOURBON",C231)),"Whiskey",
 ISNUMBER(SEARCH("SCOTCH",C231)),"Whiskey",
 ISNUMBER(SEARCH("RYE",C231)),"Whiskey",
 ISNUMBER(SEARCH("VODKA",C231)),"Vodka",
 ISNUMBER(SEARCH("TEQUILA",C231)),"Tequila/Mezcal",
 ISNUMBER(SEARCH("MEZCAL",C231)),"Tequila/Mezcal",
 ISNUMBER(SEARCH("RUM",C231)),"Rum",
 ISNUMBER(SEARCH("BRAND",C231)),"Brandy",
 ISNUMBER(SEARCH("COGNAC",C231)),"Brandy",
 ISNUMBER(SEARCH("LIQUEUR",C231)),"Liqueurs",
 ISNUMBER(SEARCH("CORDIAL",C231)),"Liqueurs",
 ISNUMBER(SEARCH("SCHNAPP",C231)),"Liqueurs",
 ISNUMBER(SEARCH("GIN",C231)),"Gin",
 TRUE,"Other")</f>
        <v>Whiskey</v>
      </c>
      <c r="E231" s="5">
        <v>6</v>
      </c>
      <c r="F231" s="5">
        <v>459</v>
      </c>
      <c r="G231" s="5">
        <v>4.5</v>
      </c>
      <c r="H231" s="5">
        <v>1</v>
      </c>
    </row>
    <row r="232" spans="1:8">
      <c r="A232" s="5">
        <v>2021</v>
      </c>
      <c r="B232" s="6">
        <v>44531</v>
      </c>
      <c r="C232" s="5" t="s">
        <v>42</v>
      </c>
      <c r="D232" s="3" t="str" cm="1">
        <f t="array" ref="D232">_xlfn.IFS(
 ISNUMBER(SEARCH("WHISK",C232)),"Whiskey",
 ISNUMBER(SEARCH("BOURBON",C232)),"Whiskey",
 ISNUMBER(SEARCH("SCOTCH",C232)),"Whiskey",
 ISNUMBER(SEARCH("RYE",C232)),"Whiskey",
 ISNUMBER(SEARCH("VODKA",C232)),"Vodka",
 ISNUMBER(SEARCH("TEQUILA",C232)),"Tequila/Mezcal",
 ISNUMBER(SEARCH("MEZCAL",C232)),"Tequila/Mezcal",
 ISNUMBER(SEARCH("RUM",C232)),"Rum",
 ISNUMBER(SEARCH("BRAND",C232)),"Brandy",
 ISNUMBER(SEARCH("COGNAC",C232)),"Brandy",
 ISNUMBER(SEARCH("LIQUEUR",C232)),"Liqueurs",
 ISNUMBER(SEARCH("CORDIAL",C232)),"Liqueurs",
 ISNUMBER(SEARCH("SCHNAPP",C232)),"Liqueurs",
 ISNUMBER(SEARCH("GIN",C232)),"Gin",
 TRUE,"Other")</f>
        <v>Rum</v>
      </c>
      <c r="E232" s="5">
        <v>161597</v>
      </c>
      <c r="F232" s="5">
        <v>2611176.8000000189</v>
      </c>
      <c r="G232" s="5">
        <v>165796.95000000045</v>
      </c>
      <c r="H232" s="5">
        <v>11456</v>
      </c>
    </row>
    <row r="233" spans="1:8">
      <c r="A233" s="5">
        <v>2021</v>
      </c>
      <c r="B233" s="6">
        <v>44531</v>
      </c>
      <c r="C233" s="5" t="s">
        <v>45</v>
      </c>
      <c r="D233" s="3" t="str" cm="1">
        <f t="array" ref="D233">_xlfn.IFS(
 ISNUMBER(SEARCH("WHISK",C233)),"Whiskey",
 ISNUMBER(SEARCH("BOURBON",C233)),"Whiskey",
 ISNUMBER(SEARCH("SCOTCH",C233)),"Whiskey",
 ISNUMBER(SEARCH("RYE",C233)),"Whiskey",
 ISNUMBER(SEARCH("VODKA",C233)),"Vodka",
 ISNUMBER(SEARCH("TEQUILA",C233)),"Tequila/Mezcal",
 ISNUMBER(SEARCH("MEZCAL",C233)),"Tequila/Mezcal",
 ISNUMBER(SEARCH("RUM",C233)),"Rum",
 ISNUMBER(SEARCH("BRAND",C233)),"Brandy",
 ISNUMBER(SEARCH("COGNAC",C233)),"Brandy",
 ISNUMBER(SEARCH("LIQUEUR",C233)),"Liqueurs",
 ISNUMBER(SEARCH("CORDIAL",C233)),"Liqueurs",
 ISNUMBER(SEARCH("SCHNAPP",C233)),"Liqueurs",
 ISNUMBER(SEARCH("GIN",C233)),"Gin",
 TRUE,"Other")</f>
        <v>Other</v>
      </c>
      <c r="E233" s="5">
        <v>45989</v>
      </c>
      <c r="F233" s="5">
        <v>1049177.9799999883</v>
      </c>
      <c r="G233" s="5">
        <v>35482.349999999773</v>
      </c>
      <c r="H233" s="5">
        <v>6464</v>
      </c>
    </row>
    <row r="234" spans="1:8">
      <c r="A234" s="5">
        <v>2021</v>
      </c>
      <c r="B234" s="6">
        <v>44531</v>
      </c>
      <c r="C234" s="5" t="s">
        <v>8</v>
      </c>
      <c r="D234" s="3" t="str" cm="1">
        <f t="array" ref="D234">_xlfn.IFS(
 ISNUMBER(SEARCH("WHISK",C234)),"Whiskey",
 ISNUMBER(SEARCH("BOURBON",C234)),"Whiskey",
 ISNUMBER(SEARCH("SCOTCH",C234)),"Whiskey",
 ISNUMBER(SEARCH("RYE",C234)),"Whiskey",
 ISNUMBER(SEARCH("VODKA",C234)),"Vodka",
 ISNUMBER(SEARCH("TEQUILA",C234)),"Tequila/Mezcal",
 ISNUMBER(SEARCH("MEZCAL",C234)),"Tequila/Mezcal",
 ISNUMBER(SEARCH("RUM",C234)),"Rum",
 ISNUMBER(SEARCH("BRAND",C234)),"Brandy",
 ISNUMBER(SEARCH("COGNAC",C234)),"Brandy",
 ISNUMBER(SEARCH("LIQUEUR",C234)),"Liqueurs",
 ISNUMBER(SEARCH("CORDIAL",C234)),"Liqueurs",
 ISNUMBER(SEARCH("SCHNAPP",C234)),"Liqueurs",
 ISNUMBER(SEARCH("GIN",C234)),"Gin",
 TRUE,"Other")</f>
        <v>Brandy</v>
      </c>
      <c r="E234" s="5">
        <v>74887</v>
      </c>
      <c r="F234" s="5">
        <v>521855.99000000104</v>
      </c>
      <c r="G234" s="5">
        <v>42052.870000000112</v>
      </c>
      <c r="H234" s="5">
        <v>7138</v>
      </c>
    </row>
    <row r="235" spans="1:8">
      <c r="A235" s="5">
        <v>2021</v>
      </c>
      <c r="B235" s="6">
        <v>44531</v>
      </c>
      <c r="C235" s="5" t="s">
        <v>12</v>
      </c>
      <c r="D235" s="3" t="str" cm="1">
        <f t="array" ref="D235">_xlfn.IFS(
 ISNUMBER(SEARCH("WHISK",C235)),"Whiskey",
 ISNUMBER(SEARCH("BOURBON",C235)),"Whiskey",
 ISNUMBER(SEARCH("SCOTCH",C235)),"Whiskey",
 ISNUMBER(SEARCH("RYE",C235)),"Whiskey",
 ISNUMBER(SEARCH("VODKA",C235)),"Vodka",
 ISNUMBER(SEARCH("TEQUILA",C235)),"Tequila/Mezcal",
 ISNUMBER(SEARCH("MEZCAL",C235)),"Tequila/Mezcal",
 ISNUMBER(SEARCH("RUM",C235)),"Rum",
 ISNUMBER(SEARCH("BRAND",C235)),"Brandy",
 ISNUMBER(SEARCH("COGNAC",C235)),"Brandy",
 ISNUMBER(SEARCH("LIQUEUR",C235)),"Liqueurs",
 ISNUMBER(SEARCH("CORDIAL",C235)),"Liqueurs",
 ISNUMBER(SEARCH("SCHNAPP",C235)),"Liqueurs",
 ISNUMBER(SEARCH("GIN",C235)),"Gin",
 TRUE,"Other")</f>
        <v>Vodka</v>
      </c>
      <c r="E235" s="5">
        <v>86135</v>
      </c>
      <c r="F235" s="5">
        <v>900172.69000004802</v>
      </c>
      <c r="G235" s="5">
        <v>59827.670000000486</v>
      </c>
      <c r="H235" s="5">
        <v>10659</v>
      </c>
    </row>
    <row r="236" spans="1:8">
      <c r="A236" s="5">
        <v>2021</v>
      </c>
      <c r="B236" s="6">
        <v>44531</v>
      </c>
      <c r="C236" s="5" t="s">
        <v>15</v>
      </c>
      <c r="D236" s="3" t="str" cm="1">
        <f t="array" ref="D236">_xlfn.IFS(
 ISNUMBER(SEARCH("WHISK",C236)),"Whiskey",
 ISNUMBER(SEARCH("BOURBON",C236)),"Whiskey",
 ISNUMBER(SEARCH("SCOTCH",C236)),"Whiskey",
 ISNUMBER(SEARCH("RYE",C236)),"Whiskey",
 ISNUMBER(SEARCH("VODKA",C236)),"Vodka",
 ISNUMBER(SEARCH("TEQUILA",C236)),"Tequila/Mezcal",
 ISNUMBER(SEARCH("MEZCAL",C236)),"Tequila/Mezcal",
 ISNUMBER(SEARCH("RUM",C236)),"Rum",
 ISNUMBER(SEARCH("BRAND",C236)),"Brandy",
 ISNUMBER(SEARCH("COGNAC",C236)),"Brandy",
 ISNUMBER(SEARCH("LIQUEUR",C236)),"Liqueurs",
 ISNUMBER(SEARCH("CORDIAL",C236)),"Liqueurs",
 ISNUMBER(SEARCH("SCHNAPP",C236)),"Liqueurs",
 ISNUMBER(SEARCH("GIN",C236)),"Gin",
 TRUE,"Other")</f>
        <v>Vodka</v>
      </c>
      <c r="E236" s="5">
        <v>529237</v>
      </c>
      <c r="F236" s="5">
        <v>5023405.7899997151</v>
      </c>
      <c r="G236" s="5">
        <v>469122.64999997534</v>
      </c>
      <c r="H236" s="5">
        <v>35854</v>
      </c>
    </row>
    <row r="237" spans="1:8">
      <c r="A237" s="5">
        <v>2021</v>
      </c>
      <c r="B237" s="6">
        <v>44531</v>
      </c>
      <c r="C237" s="5" t="s">
        <v>16</v>
      </c>
      <c r="D237" s="3" t="str" cm="1">
        <f t="array" ref="D237">_xlfn.IFS(
 ISNUMBER(SEARCH("WHISK",C237)),"Whiskey",
 ISNUMBER(SEARCH("BOURBON",C237)),"Whiskey",
 ISNUMBER(SEARCH("SCOTCH",C237)),"Whiskey",
 ISNUMBER(SEARCH("RYE",C237)),"Whiskey",
 ISNUMBER(SEARCH("VODKA",C237)),"Vodka",
 ISNUMBER(SEARCH("TEQUILA",C237)),"Tequila/Mezcal",
 ISNUMBER(SEARCH("MEZCAL",C237)),"Tequila/Mezcal",
 ISNUMBER(SEARCH("RUM",C237)),"Rum",
 ISNUMBER(SEARCH("BRAND",C237)),"Brandy",
 ISNUMBER(SEARCH("COGNAC",C237)),"Brandy",
 ISNUMBER(SEARCH("LIQUEUR",C237)),"Liqueurs",
 ISNUMBER(SEARCH("CORDIAL",C237)),"Liqueurs",
 ISNUMBER(SEARCH("SCHNAPP",C237)),"Liqueurs",
 ISNUMBER(SEARCH("GIN",C237)),"Gin",
 TRUE,"Other")</f>
        <v>Whiskey</v>
      </c>
      <c r="E237" s="5">
        <v>99853</v>
      </c>
      <c r="F237" s="5">
        <v>1396079.650000006</v>
      </c>
      <c r="G237" s="5">
        <v>81695.480000001116</v>
      </c>
      <c r="H237" s="5">
        <v>11067</v>
      </c>
    </row>
    <row r="238" spans="1:8">
      <c r="A238" s="5">
        <v>2021</v>
      </c>
      <c r="B238" s="6">
        <v>44531</v>
      </c>
      <c r="C238" s="5" t="s">
        <v>18</v>
      </c>
      <c r="D238" s="3" t="str" cm="1">
        <f t="array" ref="D238">_xlfn.IFS(
 ISNUMBER(SEARCH("WHISK",C238)),"Whiskey",
 ISNUMBER(SEARCH("BOURBON",C238)),"Whiskey",
 ISNUMBER(SEARCH("SCOTCH",C238)),"Whiskey",
 ISNUMBER(SEARCH("RYE",C238)),"Whiskey",
 ISNUMBER(SEARCH("VODKA",C238)),"Vodka",
 ISNUMBER(SEARCH("TEQUILA",C238)),"Tequila/Mezcal",
 ISNUMBER(SEARCH("MEZCAL",C238)),"Tequila/Mezcal",
 ISNUMBER(SEARCH("RUM",C238)),"Rum",
 ISNUMBER(SEARCH("BRAND",C238)),"Brandy",
 ISNUMBER(SEARCH("COGNAC",C238)),"Brandy",
 ISNUMBER(SEARCH("LIQUEUR",C238)),"Liqueurs",
 ISNUMBER(SEARCH("CORDIAL",C238)),"Liqueurs",
 ISNUMBER(SEARCH("SCHNAPP",C238)),"Liqueurs",
 ISNUMBER(SEARCH("GIN",C238)),"Gin",
 TRUE,"Other")</f>
        <v>Whiskey</v>
      </c>
      <c r="E238" s="5">
        <v>313442</v>
      </c>
      <c r="F238" s="5">
        <v>4898185.46000027</v>
      </c>
      <c r="G238" s="5">
        <v>321640.04999999382</v>
      </c>
      <c r="H238" s="5">
        <v>23635</v>
      </c>
    </row>
    <row r="239" spans="1:8">
      <c r="A239" s="5">
        <v>2021</v>
      </c>
      <c r="B239" s="6">
        <v>44531</v>
      </c>
      <c r="C239" s="5" t="s">
        <v>20</v>
      </c>
      <c r="D239" s="3" t="str" cm="1">
        <f t="array" ref="D239">_xlfn.IFS(
 ISNUMBER(SEARCH("WHISK",C239)),"Whiskey",
 ISNUMBER(SEARCH("BOURBON",C239)),"Whiskey",
 ISNUMBER(SEARCH("SCOTCH",C239)),"Whiskey",
 ISNUMBER(SEARCH("RYE",C239)),"Whiskey",
 ISNUMBER(SEARCH("VODKA",C239)),"Vodka",
 ISNUMBER(SEARCH("TEQUILA",C239)),"Tequila/Mezcal",
 ISNUMBER(SEARCH("MEZCAL",C239)),"Tequila/Mezcal",
 ISNUMBER(SEARCH("RUM",C239)),"Rum",
 ISNUMBER(SEARCH("BRAND",C239)),"Brandy",
 ISNUMBER(SEARCH("COGNAC",C239)),"Brandy",
 ISNUMBER(SEARCH("LIQUEUR",C239)),"Liqueurs",
 ISNUMBER(SEARCH("CORDIAL",C239)),"Liqueurs",
 ISNUMBER(SEARCH("SCHNAPP",C239)),"Liqueurs",
 ISNUMBER(SEARCH("GIN",C239)),"Gin",
 TRUE,"Other")</f>
        <v>Liqueurs</v>
      </c>
      <c r="E239" s="5">
        <v>17322</v>
      </c>
      <c r="F239" s="5">
        <v>328135.10000000143</v>
      </c>
      <c r="G239" s="5">
        <v>14466.839999999998</v>
      </c>
      <c r="H239" s="5">
        <v>1629</v>
      </c>
    </row>
    <row r="240" spans="1:8">
      <c r="A240" s="5">
        <v>2021</v>
      </c>
      <c r="B240" s="6">
        <v>44531</v>
      </c>
      <c r="C240" s="5" t="s">
        <v>22</v>
      </c>
      <c r="D240" s="3" t="str" cm="1">
        <f t="array" ref="D240">_xlfn.IFS(
 ISNUMBER(SEARCH("WHISK",C240)),"Whiskey",
 ISNUMBER(SEARCH("BOURBON",C240)),"Whiskey",
 ISNUMBER(SEARCH("SCOTCH",C240)),"Whiskey",
 ISNUMBER(SEARCH("RYE",C240)),"Whiskey",
 ISNUMBER(SEARCH("VODKA",C240)),"Vodka",
 ISNUMBER(SEARCH("TEQUILA",C240)),"Tequila/Mezcal",
 ISNUMBER(SEARCH("MEZCAL",C240)),"Tequila/Mezcal",
 ISNUMBER(SEARCH("RUM",C240)),"Rum",
 ISNUMBER(SEARCH("BRAND",C240)),"Brandy",
 ISNUMBER(SEARCH("COGNAC",C240)),"Brandy",
 ISNUMBER(SEARCH("LIQUEUR",C240)),"Liqueurs",
 ISNUMBER(SEARCH("CORDIAL",C240)),"Liqueurs",
 ISNUMBER(SEARCH("SCHNAPP",C240)),"Liqueurs",
 ISNUMBER(SEARCH("GIN",C240)),"Gin",
 TRUE,"Other")</f>
        <v>Liqueurs</v>
      </c>
      <c r="E240" s="5">
        <v>64331</v>
      </c>
      <c r="F240" s="5">
        <v>1424808.1699999725</v>
      </c>
      <c r="G240" s="5">
        <v>57962.370000000054</v>
      </c>
      <c r="H240" s="5">
        <v>7247</v>
      </c>
    </row>
    <row r="241" spans="1:8">
      <c r="A241" s="5">
        <v>2021</v>
      </c>
      <c r="B241" s="6">
        <v>44531</v>
      </c>
      <c r="C241" s="5" t="s">
        <v>31</v>
      </c>
      <c r="D241" s="3" t="str" cm="1">
        <f t="array" ref="D241">_xlfn.IFS(
 ISNUMBER(SEARCH("WHISK",C241)),"Whiskey",
 ISNUMBER(SEARCH("BOURBON",C241)),"Whiskey",
 ISNUMBER(SEARCH("SCOTCH",C241)),"Whiskey",
 ISNUMBER(SEARCH("RYE",C241)),"Whiskey",
 ISNUMBER(SEARCH("VODKA",C241)),"Vodka",
 ISNUMBER(SEARCH("TEQUILA",C241)),"Tequila/Mezcal",
 ISNUMBER(SEARCH("MEZCAL",C241)),"Tequila/Mezcal",
 ISNUMBER(SEARCH("RUM",C241)),"Rum",
 ISNUMBER(SEARCH("BRAND",C241)),"Brandy",
 ISNUMBER(SEARCH("COGNAC",C241)),"Brandy",
 ISNUMBER(SEARCH("LIQUEUR",C241)),"Liqueurs",
 ISNUMBER(SEARCH("CORDIAL",C241)),"Liqueurs",
 ISNUMBER(SEARCH("SCHNAPP",C241)),"Liqueurs",
 ISNUMBER(SEARCH("GIN",C241)),"Gin",
 TRUE,"Other")</f>
        <v>Liqueurs</v>
      </c>
      <c r="E241" s="5">
        <v>34028</v>
      </c>
      <c r="F241" s="5">
        <v>573696.22999999567</v>
      </c>
      <c r="G241" s="5">
        <v>29650.759999999678</v>
      </c>
      <c r="H241" s="5">
        <v>3746</v>
      </c>
    </row>
    <row r="242" spans="1:8">
      <c r="A242" s="5">
        <v>2021</v>
      </c>
      <c r="B242" s="6">
        <v>44531</v>
      </c>
      <c r="C242" s="5" t="s">
        <v>32</v>
      </c>
      <c r="D242" s="3" t="str" cm="1">
        <f t="array" ref="D242">_xlfn.IFS(
 ISNUMBER(SEARCH("WHISK",C242)),"Whiskey",
 ISNUMBER(SEARCH("BOURBON",C242)),"Whiskey",
 ISNUMBER(SEARCH("SCOTCH",C242)),"Whiskey",
 ISNUMBER(SEARCH("RYE",C242)),"Whiskey",
 ISNUMBER(SEARCH("VODKA",C242)),"Vodka",
 ISNUMBER(SEARCH("TEQUILA",C242)),"Tequila/Mezcal",
 ISNUMBER(SEARCH("MEZCAL",C242)),"Tequila/Mezcal",
 ISNUMBER(SEARCH("RUM",C242)),"Rum",
 ISNUMBER(SEARCH("BRAND",C242)),"Brandy",
 ISNUMBER(SEARCH("COGNAC",C242)),"Brandy",
 ISNUMBER(SEARCH("LIQUEUR",C242)),"Liqueurs",
 ISNUMBER(SEARCH("CORDIAL",C242)),"Liqueurs",
 ISNUMBER(SEARCH("SCHNAPP",C242)),"Liqueurs",
 ISNUMBER(SEARCH("GIN",C242)),"Gin",
 TRUE,"Other")</f>
        <v>Vodka</v>
      </c>
      <c r="E242" s="5">
        <v>72943</v>
      </c>
      <c r="F242" s="5">
        <v>1282123.499999936</v>
      </c>
      <c r="G242" s="5">
        <v>69839.420000000377</v>
      </c>
      <c r="H242" s="5">
        <v>6525</v>
      </c>
    </row>
    <row r="243" spans="1:8">
      <c r="A243" s="5">
        <v>2021</v>
      </c>
      <c r="B243" s="6">
        <v>44531</v>
      </c>
      <c r="C243" s="5" t="s">
        <v>36</v>
      </c>
      <c r="D243" s="3" t="str" cm="1">
        <f t="array" ref="D243">_xlfn.IFS(
 ISNUMBER(SEARCH("WHISK",C243)),"Whiskey",
 ISNUMBER(SEARCH("BOURBON",C243)),"Whiskey",
 ISNUMBER(SEARCH("SCOTCH",C243)),"Whiskey",
 ISNUMBER(SEARCH("RYE",C243)),"Whiskey",
 ISNUMBER(SEARCH("VODKA",C243)),"Vodka",
 ISNUMBER(SEARCH("TEQUILA",C243)),"Tequila/Mezcal",
 ISNUMBER(SEARCH("MEZCAL",C243)),"Tequila/Mezcal",
 ISNUMBER(SEARCH("RUM",C243)),"Rum",
 ISNUMBER(SEARCH("BRAND",C243)),"Brandy",
 ISNUMBER(SEARCH("COGNAC",C243)),"Brandy",
 ISNUMBER(SEARCH("LIQUEUR",C243)),"Liqueurs",
 ISNUMBER(SEARCH("CORDIAL",C243)),"Liqueurs",
 ISNUMBER(SEARCH("SCHNAPP",C243)),"Liqueurs",
 ISNUMBER(SEARCH("GIN",C243)),"Gin",
 TRUE,"Other")</f>
        <v>Other</v>
      </c>
      <c r="E243" s="5">
        <v>6702</v>
      </c>
      <c r="F243" s="5">
        <v>93579.979999999952</v>
      </c>
      <c r="G243" s="5">
        <v>5319.5</v>
      </c>
      <c r="H243" s="5">
        <v>659</v>
      </c>
    </row>
    <row r="244" spans="1:8">
      <c r="A244" s="5">
        <v>2021</v>
      </c>
      <c r="B244" s="6">
        <v>44531</v>
      </c>
      <c r="C244" s="5" t="s">
        <v>38</v>
      </c>
      <c r="D244" s="3" t="str" cm="1">
        <f t="array" ref="D244">_xlfn.IFS(
 ISNUMBER(SEARCH("WHISK",C244)),"Whiskey",
 ISNUMBER(SEARCH("BOURBON",C244)),"Whiskey",
 ISNUMBER(SEARCH("SCOTCH",C244)),"Whiskey",
 ISNUMBER(SEARCH("RYE",C244)),"Whiskey",
 ISNUMBER(SEARCH("VODKA",C244)),"Vodka",
 ISNUMBER(SEARCH("TEQUILA",C244)),"Tequila/Mezcal",
 ISNUMBER(SEARCH("MEZCAL",C244)),"Tequila/Mezcal",
 ISNUMBER(SEARCH("RUM",C244)),"Rum",
 ISNUMBER(SEARCH("BRAND",C244)),"Brandy",
 ISNUMBER(SEARCH("COGNAC",C244)),"Brandy",
 ISNUMBER(SEARCH("LIQUEUR",C244)),"Liqueurs",
 ISNUMBER(SEARCH("CORDIAL",C244)),"Liqueurs",
 ISNUMBER(SEARCH("SCHNAPP",C244)),"Liqueurs",
 ISNUMBER(SEARCH("GIN",C244)),"Gin",
 TRUE,"Other")</f>
        <v>Whiskey</v>
      </c>
      <c r="E244" s="5">
        <v>24230</v>
      </c>
      <c r="F244" s="5">
        <v>722231.38999999699</v>
      </c>
      <c r="G244" s="5">
        <v>24936.609999999986</v>
      </c>
      <c r="H244" s="5">
        <v>3533</v>
      </c>
    </row>
    <row r="245" spans="1:8">
      <c r="A245" s="5">
        <v>2021</v>
      </c>
      <c r="B245" s="6">
        <v>44531</v>
      </c>
      <c r="C245" s="5" t="s">
        <v>43</v>
      </c>
      <c r="D245" s="3" t="str" cm="1">
        <f t="array" ref="D245">_xlfn.IFS(
 ISNUMBER(SEARCH("WHISK",C245)),"Whiskey",
 ISNUMBER(SEARCH("BOURBON",C245)),"Whiskey",
 ISNUMBER(SEARCH("SCOTCH",C245)),"Whiskey",
 ISNUMBER(SEARCH("RYE",C245)),"Whiskey",
 ISNUMBER(SEARCH("VODKA",C245)),"Vodka",
 ISNUMBER(SEARCH("TEQUILA",C245)),"Tequila/Mezcal",
 ISNUMBER(SEARCH("MEZCAL",C245)),"Tequila/Mezcal",
 ISNUMBER(SEARCH("RUM",C245)),"Rum",
 ISNUMBER(SEARCH("BRAND",C245)),"Brandy",
 ISNUMBER(SEARCH("COGNAC",C245)),"Brandy",
 ISNUMBER(SEARCH("LIQUEUR",C245)),"Liqueurs",
 ISNUMBER(SEARCH("CORDIAL",C245)),"Liqueurs",
 ISNUMBER(SEARCH("SCHNAPP",C245)),"Liqueurs",
 ISNUMBER(SEARCH("GIN",C245)),"Gin",
 TRUE,"Other")</f>
        <v>Whiskey</v>
      </c>
      <c r="E245" s="5">
        <v>164061</v>
      </c>
      <c r="F245" s="5">
        <v>3511270.499999979</v>
      </c>
      <c r="G245" s="5">
        <v>130601.96000000254</v>
      </c>
      <c r="H245" s="5">
        <v>19340</v>
      </c>
    </row>
    <row r="246" spans="1:8">
      <c r="A246" s="5">
        <v>2021</v>
      </c>
      <c r="B246" s="6">
        <v>44531</v>
      </c>
      <c r="C246" s="5" t="s">
        <v>46</v>
      </c>
      <c r="D246" s="3" t="str" cm="1">
        <f t="array" ref="D246">_xlfn.IFS(
 ISNUMBER(SEARCH("WHISK",C246)),"Whiskey",
 ISNUMBER(SEARCH("BOURBON",C246)),"Whiskey",
 ISNUMBER(SEARCH("SCOTCH",C246)),"Whiskey",
 ISNUMBER(SEARCH("RYE",C246)),"Whiskey",
 ISNUMBER(SEARCH("VODKA",C246)),"Vodka",
 ISNUMBER(SEARCH("TEQUILA",C246)),"Tequila/Mezcal",
 ISNUMBER(SEARCH("MEZCAL",C246)),"Tequila/Mezcal",
 ISNUMBER(SEARCH("RUM",C246)),"Rum",
 ISNUMBER(SEARCH("BRAND",C246)),"Brandy",
 ISNUMBER(SEARCH("COGNAC",C246)),"Brandy",
 ISNUMBER(SEARCH("LIQUEUR",C246)),"Liqueurs",
 ISNUMBER(SEARCH("CORDIAL",C246)),"Liqueurs",
 ISNUMBER(SEARCH("SCHNAPP",C246)),"Liqueurs",
 ISNUMBER(SEARCH("GIN",C246)),"Gin",
 TRUE,"Other")</f>
        <v>Whiskey</v>
      </c>
      <c r="E246" s="5">
        <v>88674</v>
      </c>
      <c r="F246" s="5">
        <v>1989019.4500000137</v>
      </c>
      <c r="G246" s="5">
        <v>63466.59000000076</v>
      </c>
      <c r="H246" s="5">
        <v>8545</v>
      </c>
    </row>
    <row r="247" spans="1:8">
      <c r="A247" s="5">
        <v>2021</v>
      </c>
      <c r="B247" s="6">
        <v>44531</v>
      </c>
      <c r="C247" s="5" t="s">
        <v>49</v>
      </c>
      <c r="D247" s="3" t="str" cm="1">
        <f t="array" ref="D247">_xlfn.IFS(
 ISNUMBER(SEARCH("WHISK",C247)),"Whiskey",
 ISNUMBER(SEARCH("BOURBON",C247)),"Whiskey",
 ISNUMBER(SEARCH("SCOTCH",C247)),"Whiskey",
 ISNUMBER(SEARCH("RYE",C247)),"Whiskey",
 ISNUMBER(SEARCH("VODKA",C247)),"Vodka",
 ISNUMBER(SEARCH("TEQUILA",C247)),"Tequila/Mezcal",
 ISNUMBER(SEARCH("MEZCAL",C247)),"Tequila/Mezcal",
 ISNUMBER(SEARCH("RUM",C247)),"Rum",
 ISNUMBER(SEARCH("BRAND",C247)),"Brandy",
 ISNUMBER(SEARCH("COGNAC",C247)),"Brandy",
 ISNUMBER(SEARCH("LIQUEUR",C247)),"Liqueurs",
 ISNUMBER(SEARCH("CORDIAL",C247)),"Liqueurs",
 ISNUMBER(SEARCH("SCHNAPP",C247)),"Liqueurs",
 ISNUMBER(SEARCH("GIN",C247)),"Gin",
 TRUE,"Other")</f>
        <v>Rum</v>
      </c>
      <c r="E247" s="5">
        <v>51496</v>
      </c>
      <c r="F247" s="5">
        <v>599084.26000000373</v>
      </c>
      <c r="G247" s="5">
        <v>53179.62000000001</v>
      </c>
      <c r="H247" s="5">
        <v>4807</v>
      </c>
    </row>
    <row r="248" spans="1:8">
      <c r="A248" s="5">
        <v>2021</v>
      </c>
      <c r="B248" s="6">
        <v>44531</v>
      </c>
      <c r="C248" s="5" t="s">
        <v>50</v>
      </c>
      <c r="D248" s="3" t="str" cm="1">
        <f t="array" ref="D248">_xlfn.IFS(
 ISNUMBER(SEARCH("WHISK",C248)),"Whiskey",
 ISNUMBER(SEARCH("BOURBON",C248)),"Whiskey",
 ISNUMBER(SEARCH("SCOTCH",C248)),"Whiskey",
 ISNUMBER(SEARCH("RYE",C248)),"Whiskey",
 ISNUMBER(SEARCH("VODKA",C248)),"Vodka",
 ISNUMBER(SEARCH("TEQUILA",C248)),"Tequila/Mezcal",
 ISNUMBER(SEARCH("MEZCAL",C248)),"Tequila/Mezcal",
 ISNUMBER(SEARCH("RUM",C248)),"Rum",
 ISNUMBER(SEARCH("BRAND",C248)),"Brandy",
 ISNUMBER(SEARCH("COGNAC",C248)),"Brandy",
 ISNUMBER(SEARCH("LIQUEUR",C248)),"Liqueurs",
 ISNUMBER(SEARCH("CORDIAL",C248)),"Liqueurs",
 ISNUMBER(SEARCH("SCHNAPP",C248)),"Liqueurs",
 ISNUMBER(SEARCH("GIN",C248)),"Gin",
 TRUE,"Other")</f>
        <v>Tequila/Mezcal</v>
      </c>
      <c r="E248" s="5">
        <v>85124</v>
      </c>
      <c r="F248" s="5">
        <v>2436362.4099999648</v>
      </c>
      <c r="G248" s="5">
        <v>66729.300000000178</v>
      </c>
      <c r="H248" s="5">
        <v>9009</v>
      </c>
    </row>
    <row r="249" spans="1:8">
      <c r="A249" s="5">
        <v>2021</v>
      </c>
      <c r="B249" s="6">
        <v>44531</v>
      </c>
      <c r="C249" s="5" t="s">
        <v>30</v>
      </c>
      <c r="D249" s="3" t="str" cm="1">
        <f t="array" ref="D249">_xlfn.IFS(
 ISNUMBER(SEARCH("WHISK",C249)),"Whiskey",
 ISNUMBER(SEARCH("BOURBON",C249)),"Whiskey",
 ISNUMBER(SEARCH("SCOTCH",C249)),"Whiskey",
 ISNUMBER(SEARCH("RYE",C249)),"Whiskey",
 ISNUMBER(SEARCH("VODKA",C249)),"Vodka",
 ISNUMBER(SEARCH("TEQUILA",C249)),"Tequila/Mezcal",
 ISNUMBER(SEARCH("MEZCAL",C249)),"Tequila/Mezcal",
 ISNUMBER(SEARCH("RUM",C249)),"Rum",
 ISNUMBER(SEARCH("BRAND",C249)),"Brandy",
 ISNUMBER(SEARCH("COGNAC",C249)),"Brandy",
 ISNUMBER(SEARCH("LIQUEUR",C249)),"Liqueurs",
 ISNUMBER(SEARCH("CORDIAL",C249)),"Liqueurs",
 ISNUMBER(SEARCH("SCHNAPP",C249)),"Liqueurs",
 ISNUMBER(SEARCH("GIN",C249)),"Gin",
 TRUE,"Other")</f>
        <v>Vodka</v>
      </c>
      <c r="E249" s="5">
        <v>32633</v>
      </c>
      <c r="F249" s="5">
        <v>522421.06999999983</v>
      </c>
      <c r="G249" s="5">
        <v>24815.679999999938</v>
      </c>
      <c r="H249" s="5">
        <v>3751</v>
      </c>
    </row>
    <row r="250" spans="1:8">
      <c r="A250" s="5">
        <v>2021</v>
      </c>
      <c r="B250" s="6">
        <v>44531</v>
      </c>
      <c r="C250" s="5" t="s">
        <v>48</v>
      </c>
      <c r="D250" s="3" t="str" cm="1">
        <f t="array" ref="D250">_xlfn.IFS(
 ISNUMBER(SEARCH("WHISK",C250)),"Whiskey",
 ISNUMBER(SEARCH("BOURBON",C250)),"Whiskey",
 ISNUMBER(SEARCH("SCOTCH",C250)),"Whiskey",
 ISNUMBER(SEARCH("RYE",C250)),"Whiskey",
 ISNUMBER(SEARCH("VODKA",C250)),"Vodka",
 ISNUMBER(SEARCH("TEQUILA",C250)),"Tequila/Mezcal",
 ISNUMBER(SEARCH("MEZCAL",C250)),"Tequila/Mezcal",
 ISNUMBER(SEARCH("RUM",C250)),"Rum",
 ISNUMBER(SEARCH("BRAND",C250)),"Brandy",
 ISNUMBER(SEARCH("COGNAC",C250)),"Brandy",
 ISNUMBER(SEARCH("LIQUEUR",C250)),"Liqueurs",
 ISNUMBER(SEARCH("CORDIAL",C250)),"Liqueurs",
 ISNUMBER(SEARCH("SCHNAPP",C250)),"Liqueurs",
 ISNUMBER(SEARCH("GIN",C250)),"Gin",
 TRUE,"Other")</f>
        <v>Whiskey</v>
      </c>
      <c r="E250" s="5">
        <v>367020</v>
      </c>
      <c r="F250" s="5">
        <v>2260483.8799999659</v>
      </c>
      <c r="G250" s="5">
        <v>105619.06000000463</v>
      </c>
      <c r="H250" s="5">
        <v>13215</v>
      </c>
    </row>
    <row r="251" spans="1:8">
      <c r="A251" s="5">
        <v>2021</v>
      </c>
      <c r="B251" s="6">
        <v>44531</v>
      </c>
      <c r="C251" s="5" t="s">
        <v>10</v>
      </c>
      <c r="D251" s="3" t="str" cm="1">
        <f t="array" ref="D251">_xlfn.IFS(
 ISNUMBER(SEARCH("WHISK",C251)),"Whiskey",
 ISNUMBER(SEARCH("BOURBON",C251)),"Whiskey",
 ISNUMBER(SEARCH("SCOTCH",C251)),"Whiskey",
 ISNUMBER(SEARCH("RYE",C251)),"Whiskey",
 ISNUMBER(SEARCH("VODKA",C251)),"Vodka",
 ISNUMBER(SEARCH("TEQUILA",C251)),"Tequila/Mezcal",
 ISNUMBER(SEARCH("MEZCAL",C251)),"Tequila/Mezcal",
 ISNUMBER(SEARCH("RUM",C251)),"Rum",
 ISNUMBER(SEARCH("BRAND",C251)),"Brandy",
 ISNUMBER(SEARCH("COGNAC",C251)),"Brandy",
 ISNUMBER(SEARCH("LIQUEUR",C251)),"Liqueurs",
 ISNUMBER(SEARCH("CORDIAL",C251)),"Liqueurs",
 ISNUMBER(SEARCH("SCHNAPP",C251)),"Liqueurs",
 ISNUMBER(SEARCH("GIN",C251)),"Gin",
 TRUE,"Other")</f>
        <v>Other</v>
      </c>
      <c r="E251" s="5">
        <v>8624</v>
      </c>
      <c r="F251" s="5">
        <v>163360.86999999869</v>
      </c>
      <c r="G251" s="5">
        <v>6365.7000000000025</v>
      </c>
      <c r="H251" s="5">
        <v>1231</v>
      </c>
    </row>
    <row r="252" spans="1:8">
      <c r="A252" s="5">
        <v>2021</v>
      </c>
      <c r="B252" s="6">
        <v>44531</v>
      </c>
      <c r="C252" s="5" t="s">
        <v>13</v>
      </c>
      <c r="D252" s="3" t="str" cm="1">
        <f t="array" ref="D252">_xlfn.IFS(
 ISNUMBER(SEARCH("WHISK",C252)),"Whiskey",
 ISNUMBER(SEARCH("BOURBON",C252)),"Whiskey",
 ISNUMBER(SEARCH("SCOTCH",C252)),"Whiskey",
 ISNUMBER(SEARCH("RYE",C252)),"Whiskey",
 ISNUMBER(SEARCH("VODKA",C252)),"Vodka",
 ISNUMBER(SEARCH("TEQUILA",C252)),"Tequila/Mezcal",
 ISNUMBER(SEARCH("MEZCAL",C252)),"Tequila/Mezcal",
 ISNUMBER(SEARCH("RUM",C252)),"Rum",
 ISNUMBER(SEARCH("BRAND",C252)),"Brandy",
 ISNUMBER(SEARCH("COGNAC",C252)),"Brandy",
 ISNUMBER(SEARCH("LIQUEUR",C252)),"Liqueurs",
 ISNUMBER(SEARCH("CORDIAL",C252)),"Liqueurs",
 ISNUMBER(SEARCH("SCHNAPP",C252)),"Liqueurs",
 ISNUMBER(SEARCH("GIN",C252)),"Gin",
 TRUE,"Other")</f>
        <v>Liqueurs</v>
      </c>
      <c r="E252" s="5">
        <v>71411</v>
      </c>
      <c r="F252" s="5">
        <v>559075.24999999022</v>
      </c>
      <c r="G252" s="5">
        <v>44834.449999999924</v>
      </c>
      <c r="H252" s="5">
        <v>8157</v>
      </c>
    </row>
    <row r="253" spans="1:8">
      <c r="A253" s="5">
        <v>2021</v>
      </c>
      <c r="B253" s="6">
        <v>44531</v>
      </c>
      <c r="C253" s="5" t="s">
        <v>19</v>
      </c>
      <c r="D253" s="3" t="str" cm="1">
        <f t="array" ref="D253">_xlfn.IFS(
 ISNUMBER(SEARCH("WHISK",C253)),"Whiskey",
 ISNUMBER(SEARCH("BOURBON",C253)),"Whiskey",
 ISNUMBER(SEARCH("SCOTCH",C253)),"Whiskey",
 ISNUMBER(SEARCH("RYE",C253)),"Whiskey",
 ISNUMBER(SEARCH("VODKA",C253)),"Vodka",
 ISNUMBER(SEARCH("TEQUILA",C253)),"Tequila/Mezcal",
 ISNUMBER(SEARCH("MEZCAL",C253)),"Tequila/Mezcal",
 ISNUMBER(SEARCH("RUM",C253)),"Rum",
 ISNUMBER(SEARCH("BRAND",C253)),"Brandy",
 ISNUMBER(SEARCH("COGNAC",C253)),"Brandy",
 ISNUMBER(SEARCH("LIQUEUR",C253)),"Liqueurs",
 ISNUMBER(SEARCH("CORDIAL",C253)),"Liqueurs",
 ISNUMBER(SEARCH("SCHNAPP",C253)),"Liqueurs",
 ISNUMBER(SEARCH("GIN",C253)),"Gin",
 TRUE,"Other")</f>
        <v>Other</v>
      </c>
      <c r="E253" s="5">
        <v>67180</v>
      </c>
      <c r="F253" s="5">
        <v>782869.02000003634</v>
      </c>
      <c r="G253" s="5">
        <v>91819.580000000045</v>
      </c>
      <c r="H253" s="5">
        <v>7262</v>
      </c>
    </row>
    <row r="254" spans="1:8">
      <c r="A254" s="5">
        <v>2021</v>
      </c>
      <c r="B254" s="6">
        <v>44531</v>
      </c>
      <c r="C254" s="5" t="s">
        <v>24</v>
      </c>
      <c r="D254" s="3" t="str" cm="1">
        <f t="array" ref="D254">_xlfn.IFS(
 ISNUMBER(SEARCH("WHISK",C254)),"Whiskey",
 ISNUMBER(SEARCH("BOURBON",C254)),"Whiskey",
 ISNUMBER(SEARCH("SCOTCH",C254)),"Whiskey",
 ISNUMBER(SEARCH("RYE",C254)),"Whiskey",
 ISNUMBER(SEARCH("VODKA",C254)),"Vodka",
 ISNUMBER(SEARCH("TEQUILA",C254)),"Tequila/Mezcal",
 ISNUMBER(SEARCH("MEZCAL",C254)),"Tequila/Mezcal",
 ISNUMBER(SEARCH("RUM",C254)),"Rum",
 ISNUMBER(SEARCH("BRAND",C254)),"Brandy",
 ISNUMBER(SEARCH("COGNAC",C254)),"Brandy",
 ISNUMBER(SEARCH("LIQUEUR",C254)),"Liqueurs",
 ISNUMBER(SEARCH("CORDIAL",C254)),"Liqueurs",
 ISNUMBER(SEARCH("SCHNAPP",C254)),"Liqueurs",
 ISNUMBER(SEARCH("GIN",C254)),"Gin",
 TRUE,"Other")</f>
        <v>Rum</v>
      </c>
      <c r="E254" s="5">
        <v>51212</v>
      </c>
      <c r="F254" s="5">
        <v>704929.54999999783</v>
      </c>
      <c r="G254" s="5">
        <v>45218.789999999957</v>
      </c>
      <c r="H254" s="5">
        <v>5672</v>
      </c>
    </row>
    <row r="255" spans="1:8">
      <c r="A255" s="5">
        <v>2021</v>
      </c>
      <c r="B255" s="6">
        <v>44531</v>
      </c>
      <c r="C255" s="5" t="s">
        <v>60</v>
      </c>
      <c r="D255" s="3" t="str" cm="1">
        <f t="array" ref="D255">_xlfn.IFS(
 ISNUMBER(SEARCH("WHISK",C255)),"Whiskey",
 ISNUMBER(SEARCH("BOURBON",C255)),"Whiskey",
 ISNUMBER(SEARCH("SCOTCH",C255)),"Whiskey",
 ISNUMBER(SEARCH("RYE",C255)),"Whiskey",
 ISNUMBER(SEARCH("VODKA",C255)),"Vodka",
 ISNUMBER(SEARCH("TEQUILA",C255)),"Tequila/Mezcal",
 ISNUMBER(SEARCH("MEZCAL",C255)),"Tequila/Mezcal",
 ISNUMBER(SEARCH("RUM",C255)),"Rum",
 ISNUMBER(SEARCH("BRAND",C255)),"Brandy",
 ISNUMBER(SEARCH("COGNAC",C255)),"Brandy",
 ISNUMBER(SEARCH("LIQUEUR",C255)),"Liqueurs",
 ISNUMBER(SEARCH("CORDIAL",C255)),"Liqueurs",
 ISNUMBER(SEARCH("SCHNAPP",C255)),"Liqueurs",
 ISNUMBER(SEARCH("GIN",C255)),"Gin",
 TRUE,"Other")</f>
        <v>Liqueurs</v>
      </c>
      <c r="E255" s="5">
        <v>52197</v>
      </c>
      <c r="F255" s="5">
        <v>1100138.9199999983</v>
      </c>
      <c r="G255" s="5">
        <v>36223.949999999895</v>
      </c>
      <c r="H255" s="5">
        <v>6150</v>
      </c>
    </row>
    <row r="256" spans="1:8">
      <c r="A256" s="5">
        <v>2021</v>
      </c>
      <c r="B256" s="6">
        <v>44531</v>
      </c>
      <c r="C256" s="5" t="s">
        <v>29</v>
      </c>
      <c r="D256" s="3" t="str" cm="1">
        <f t="array" ref="D256">_xlfn.IFS(
 ISNUMBER(SEARCH("WHISK",C256)),"Whiskey",
 ISNUMBER(SEARCH("BOURBON",C256)),"Whiskey",
 ISNUMBER(SEARCH("SCOTCH",C256)),"Whiskey",
 ISNUMBER(SEARCH("RYE",C256)),"Whiskey",
 ISNUMBER(SEARCH("VODKA",C256)),"Vodka",
 ISNUMBER(SEARCH("TEQUILA",C256)),"Tequila/Mezcal",
 ISNUMBER(SEARCH("MEZCAL",C256)),"Tequila/Mezcal",
 ISNUMBER(SEARCH("RUM",C256)),"Rum",
 ISNUMBER(SEARCH("BRAND",C256)),"Brandy",
 ISNUMBER(SEARCH("COGNAC",C256)),"Brandy",
 ISNUMBER(SEARCH("LIQUEUR",C256)),"Liqueurs",
 ISNUMBER(SEARCH("CORDIAL",C256)),"Liqueurs",
 ISNUMBER(SEARCH("SCHNAPP",C256)),"Liqueurs",
 ISNUMBER(SEARCH("GIN",C256)),"Gin",
 TRUE,"Other")</f>
        <v>Gin</v>
      </c>
      <c r="E256" s="5">
        <v>19881</v>
      </c>
      <c r="F256" s="5">
        <v>482893.70999999996</v>
      </c>
      <c r="G256" s="5">
        <v>18488.160000000007</v>
      </c>
      <c r="H256" s="5">
        <v>2650</v>
      </c>
    </row>
    <row r="257" spans="1:8">
      <c r="A257" s="5">
        <v>2021</v>
      </c>
      <c r="B257" s="6">
        <v>44531</v>
      </c>
      <c r="C257" s="5" t="s">
        <v>59</v>
      </c>
      <c r="D257" s="3" t="str" cm="1">
        <f t="array" ref="D257">_xlfn.IFS(
 ISNUMBER(SEARCH("WHISK",C257)),"Whiskey",
 ISNUMBER(SEARCH("BOURBON",C257)),"Whiskey",
 ISNUMBER(SEARCH("SCOTCH",C257)),"Whiskey",
 ISNUMBER(SEARCH("RYE",C257)),"Whiskey",
 ISNUMBER(SEARCH("VODKA",C257)),"Vodka",
 ISNUMBER(SEARCH("TEQUILA",C257)),"Tequila/Mezcal",
 ISNUMBER(SEARCH("MEZCAL",C257)),"Tequila/Mezcal",
 ISNUMBER(SEARCH("RUM",C257)),"Rum",
 ISNUMBER(SEARCH("BRAND",C257)),"Brandy",
 ISNUMBER(SEARCH("COGNAC",C257)),"Brandy",
 ISNUMBER(SEARCH("LIQUEUR",C257)),"Liqueurs",
 ISNUMBER(SEARCH("CORDIAL",C257)),"Liqueurs",
 ISNUMBER(SEARCH("SCHNAPP",C257)),"Liqueurs",
 ISNUMBER(SEARCH("GIN",C257)),"Gin",
 TRUE,"Other")</f>
        <v>Liqueurs</v>
      </c>
      <c r="E257" s="5">
        <v>50657</v>
      </c>
      <c r="F257" s="5">
        <v>448773.31000001018</v>
      </c>
      <c r="G257" s="5">
        <v>28014.629999999193</v>
      </c>
      <c r="H257" s="5">
        <v>6948</v>
      </c>
    </row>
    <row r="258" spans="1:8">
      <c r="A258" s="5">
        <v>2021</v>
      </c>
      <c r="B258" s="6">
        <v>44531</v>
      </c>
      <c r="C258" s="5" t="s">
        <v>11</v>
      </c>
      <c r="D258" s="3" t="str" cm="1">
        <f t="array" ref="D258">_xlfn.IFS(
 ISNUMBER(SEARCH("WHISK",C258)),"Whiskey",
 ISNUMBER(SEARCH("BOURBON",C258)),"Whiskey",
 ISNUMBER(SEARCH("SCOTCH",C258)),"Whiskey",
 ISNUMBER(SEARCH("RYE",C258)),"Whiskey",
 ISNUMBER(SEARCH("VODKA",C258)),"Vodka",
 ISNUMBER(SEARCH("TEQUILA",C258)),"Tequila/Mezcal",
 ISNUMBER(SEARCH("MEZCAL",C258)),"Tequila/Mezcal",
 ISNUMBER(SEARCH("RUM",C258)),"Rum",
 ISNUMBER(SEARCH("BRAND",C258)),"Brandy",
 ISNUMBER(SEARCH("COGNAC",C258)),"Brandy",
 ISNUMBER(SEARCH("LIQUEUR",C258)),"Liqueurs",
 ISNUMBER(SEARCH("CORDIAL",C258)),"Liqueurs",
 ISNUMBER(SEARCH("SCHNAPP",C258)),"Liqueurs",
 ISNUMBER(SEARCH("GIN",C258)),"Gin",
 TRUE,"Other")</f>
        <v>Gin</v>
      </c>
      <c r="E258" s="5">
        <v>35819</v>
      </c>
      <c r="F258" s="5">
        <v>347724.05000000447</v>
      </c>
      <c r="G258" s="5">
        <v>32515.839999999822</v>
      </c>
      <c r="H258" s="5">
        <v>3403</v>
      </c>
    </row>
    <row r="259" spans="1:8">
      <c r="A259" s="5">
        <v>2021</v>
      </c>
      <c r="B259" s="6">
        <v>44531</v>
      </c>
      <c r="C259" s="5" t="s">
        <v>17</v>
      </c>
      <c r="D259" s="3" t="str" cm="1">
        <f t="array" ref="D259">_xlfn.IFS(
 ISNUMBER(SEARCH("WHISK",C259)),"Whiskey",
 ISNUMBER(SEARCH("BOURBON",C259)),"Whiskey",
 ISNUMBER(SEARCH("SCOTCH",C259)),"Whiskey",
 ISNUMBER(SEARCH("RYE",C259)),"Whiskey",
 ISNUMBER(SEARCH("VODKA",C259)),"Vodka",
 ISNUMBER(SEARCH("TEQUILA",C259)),"Tequila/Mezcal",
 ISNUMBER(SEARCH("MEZCAL",C259)),"Tequila/Mezcal",
 ISNUMBER(SEARCH("RUM",C259)),"Rum",
 ISNUMBER(SEARCH("BRAND",C259)),"Brandy",
 ISNUMBER(SEARCH("COGNAC",C259)),"Brandy",
 ISNUMBER(SEARCH("LIQUEUR",C259)),"Liqueurs",
 ISNUMBER(SEARCH("CORDIAL",C259)),"Liqueurs",
 ISNUMBER(SEARCH("SCHNAPP",C259)),"Liqueurs",
 ISNUMBER(SEARCH("GIN",C259)),"Gin",
 TRUE,"Other")</f>
        <v>Whiskey</v>
      </c>
      <c r="E259" s="5">
        <v>2877</v>
      </c>
      <c r="F259" s="5">
        <v>77483.800000000032</v>
      </c>
      <c r="G259" s="5">
        <v>2449.75</v>
      </c>
      <c r="H259" s="5">
        <v>577</v>
      </c>
    </row>
    <row r="260" spans="1:8">
      <c r="A260" s="5">
        <v>2021</v>
      </c>
      <c r="B260" s="6">
        <v>44531</v>
      </c>
      <c r="C260" s="5" t="s">
        <v>21</v>
      </c>
      <c r="D260" s="3" t="str" cm="1">
        <f t="array" ref="D260">_xlfn.IFS(
 ISNUMBER(SEARCH("WHISK",C260)),"Whiskey",
 ISNUMBER(SEARCH("BOURBON",C260)),"Whiskey",
 ISNUMBER(SEARCH("SCOTCH",C260)),"Whiskey",
 ISNUMBER(SEARCH("RYE",C260)),"Whiskey",
 ISNUMBER(SEARCH("VODKA",C260)),"Vodka",
 ISNUMBER(SEARCH("TEQUILA",C260)),"Tequila/Mezcal",
 ISNUMBER(SEARCH("MEZCAL",C260)),"Tequila/Mezcal",
 ISNUMBER(SEARCH("RUM",C260)),"Rum",
 ISNUMBER(SEARCH("BRAND",C260)),"Brandy",
 ISNUMBER(SEARCH("COGNAC",C260)),"Brandy",
 ISNUMBER(SEARCH("LIQUEUR",C260)),"Liqueurs",
 ISNUMBER(SEARCH("CORDIAL",C260)),"Liqueurs",
 ISNUMBER(SEARCH("SCHNAPP",C260)),"Liqueurs",
 ISNUMBER(SEARCH("GIN",C260)),"Gin",
 TRUE,"Other")</f>
        <v>Whiskey</v>
      </c>
      <c r="E260" s="5">
        <v>1847</v>
      </c>
      <c r="F260" s="5">
        <v>57145.76999999999</v>
      </c>
      <c r="G260" s="5">
        <v>1383.1499999999999</v>
      </c>
      <c r="H260" s="5">
        <v>213</v>
      </c>
    </row>
    <row r="261" spans="1:8">
      <c r="A261" s="5">
        <v>2021</v>
      </c>
      <c r="B261" s="6">
        <v>44531</v>
      </c>
      <c r="C261" s="5" t="s">
        <v>25</v>
      </c>
      <c r="D261" s="3" t="str" cm="1">
        <f t="array" ref="D261">_xlfn.IFS(
 ISNUMBER(SEARCH("WHISK",C261)),"Whiskey",
 ISNUMBER(SEARCH("BOURBON",C261)),"Whiskey",
 ISNUMBER(SEARCH("SCOTCH",C261)),"Whiskey",
 ISNUMBER(SEARCH("RYE",C261)),"Whiskey",
 ISNUMBER(SEARCH("VODKA",C261)),"Vodka",
 ISNUMBER(SEARCH("TEQUILA",C261)),"Tequila/Mezcal",
 ISNUMBER(SEARCH("MEZCAL",C261)),"Tequila/Mezcal",
 ISNUMBER(SEARCH("RUM",C261)),"Rum",
 ISNUMBER(SEARCH("BRAND",C261)),"Brandy",
 ISNUMBER(SEARCH("COGNAC",C261)),"Brandy",
 ISNUMBER(SEARCH("LIQUEUR",C261)),"Liqueurs",
 ISNUMBER(SEARCH("CORDIAL",C261)),"Liqueurs",
 ISNUMBER(SEARCH("SCHNAPP",C261)),"Liqueurs",
 ISNUMBER(SEARCH("GIN",C261)),"Gin",
 TRUE,"Other")</f>
        <v>Rum</v>
      </c>
      <c r="E261" s="5">
        <v>9079</v>
      </c>
      <c r="F261" s="5">
        <v>120940.27999999952</v>
      </c>
      <c r="G261" s="5">
        <v>10256.350000000006</v>
      </c>
      <c r="H261" s="5">
        <v>1309</v>
      </c>
    </row>
    <row r="262" spans="1:8">
      <c r="A262" s="5">
        <v>2021</v>
      </c>
      <c r="B262" s="6">
        <v>44531</v>
      </c>
      <c r="C262" s="5" t="s">
        <v>28</v>
      </c>
      <c r="D262" s="3" t="str" cm="1">
        <f t="array" ref="D262">_xlfn.IFS(
 ISNUMBER(SEARCH("WHISK",C262)),"Whiskey",
 ISNUMBER(SEARCH("BOURBON",C262)),"Whiskey",
 ISNUMBER(SEARCH("SCOTCH",C262)),"Whiskey",
 ISNUMBER(SEARCH("RYE",C262)),"Whiskey",
 ISNUMBER(SEARCH("VODKA",C262)),"Vodka",
 ISNUMBER(SEARCH("TEQUILA",C262)),"Tequila/Mezcal",
 ISNUMBER(SEARCH("MEZCAL",C262)),"Tequila/Mezcal",
 ISNUMBER(SEARCH("RUM",C262)),"Rum",
 ISNUMBER(SEARCH("BRAND",C262)),"Brandy",
 ISNUMBER(SEARCH("COGNAC",C262)),"Brandy",
 ISNUMBER(SEARCH("LIQUEUR",C262)),"Liqueurs",
 ISNUMBER(SEARCH("CORDIAL",C262)),"Liqueurs",
 ISNUMBER(SEARCH("SCHNAPP",C262)),"Liqueurs",
 ISNUMBER(SEARCH("GIN",C262)),"Gin",
 TRUE,"Other")</f>
        <v>Other</v>
      </c>
      <c r="E262" s="5">
        <v>18916</v>
      </c>
      <c r="F262" s="5">
        <v>157131.24000000011</v>
      </c>
      <c r="G262" s="5">
        <v>18249.32</v>
      </c>
      <c r="H262" s="5">
        <v>384</v>
      </c>
    </row>
    <row r="263" spans="1:8">
      <c r="A263" s="5">
        <v>2021</v>
      </c>
      <c r="B263" s="6">
        <v>44531</v>
      </c>
      <c r="C263" s="5" t="s">
        <v>33</v>
      </c>
      <c r="D263" s="3" t="str" cm="1">
        <f t="array" ref="D263">_xlfn.IFS(
 ISNUMBER(SEARCH("WHISK",C263)),"Whiskey",
 ISNUMBER(SEARCH("BOURBON",C263)),"Whiskey",
 ISNUMBER(SEARCH("SCOTCH",C263)),"Whiskey",
 ISNUMBER(SEARCH("RYE",C263)),"Whiskey",
 ISNUMBER(SEARCH("VODKA",C263)),"Vodka",
 ISNUMBER(SEARCH("TEQUILA",C263)),"Tequila/Mezcal",
 ISNUMBER(SEARCH("MEZCAL",C263)),"Tequila/Mezcal",
 ISNUMBER(SEARCH("RUM",C263)),"Rum",
 ISNUMBER(SEARCH("BRAND",C263)),"Brandy",
 ISNUMBER(SEARCH("COGNAC",C263)),"Brandy",
 ISNUMBER(SEARCH("LIQUEUR",C263)),"Liqueurs",
 ISNUMBER(SEARCH("CORDIAL",C263)),"Liqueurs",
 ISNUMBER(SEARCH("SCHNAPP",C263)),"Liqueurs",
 ISNUMBER(SEARCH("GIN",C263)),"Gin",
 TRUE,"Other")</f>
        <v>Whiskey</v>
      </c>
      <c r="E263" s="5">
        <v>36428</v>
      </c>
      <c r="F263" s="5">
        <v>918712.82999998587</v>
      </c>
      <c r="G263" s="5">
        <v>30365.629999999892</v>
      </c>
      <c r="H263" s="5">
        <v>3247</v>
      </c>
    </row>
    <row r="264" spans="1:8">
      <c r="A264" s="5">
        <v>2021</v>
      </c>
      <c r="B264" s="6">
        <v>44531</v>
      </c>
      <c r="C264" s="5" t="s">
        <v>35</v>
      </c>
      <c r="D264" s="3" t="str" cm="1">
        <f t="array" ref="D264">_xlfn.IFS(
 ISNUMBER(SEARCH("WHISK",C264)),"Whiskey",
 ISNUMBER(SEARCH("BOURBON",C264)),"Whiskey",
 ISNUMBER(SEARCH("SCOTCH",C264)),"Whiskey",
 ISNUMBER(SEARCH("RYE",C264)),"Whiskey",
 ISNUMBER(SEARCH("VODKA",C264)),"Vodka",
 ISNUMBER(SEARCH("TEQUILA",C264)),"Tequila/Mezcal",
 ISNUMBER(SEARCH("MEZCAL",C264)),"Tequila/Mezcal",
 ISNUMBER(SEARCH("RUM",C264)),"Rum",
 ISNUMBER(SEARCH("BRAND",C264)),"Brandy",
 ISNUMBER(SEARCH("COGNAC",C264)),"Brandy",
 ISNUMBER(SEARCH("LIQUEUR",C264)),"Liqueurs",
 ISNUMBER(SEARCH("CORDIAL",C264)),"Liqueurs",
 ISNUMBER(SEARCH("SCHNAPP",C264)),"Liqueurs",
 ISNUMBER(SEARCH("GIN",C264)),"Gin",
 TRUE,"Other")</f>
        <v>Tequila/Mezcal</v>
      </c>
      <c r="E264" s="5">
        <v>76089</v>
      </c>
      <c r="F264" s="5">
        <v>985238.68999996711</v>
      </c>
      <c r="G264" s="5">
        <v>54940.330000000235</v>
      </c>
      <c r="H264" s="5">
        <v>5265</v>
      </c>
    </row>
    <row r="265" spans="1:8">
      <c r="A265" s="5">
        <v>2021</v>
      </c>
      <c r="B265" s="6">
        <v>44531</v>
      </c>
      <c r="C265" s="5" t="s">
        <v>37</v>
      </c>
      <c r="D265" s="3" t="str" cm="1">
        <f t="array" ref="D265">_xlfn.IFS(
 ISNUMBER(SEARCH("WHISK",C265)),"Whiskey",
 ISNUMBER(SEARCH("BOURBON",C265)),"Whiskey",
 ISNUMBER(SEARCH("SCOTCH",C265)),"Whiskey",
 ISNUMBER(SEARCH("RYE",C265)),"Whiskey",
 ISNUMBER(SEARCH("VODKA",C265)),"Vodka",
 ISNUMBER(SEARCH("TEQUILA",C265)),"Tequila/Mezcal",
 ISNUMBER(SEARCH("MEZCAL",C265)),"Tequila/Mezcal",
 ISNUMBER(SEARCH("RUM",C265)),"Rum",
 ISNUMBER(SEARCH("BRAND",C265)),"Brandy",
 ISNUMBER(SEARCH("COGNAC",C265)),"Brandy",
 ISNUMBER(SEARCH("LIQUEUR",C265)),"Liqueurs",
 ISNUMBER(SEARCH("CORDIAL",C265)),"Liqueurs",
 ISNUMBER(SEARCH("SCHNAPP",C265)),"Liqueurs",
 ISNUMBER(SEARCH("GIN",C265)),"Gin",
 TRUE,"Other")</f>
        <v>Other</v>
      </c>
      <c r="E265" s="5">
        <v>12332</v>
      </c>
      <c r="F265" s="5">
        <v>199200.40000000017</v>
      </c>
      <c r="G265" s="5">
        <v>7652.9999999999973</v>
      </c>
      <c r="H265" s="5">
        <v>2108</v>
      </c>
    </row>
    <row r="266" spans="1:8">
      <c r="A266" s="5">
        <v>2021</v>
      </c>
      <c r="B266" s="6">
        <v>44531</v>
      </c>
      <c r="C266" s="5" t="s">
        <v>39</v>
      </c>
      <c r="D266" s="3" t="str" cm="1">
        <f t="array" ref="D266">_xlfn.IFS(
 ISNUMBER(SEARCH("WHISK",C266)),"Whiskey",
 ISNUMBER(SEARCH("BOURBON",C266)),"Whiskey",
 ISNUMBER(SEARCH("SCOTCH",C266)),"Whiskey",
 ISNUMBER(SEARCH("RYE",C266)),"Whiskey",
 ISNUMBER(SEARCH("VODKA",C266)),"Vodka",
 ISNUMBER(SEARCH("TEQUILA",C266)),"Tequila/Mezcal",
 ISNUMBER(SEARCH("MEZCAL",C266)),"Tequila/Mezcal",
 ISNUMBER(SEARCH("RUM",C266)),"Rum",
 ISNUMBER(SEARCH("BRAND",C266)),"Brandy",
 ISNUMBER(SEARCH("COGNAC",C266)),"Brandy",
 ISNUMBER(SEARCH("LIQUEUR",C266)),"Liqueurs",
 ISNUMBER(SEARCH("CORDIAL",C266)),"Liqueurs",
 ISNUMBER(SEARCH("SCHNAPP",C266)),"Liqueurs",
 ISNUMBER(SEARCH("GIN",C266)),"Gin",
 TRUE,"Other")</f>
        <v>Whiskey</v>
      </c>
      <c r="E266" s="5">
        <v>4594</v>
      </c>
      <c r="F266" s="5">
        <v>144746.04000000012</v>
      </c>
      <c r="G266" s="5">
        <v>3445.5</v>
      </c>
      <c r="H266" s="5">
        <v>367</v>
      </c>
    </row>
    <row r="267" spans="1:8">
      <c r="A267" s="5">
        <v>2021</v>
      </c>
      <c r="B267" s="6">
        <v>44531</v>
      </c>
      <c r="C267" s="5" t="s">
        <v>40</v>
      </c>
      <c r="D267" s="3" t="str" cm="1">
        <f t="array" ref="D267">_xlfn.IFS(
 ISNUMBER(SEARCH("WHISK",C267)),"Whiskey",
 ISNUMBER(SEARCH("BOURBON",C267)),"Whiskey",
 ISNUMBER(SEARCH("SCOTCH",C267)),"Whiskey",
 ISNUMBER(SEARCH("RYE",C267)),"Whiskey",
 ISNUMBER(SEARCH("VODKA",C267)),"Vodka",
 ISNUMBER(SEARCH("TEQUILA",C267)),"Tequila/Mezcal",
 ISNUMBER(SEARCH("MEZCAL",C267)),"Tequila/Mezcal",
 ISNUMBER(SEARCH("RUM",C267)),"Rum",
 ISNUMBER(SEARCH("BRAND",C267)),"Brandy",
 ISNUMBER(SEARCH("COGNAC",C267)),"Brandy",
 ISNUMBER(SEARCH("LIQUEUR",C267)),"Liqueurs",
 ISNUMBER(SEARCH("CORDIAL",C267)),"Liqueurs",
 ISNUMBER(SEARCH("SCHNAPP",C267)),"Liqueurs",
 ISNUMBER(SEARCH("GIN",C267)),"Gin",
 TRUE,"Other")</f>
        <v>Whiskey</v>
      </c>
      <c r="E267" s="5">
        <v>9764</v>
      </c>
      <c r="F267" s="5">
        <v>437011.76999999949</v>
      </c>
      <c r="G267" s="5">
        <v>7382.6500000000024</v>
      </c>
      <c r="H267" s="5">
        <v>2062</v>
      </c>
    </row>
    <row r="268" spans="1:8">
      <c r="A268" s="5">
        <v>2021</v>
      </c>
      <c r="B268" s="6">
        <v>44531</v>
      </c>
      <c r="C268" s="5" t="s">
        <v>44</v>
      </c>
      <c r="D268" s="3" t="str" cm="1">
        <f t="array" ref="D268">_xlfn.IFS(
 ISNUMBER(SEARCH("WHISK",C268)),"Whiskey",
 ISNUMBER(SEARCH("BOURBON",C268)),"Whiskey",
 ISNUMBER(SEARCH("SCOTCH",C268)),"Whiskey",
 ISNUMBER(SEARCH("RYE",C268)),"Whiskey",
 ISNUMBER(SEARCH("VODKA",C268)),"Vodka",
 ISNUMBER(SEARCH("TEQUILA",C268)),"Tequila/Mezcal",
 ISNUMBER(SEARCH("MEZCAL",C268)),"Tequila/Mezcal",
 ISNUMBER(SEARCH("RUM",C268)),"Rum",
 ISNUMBER(SEARCH("BRAND",C268)),"Brandy",
 ISNUMBER(SEARCH("COGNAC",C268)),"Brandy",
 ISNUMBER(SEARCH("LIQUEUR",C268)),"Liqueurs",
 ISNUMBER(SEARCH("CORDIAL",C268)),"Liqueurs",
 ISNUMBER(SEARCH("SCHNAPP",C268)),"Liqueurs",
 ISNUMBER(SEARCH("GIN",C268)),"Gin",
 TRUE,"Other")</f>
        <v>Whiskey</v>
      </c>
      <c r="E268" s="5">
        <v>18845</v>
      </c>
      <c r="F268" s="5">
        <v>599486.58000000753</v>
      </c>
      <c r="G268" s="5">
        <v>14085.96000000001</v>
      </c>
      <c r="H268" s="5">
        <v>2820</v>
      </c>
    </row>
    <row r="269" spans="1:8">
      <c r="A269" s="5">
        <v>2021</v>
      </c>
      <c r="B269" s="6">
        <v>44531</v>
      </c>
      <c r="C269" s="5" t="s">
        <v>47</v>
      </c>
      <c r="D269" s="3" t="str" cm="1">
        <f t="array" ref="D269">_xlfn.IFS(
 ISNUMBER(SEARCH("WHISK",C269)),"Whiskey",
 ISNUMBER(SEARCH("BOURBON",C269)),"Whiskey",
 ISNUMBER(SEARCH("SCOTCH",C269)),"Whiskey",
 ISNUMBER(SEARCH("RYE",C269)),"Whiskey",
 ISNUMBER(SEARCH("VODKA",C269)),"Vodka",
 ISNUMBER(SEARCH("TEQUILA",C269)),"Tequila/Mezcal",
 ISNUMBER(SEARCH("MEZCAL",C269)),"Tequila/Mezcal",
 ISNUMBER(SEARCH("RUM",C269)),"Rum",
 ISNUMBER(SEARCH("BRAND",C269)),"Brandy",
 ISNUMBER(SEARCH("COGNAC",C269)),"Brandy",
 ISNUMBER(SEARCH("LIQUEUR",C269)),"Liqueurs",
 ISNUMBER(SEARCH("CORDIAL",C269)),"Liqueurs",
 ISNUMBER(SEARCH("SCHNAPP",C269)),"Liqueurs",
 ISNUMBER(SEARCH("GIN",C269)),"Gin",
 TRUE,"Other")</f>
        <v>Other</v>
      </c>
      <c r="E269" s="5">
        <v>15936</v>
      </c>
      <c r="F269" s="5">
        <v>65159.889999999868</v>
      </c>
      <c r="G269" s="5">
        <v>15575</v>
      </c>
      <c r="H269" s="5">
        <v>685</v>
      </c>
    </row>
    <row r="270" spans="1:8">
      <c r="A270" s="5">
        <v>2021</v>
      </c>
      <c r="B270" s="6">
        <v>44531</v>
      </c>
      <c r="C270" s="5" t="s">
        <v>26</v>
      </c>
      <c r="D270" s="3" t="str" cm="1">
        <f t="array" ref="D270">_xlfn.IFS(
 ISNUMBER(SEARCH("WHISK",C270)),"Whiskey",
 ISNUMBER(SEARCH("BOURBON",C270)),"Whiskey",
 ISNUMBER(SEARCH("SCOTCH",C270)),"Whiskey",
 ISNUMBER(SEARCH("RYE",C270)),"Whiskey",
 ISNUMBER(SEARCH("VODKA",C270)),"Vodka",
 ISNUMBER(SEARCH("TEQUILA",C270)),"Tequila/Mezcal",
 ISNUMBER(SEARCH("MEZCAL",C270)),"Tequila/Mezcal",
 ISNUMBER(SEARCH("RUM",C270)),"Rum",
 ISNUMBER(SEARCH("BRAND",C270)),"Brandy",
 ISNUMBER(SEARCH("COGNAC",C270)),"Brandy",
 ISNUMBER(SEARCH("LIQUEUR",C270)),"Liqueurs",
 ISNUMBER(SEARCH("CORDIAL",C270)),"Liqueurs",
 ISNUMBER(SEARCH("SCHNAPP",C270)),"Liqueurs",
 ISNUMBER(SEARCH("GIN",C270)),"Gin",
 TRUE,"Other")</f>
        <v>Brandy</v>
      </c>
      <c r="E270" s="5">
        <v>63559</v>
      </c>
      <c r="F270" s="5">
        <v>1450158.9099999487</v>
      </c>
      <c r="G270" s="5">
        <v>30350.049999999726</v>
      </c>
      <c r="H270" s="5">
        <v>5014</v>
      </c>
    </row>
    <row r="271" spans="1:8">
      <c r="A271" s="5">
        <v>2021</v>
      </c>
      <c r="B271" s="6">
        <v>44531</v>
      </c>
      <c r="C271" s="5" t="s">
        <v>7</v>
      </c>
      <c r="D271" s="3" t="str" cm="1">
        <f t="array" ref="D271">_xlfn.IFS(
 ISNUMBER(SEARCH("WHISK",C271)),"Whiskey",
 ISNUMBER(SEARCH("BOURBON",C271)),"Whiskey",
 ISNUMBER(SEARCH("SCOTCH",C271)),"Whiskey",
 ISNUMBER(SEARCH("RYE",C271)),"Whiskey",
 ISNUMBER(SEARCH("VODKA",C271)),"Vodka",
 ISNUMBER(SEARCH("TEQUILA",C271)),"Tequila/Mezcal",
 ISNUMBER(SEARCH("MEZCAL",C271)),"Tequila/Mezcal",
 ISNUMBER(SEARCH("RUM",C271)),"Rum",
 ISNUMBER(SEARCH("BRAND",C271)),"Brandy",
 ISNUMBER(SEARCH("COGNAC",C271)),"Brandy",
 ISNUMBER(SEARCH("LIQUEUR",C271)),"Liqueurs",
 ISNUMBER(SEARCH("CORDIAL",C271)),"Liqueurs",
 ISNUMBER(SEARCH("SCHNAPP",C271)),"Liqueurs",
 ISNUMBER(SEARCH("GIN",C271)),"Gin",
 TRUE,"Other")</f>
        <v>Rum</v>
      </c>
      <c r="E271" s="5">
        <v>5512</v>
      </c>
      <c r="F271" s="5">
        <v>119661.3900000002</v>
      </c>
      <c r="G271" s="5">
        <v>4461.25</v>
      </c>
      <c r="H271" s="5">
        <v>955</v>
      </c>
    </row>
    <row r="272" spans="1:8">
      <c r="A272" s="5">
        <v>2021</v>
      </c>
      <c r="B272" s="6">
        <v>44531</v>
      </c>
      <c r="C272" s="5" t="s">
        <v>34</v>
      </c>
      <c r="D272" s="3" t="str" cm="1">
        <f t="array" ref="D272">_xlfn.IFS(
 ISNUMBER(SEARCH("WHISK",C272)),"Whiskey",
 ISNUMBER(SEARCH("BOURBON",C272)),"Whiskey",
 ISNUMBER(SEARCH("SCOTCH",C272)),"Whiskey",
 ISNUMBER(SEARCH("RYE",C272)),"Whiskey",
 ISNUMBER(SEARCH("VODKA",C272)),"Vodka",
 ISNUMBER(SEARCH("TEQUILA",C272)),"Tequila/Mezcal",
 ISNUMBER(SEARCH("MEZCAL",C272)),"Tequila/Mezcal",
 ISNUMBER(SEARCH("RUM",C272)),"Rum",
 ISNUMBER(SEARCH("BRAND",C272)),"Brandy",
 ISNUMBER(SEARCH("COGNAC",C272)),"Brandy",
 ISNUMBER(SEARCH("LIQUEUR",C272)),"Liqueurs",
 ISNUMBER(SEARCH("CORDIAL",C272)),"Liqueurs",
 ISNUMBER(SEARCH("SCHNAPP",C272)),"Liqueurs",
 ISNUMBER(SEARCH("GIN",C272)),"Gin",
 TRUE,"Other")</f>
        <v>Tequila/Mezcal</v>
      </c>
      <c r="E272" s="5">
        <v>1108</v>
      </c>
      <c r="F272" s="5">
        <v>35387.939999999973</v>
      </c>
      <c r="G272" s="5">
        <v>831</v>
      </c>
      <c r="H272" s="5">
        <v>225</v>
      </c>
    </row>
    <row r="273" spans="1:8">
      <c r="A273" s="5">
        <v>2021</v>
      </c>
      <c r="B273" s="6">
        <v>44531</v>
      </c>
      <c r="C273" s="5" t="s">
        <v>23</v>
      </c>
      <c r="D273" s="3" t="str" cm="1">
        <f t="array" ref="D273">_xlfn.IFS(
 ISNUMBER(SEARCH("WHISK",C273)),"Whiskey",
 ISNUMBER(SEARCH("BOURBON",C273)),"Whiskey",
 ISNUMBER(SEARCH("SCOTCH",C273)),"Whiskey",
 ISNUMBER(SEARCH("RYE",C273)),"Whiskey",
 ISNUMBER(SEARCH("VODKA",C273)),"Vodka",
 ISNUMBER(SEARCH("TEQUILA",C273)),"Tequila/Mezcal",
 ISNUMBER(SEARCH("MEZCAL",C273)),"Tequila/Mezcal",
 ISNUMBER(SEARCH("RUM",C273)),"Rum",
 ISNUMBER(SEARCH("BRAND",C273)),"Brandy",
 ISNUMBER(SEARCH("COGNAC",C273)),"Brandy",
 ISNUMBER(SEARCH("LIQUEUR",C273)),"Liqueurs",
 ISNUMBER(SEARCH("CORDIAL",C273)),"Liqueurs",
 ISNUMBER(SEARCH("SCHNAPP",C273)),"Liqueurs",
 ISNUMBER(SEARCH("GIN",C273)),"Gin",
 TRUE,"Other")</f>
        <v>Gin</v>
      </c>
      <c r="E273" s="5">
        <v>2031</v>
      </c>
      <c r="F273" s="5">
        <v>42505.68</v>
      </c>
      <c r="G273" s="5">
        <v>1480.0499999999993</v>
      </c>
      <c r="H273" s="5">
        <v>250</v>
      </c>
    </row>
    <row r="274" spans="1:8">
      <c r="A274" s="5">
        <v>2021</v>
      </c>
      <c r="B274" s="6">
        <v>44531</v>
      </c>
      <c r="C274" s="5" t="s">
        <v>14</v>
      </c>
      <c r="D274" s="3" t="str" cm="1">
        <f t="array" ref="D274">_xlfn.IFS(
 ISNUMBER(SEARCH("WHISK",C274)),"Whiskey",
 ISNUMBER(SEARCH("BOURBON",C274)),"Whiskey",
 ISNUMBER(SEARCH("SCOTCH",C274)),"Whiskey",
 ISNUMBER(SEARCH("RYE",C274)),"Whiskey",
 ISNUMBER(SEARCH("VODKA",C274)),"Vodka",
 ISNUMBER(SEARCH("TEQUILA",C274)),"Tequila/Mezcal",
 ISNUMBER(SEARCH("MEZCAL",C274)),"Tequila/Mezcal",
 ISNUMBER(SEARCH("RUM",C274)),"Rum",
 ISNUMBER(SEARCH("BRAND",C274)),"Brandy",
 ISNUMBER(SEARCH("COGNAC",C274)),"Brandy",
 ISNUMBER(SEARCH("LIQUEUR",C274)),"Liqueurs",
 ISNUMBER(SEARCH("CORDIAL",C274)),"Liqueurs",
 ISNUMBER(SEARCH("SCHNAPP",C274)),"Liqueurs",
 ISNUMBER(SEARCH("GIN",C274)),"Gin",
 TRUE,"Other")</f>
        <v>Gin</v>
      </c>
      <c r="E274" s="5">
        <v>457</v>
      </c>
      <c r="F274" s="5">
        <v>3715.4100000000012</v>
      </c>
      <c r="G274" s="5">
        <v>457</v>
      </c>
      <c r="H274" s="5">
        <v>104</v>
      </c>
    </row>
    <row r="275" spans="1:8">
      <c r="A275" s="5">
        <v>2021</v>
      </c>
      <c r="B275" s="6">
        <v>44531</v>
      </c>
      <c r="C275" s="5" t="s">
        <v>51</v>
      </c>
      <c r="D275" s="3" t="str" cm="1">
        <f t="array" ref="D275">_xlfn.IFS(
 ISNUMBER(SEARCH("WHISK",C275)),"Whiskey",
 ISNUMBER(SEARCH("BOURBON",C275)),"Whiskey",
 ISNUMBER(SEARCH("SCOTCH",C275)),"Whiskey",
 ISNUMBER(SEARCH("RYE",C275)),"Whiskey",
 ISNUMBER(SEARCH("VODKA",C275)),"Vodka",
 ISNUMBER(SEARCH("TEQUILA",C275)),"Tequila/Mezcal",
 ISNUMBER(SEARCH("MEZCAL",C275)),"Tequila/Mezcal",
 ISNUMBER(SEARCH("RUM",C275)),"Rum",
 ISNUMBER(SEARCH("BRAND",C275)),"Brandy",
 ISNUMBER(SEARCH("COGNAC",C275)),"Brandy",
 ISNUMBER(SEARCH("LIQUEUR",C275)),"Liqueurs",
 ISNUMBER(SEARCH("CORDIAL",C275)),"Liqueurs",
 ISNUMBER(SEARCH("SCHNAPP",C275)),"Liqueurs",
 ISNUMBER(SEARCH("GIN",C275)),"Gin",
 TRUE,"Other")</f>
        <v>Other</v>
      </c>
      <c r="E275" s="5">
        <v>84</v>
      </c>
      <c r="F275" s="5">
        <v>2940</v>
      </c>
      <c r="G275" s="5">
        <v>63</v>
      </c>
      <c r="H275" s="5">
        <v>22</v>
      </c>
    </row>
    <row r="276" spans="1:8">
      <c r="A276" s="5">
        <v>2021</v>
      </c>
      <c r="B276" s="6">
        <v>44531</v>
      </c>
      <c r="C276" s="5" t="s">
        <v>41</v>
      </c>
      <c r="D276" s="3" t="str" cm="1">
        <f t="array" ref="D276">_xlfn.IFS(
 ISNUMBER(SEARCH("WHISK",C276)),"Whiskey",
 ISNUMBER(SEARCH("BOURBON",C276)),"Whiskey",
 ISNUMBER(SEARCH("SCOTCH",C276)),"Whiskey",
 ISNUMBER(SEARCH("RYE",C276)),"Whiskey",
 ISNUMBER(SEARCH("VODKA",C276)),"Vodka",
 ISNUMBER(SEARCH("TEQUILA",C276)),"Tequila/Mezcal",
 ISNUMBER(SEARCH("MEZCAL",C276)),"Tequila/Mezcal",
 ISNUMBER(SEARCH("RUM",C276)),"Rum",
 ISNUMBER(SEARCH("BRAND",C276)),"Brandy",
 ISNUMBER(SEARCH("COGNAC",C276)),"Brandy",
 ISNUMBER(SEARCH("LIQUEUR",C276)),"Liqueurs",
 ISNUMBER(SEARCH("CORDIAL",C276)),"Liqueurs",
 ISNUMBER(SEARCH("SCHNAPP",C276)),"Liqueurs",
 ISNUMBER(SEARCH("GIN",C276)),"Gin",
 TRUE,"Other")</f>
        <v>Other</v>
      </c>
      <c r="E276" s="5">
        <v>10666</v>
      </c>
      <c r="F276" s="5">
        <v>139512.09999999992</v>
      </c>
      <c r="G276" s="5">
        <v>17052.96</v>
      </c>
      <c r="H276" s="5">
        <v>158</v>
      </c>
    </row>
    <row r="277" spans="1:8">
      <c r="A277" s="5">
        <v>2021</v>
      </c>
      <c r="B277" s="6">
        <v>44531</v>
      </c>
      <c r="C277" s="5" t="s">
        <v>52</v>
      </c>
      <c r="D277" s="3" t="str" cm="1">
        <f t="array" ref="D277">_xlfn.IFS(
 ISNUMBER(SEARCH("WHISK",C277)),"Whiskey",
 ISNUMBER(SEARCH("BOURBON",C277)),"Whiskey",
 ISNUMBER(SEARCH("SCOTCH",C277)),"Whiskey",
 ISNUMBER(SEARCH("RYE",C277)),"Whiskey",
 ISNUMBER(SEARCH("VODKA",C277)),"Vodka",
 ISNUMBER(SEARCH("TEQUILA",C277)),"Tequila/Mezcal",
 ISNUMBER(SEARCH("MEZCAL",C277)),"Tequila/Mezcal",
 ISNUMBER(SEARCH("RUM",C277)),"Rum",
 ISNUMBER(SEARCH("BRAND",C277)),"Brandy",
 ISNUMBER(SEARCH("COGNAC",C277)),"Brandy",
 ISNUMBER(SEARCH("LIQUEUR",C277)),"Liqueurs",
 ISNUMBER(SEARCH("CORDIAL",C277)),"Liqueurs",
 ISNUMBER(SEARCH("SCHNAPP",C277)),"Liqueurs",
 ISNUMBER(SEARCH("GIN",C277)),"Gin",
 TRUE,"Other")</f>
        <v>Gin</v>
      </c>
      <c r="E277" s="5">
        <v>72</v>
      </c>
      <c r="F277" s="5">
        <v>1593.3600000000001</v>
      </c>
      <c r="G277" s="5">
        <v>54</v>
      </c>
      <c r="H277" s="5">
        <v>2</v>
      </c>
    </row>
    <row r="278" spans="1:8">
      <c r="A278" s="5">
        <v>2021</v>
      </c>
      <c r="B278" s="6">
        <v>44197</v>
      </c>
      <c r="C278" s="5" t="s">
        <v>50</v>
      </c>
      <c r="D278" s="3" t="str" cm="1">
        <f t="array" ref="D278">_xlfn.IFS(
 ISNUMBER(SEARCH("WHISK",C278)),"Whiskey",
 ISNUMBER(SEARCH("BOURBON",C278)),"Whiskey",
 ISNUMBER(SEARCH("SCOTCH",C278)),"Whiskey",
 ISNUMBER(SEARCH("RYE",C278)),"Whiskey",
 ISNUMBER(SEARCH("VODKA",C278)),"Vodka",
 ISNUMBER(SEARCH("TEQUILA",C278)),"Tequila/Mezcal",
 ISNUMBER(SEARCH("MEZCAL",C278)),"Tequila/Mezcal",
 ISNUMBER(SEARCH("RUM",C278)),"Rum",
 ISNUMBER(SEARCH("BRAND",C278)),"Brandy",
 ISNUMBER(SEARCH("COGNAC",C278)),"Brandy",
 ISNUMBER(SEARCH("LIQUEUR",C278)),"Liqueurs",
 ISNUMBER(SEARCH("CORDIAL",C278)),"Liqueurs",
 ISNUMBER(SEARCH("SCHNAPP",C278)),"Liqueurs",
 ISNUMBER(SEARCH("GIN",C278)),"Gin",
 TRUE,"Other")</f>
        <v>Tequila/Mezcal</v>
      </c>
      <c r="E278" s="5">
        <v>46078</v>
      </c>
      <c r="F278" s="5">
        <v>1365404.699999989</v>
      </c>
      <c r="G278" s="5">
        <v>33273.859999999884</v>
      </c>
      <c r="H278" s="5">
        <v>6168</v>
      </c>
    </row>
    <row r="279" spans="1:8">
      <c r="A279" s="5">
        <v>2021</v>
      </c>
      <c r="B279" s="6">
        <v>44197</v>
      </c>
      <c r="C279" s="5" t="s">
        <v>8</v>
      </c>
      <c r="D279" s="3" t="str" cm="1">
        <f t="array" ref="D279">_xlfn.IFS(
 ISNUMBER(SEARCH("WHISK",C279)),"Whiskey",
 ISNUMBER(SEARCH("BOURBON",C279)),"Whiskey",
 ISNUMBER(SEARCH("SCOTCH",C279)),"Whiskey",
 ISNUMBER(SEARCH("RYE",C279)),"Whiskey",
 ISNUMBER(SEARCH("VODKA",C279)),"Vodka",
 ISNUMBER(SEARCH("TEQUILA",C279)),"Tequila/Mezcal",
 ISNUMBER(SEARCH("MEZCAL",C279)),"Tequila/Mezcal",
 ISNUMBER(SEARCH("RUM",C279)),"Rum",
 ISNUMBER(SEARCH("BRAND",C279)),"Brandy",
 ISNUMBER(SEARCH("COGNAC",C279)),"Brandy",
 ISNUMBER(SEARCH("LIQUEUR",C279)),"Liqueurs",
 ISNUMBER(SEARCH("CORDIAL",C279)),"Liqueurs",
 ISNUMBER(SEARCH("SCHNAPP",C279)),"Liqueurs",
 ISNUMBER(SEARCH("GIN",C279)),"Gin",
 TRUE,"Other")</f>
        <v>Brandy</v>
      </c>
      <c r="E279" s="5">
        <v>83123</v>
      </c>
      <c r="F279" s="5">
        <v>530337.6199999986</v>
      </c>
      <c r="G279" s="5">
        <v>41818.270000000011</v>
      </c>
      <c r="H279" s="5">
        <v>6016</v>
      </c>
    </row>
    <row r="280" spans="1:8">
      <c r="A280" s="5">
        <v>2021</v>
      </c>
      <c r="B280" s="6">
        <v>44197</v>
      </c>
      <c r="C280" s="5" t="s">
        <v>59</v>
      </c>
      <c r="D280" s="3" t="str" cm="1">
        <f t="array" ref="D280">_xlfn.IFS(
 ISNUMBER(SEARCH("WHISK",C280)),"Whiskey",
 ISNUMBER(SEARCH("BOURBON",C280)),"Whiskey",
 ISNUMBER(SEARCH("SCOTCH",C280)),"Whiskey",
 ISNUMBER(SEARCH("RYE",C280)),"Whiskey",
 ISNUMBER(SEARCH("VODKA",C280)),"Vodka",
 ISNUMBER(SEARCH("TEQUILA",C280)),"Tequila/Mezcal",
 ISNUMBER(SEARCH("MEZCAL",C280)),"Tequila/Mezcal",
 ISNUMBER(SEARCH("RUM",C280)),"Rum",
 ISNUMBER(SEARCH("BRAND",C280)),"Brandy",
 ISNUMBER(SEARCH("COGNAC",C280)),"Brandy",
 ISNUMBER(SEARCH("LIQUEUR",C280)),"Liqueurs",
 ISNUMBER(SEARCH("CORDIAL",C280)),"Liqueurs",
 ISNUMBER(SEARCH("SCHNAPP",C280)),"Liqueurs",
 ISNUMBER(SEARCH("GIN",C280)),"Gin",
 TRUE,"Other")</f>
        <v>Liqueurs</v>
      </c>
      <c r="E280" s="5">
        <v>37529</v>
      </c>
      <c r="F280" s="5">
        <v>318766.44000000414</v>
      </c>
      <c r="G280" s="5">
        <v>19821.359999999593</v>
      </c>
      <c r="H280" s="5">
        <v>5118</v>
      </c>
    </row>
    <row r="281" spans="1:8">
      <c r="A281" s="5">
        <v>2021</v>
      </c>
      <c r="B281" s="6">
        <v>44197</v>
      </c>
      <c r="C281" s="5" t="s">
        <v>12</v>
      </c>
      <c r="D281" s="3" t="str" cm="1">
        <f t="array" ref="D281">_xlfn.IFS(
 ISNUMBER(SEARCH("WHISK",C281)),"Whiskey",
 ISNUMBER(SEARCH("BOURBON",C281)),"Whiskey",
 ISNUMBER(SEARCH("SCOTCH",C281)),"Whiskey",
 ISNUMBER(SEARCH("RYE",C281)),"Whiskey",
 ISNUMBER(SEARCH("VODKA",C281)),"Vodka",
 ISNUMBER(SEARCH("TEQUILA",C281)),"Tequila/Mezcal",
 ISNUMBER(SEARCH("MEZCAL",C281)),"Tequila/Mezcal",
 ISNUMBER(SEARCH("RUM",C281)),"Rum",
 ISNUMBER(SEARCH("BRAND",C281)),"Brandy",
 ISNUMBER(SEARCH("COGNAC",C281)),"Brandy",
 ISNUMBER(SEARCH("LIQUEUR",C281)),"Liqueurs",
 ISNUMBER(SEARCH("CORDIAL",C281)),"Liqueurs",
 ISNUMBER(SEARCH("SCHNAPP",C281)),"Liqueurs",
 ISNUMBER(SEARCH("GIN",C281)),"Gin",
 TRUE,"Other")</f>
        <v>Vodka</v>
      </c>
      <c r="E281" s="5">
        <v>73388</v>
      </c>
      <c r="F281" s="5">
        <v>784759.62000002526</v>
      </c>
      <c r="G281" s="5">
        <v>54290.690000000039</v>
      </c>
      <c r="H281" s="5">
        <v>8938</v>
      </c>
    </row>
    <row r="282" spans="1:8">
      <c r="A282" s="5">
        <v>2021</v>
      </c>
      <c r="B282" s="6">
        <v>44197</v>
      </c>
      <c r="C282" s="5" t="s">
        <v>13</v>
      </c>
      <c r="D282" s="3" t="str" cm="1">
        <f t="array" ref="D282">_xlfn.IFS(
 ISNUMBER(SEARCH("WHISK",C282)),"Whiskey",
 ISNUMBER(SEARCH("BOURBON",C282)),"Whiskey",
 ISNUMBER(SEARCH("SCOTCH",C282)),"Whiskey",
 ISNUMBER(SEARCH("RYE",C282)),"Whiskey",
 ISNUMBER(SEARCH("VODKA",C282)),"Vodka",
 ISNUMBER(SEARCH("TEQUILA",C282)),"Tequila/Mezcal",
 ISNUMBER(SEARCH("MEZCAL",C282)),"Tequila/Mezcal",
 ISNUMBER(SEARCH("RUM",C282)),"Rum",
 ISNUMBER(SEARCH("BRAND",C282)),"Brandy",
 ISNUMBER(SEARCH("COGNAC",C282)),"Brandy",
 ISNUMBER(SEARCH("LIQUEUR",C282)),"Liqueurs",
 ISNUMBER(SEARCH("CORDIAL",C282)),"Liqueurs",
 ISNUMBER(SEARCH("SCHNAPP",C282)),"Liqueurs",
 ISNUMBER(SEARCH("GIN",C282)),"Gin",
 TRUE,"Other")</f>
        <v>Liqueurs</v>
      </c>
      <c r="E282" s="5">
        <v>59445</v>
      </c>
      <c r="F282" s="5">
        <v>491419.13999999122</v>
      </c>
      <c r="G282" s="5">
        <v>40576.209999999737</v>
      </c>
      <c r="H282" s="5">
        <v>6845</v>
      </c>
    </row>
    <row r="283" spans="1:8">
      <c r="A283" s="5">
        <v>2021</v>
      </c>
      <c r="B283" s="6">
        <v>44197</v>
      </c>
      <c r="C283" s="5" t="s">
        <v>15</v>
      </c>
      <c r="D283" s="3" t="str" cm="1">
        <f t="array" ref="D283">_xlfn.IFS(
 ISNUMBER(SEARCH("WHISK",C283)),"Whiskey",
 ISNUMBER(SEARCH("BOURBON",C283)),"Whiskey",
 ISNUMBER(SEARCH("SCOTCH",C283)),"Whiskey",
 ISNUMBER(SEARCH("RYE",C283)),"Whiskey",
 ISNUMBER(SEARCH("VODKA",C283)),"Vodka",
 ISNUMBER(SEARCH("TEQUILA",C283)),"Tequila/Mezcal",
 ISNUMBER(SEARCH("MEZCAL",C283)),"Tequila/Mezcal",
 ISNUMBER(SEARCH("RUM",C283)),"Rum",
 ISNUMBER(SEARCH("BRAND",C283)),"Brandy",
 ISNUMBER(SEARCH("COGNAC",C283)),"Brandy",
 ISNUMBER(SEARCH("LIQUEUR",C283)),"Liqueurs",
 ISNUMBER(SEARCH("CORDIAL",C283)),"Liqueurs",
 ISNUMBER(SEARCH("SCHNAPP",C283)),"Liqueurs",
 ISNUMBER(SEARCH("GIN",C283)),"Gin",
 TRUE,"Other")</f>
        <v>Vodka</v>
      </c>
      <c r="E283" s="5">
        <v>421088</v>
      </c>
      <c r="F283" s="5">
        <v>3920867.6099999854</v>
      </c>
      <c r="G283" s="5">
        <v>388550.56999998755</v>
      </c>
      <c r="H283" s="5">
        <v>28668</v>
      </c>
    </row>
    <row r="284" spans="1:8">
      <c r="A284" s="5">
        <v>2021</v>
      </c>
      <c r="B284" s="6">
        <v>44197</v>
      </c>
      <c r="C284" s="5" t="s">
        <v>16</v>
      </c>
      <c r="D284" s="3" t="str" cm="1">
        <f t="array" ref="D284">_xlfn.IFS(
 ISNUMBER(SEARCH("WHISK",C284)),"Whiskey",
 ISNUMBER(SEARCH("BOURBON",C284)),"Whiskey",
 ISNUMBER(SEARCH("SCOTCH",C284)),"Whiskey",
 ISNUMBER(SEARCH("RYE",C284)),"Whiskey",
 ISNUMBER(SEARCH("VODKA",C284)),"Vodka",
 ISNUMBER(SEARCH("TEQUILA",C284)),"Tequila/Mezcal",
 ISNUMBER(SEARCH("MEZCAL",C284)),"Tequila/Mezcal",
 ISNUMBER(SEARCH("RUM",C284)),"Rum",
 ISNUMBER(SEARCH("BRAND",C284)),"Brandy",
 ISNUMBER(SEARCH("COGNAC",C284)),"Brandy",
 ISNUMBER(SEARCH("LIQUEUR",C284)),"Liqueurs",
 ISNUMBER(SEARCH("CORDIAL",C284)),"Liqueurs",
 ISNUMBER(SEARCH("SCHNAPP",C284)),"Liqueurs",
 ISNUMBER(SEARCH("GIN",C284)),"Gin",
 TRUE,"Other")</f>
        <v>Whiskey</v>
      </c>
      <c r="E284" s="5">
        <v>79000</v>
      </c>
      <c r="F284" s="5">
        <v>969435.49999999464</v>
      </c>
      <c r="G284" s="5">
        <v>68453.060000000318</v>
      </c>
      <c r="H284" s="5">
        <v>9043</v>
      </c>
    </row>
    <row r="285" spans="1:8">
      <c r="A285" s="5">
        <v>2021</v>
      </c>
      <c r="B285" s="6">
        <v>44197</v>
      </c>
      <c r="C285" s="5" t="s">
        <v>18</v>
      </c>
      <c r="D285" s="3" t="str" cm="1">
        <f t="array" ref="D285">_xlfn.IFS(
 ISNUMBER(SEARCH("WHISK",C285)),"Whiskey",
 ISNUMBER(SEARCH("BOURBON",C285)),"Whiskey",
 ISNUMBER(SEARCH("SCOTCH",C285)),"Whiskey",
 ISNUMBER(SEARCH("RYE",C285)),"Whiskey",
 ISNUMBER(SEARCH("VODKA",C285)),"Vodka",
 ISNUMBER(SEARCH("TEQUILA",C285)),"Tequila/Mezcal",
 ISNUMBER(SEARCH("MEZCAL",C285)),"Tequila/Mezcal",
 ISNUMBER(SEARCH("RUM",C285)),"Rum",
 ISNUMBER(SEARCH("BRAND",C285)),"Brandy",
 ISNUMBER(SEARCH("COGNAC",C285)),"Brandy",
 ISNUMBER(SEARCH("LIQUEUR",C285)),"Liqueurs",
 ISNUMBER(SEARCH("CORDIAL",C285)),"Liqueurs",
 ISNUMBER(SEARCH("SCHNAPP",C285)),"Liqueurs",
 ISNUMBER(SEARCH("GIN",C285)),"Gin",
 TRUE,"Other")</f>
        <v>Whiskey</v>
      </c>
      <c r="E285" s="5">
        <v>227740</v>
      </c>
      <c r="F285" s="5">
        <v>3217363.6600001408</v>
      </c>
      <c r="G285" s="5">
        <v>215325.61999999775</v>
      </c>
      <c r="H285" s="5">
        <v>19529</v>
      </c>
    </row>
    <row r="286" spans="1:8">
      <c r="A286" s="5">
        <v>2021</v>
      </c>
      <c r="B286" s="6">
        <v>44197</v>
      </c>
      <c r="C286" s="5" t="s">
        <v>19</v>
      </c>
      <c r="D286" s="3" t="str" cm="1">
        <f t="array" ref="D286">_xlfn.IFS(
 ISNUMBER(SEARCH("WHISK",C286)),"Whiskey",
 ISNUMBER(SEARCH("BOURBON",C286)),"Whiskey",
 ISNUMBER(SEARCH("SCOTCH",C286)),"Whiskey",
 ISNUMBER(SEARCH("RYE",C286)),"Whiskey",
 ISNUMBER(SEARCH("VODKA",C286)),"Vodka",
 ISNUMBER(SEARCH("TEQUILA",C286)),"Tequila/Mezcal",
 ISNUMBER(SEARCH("MEZCAL",C286)),"Tequila/Mezcal",
 ISNUMBER(SEARCH("RUM",C286)),"Rum",
 ISNUMBER(SEARCH("BRAND",C286)),"Brandy",
 ISNUMBER(SEARCH("COGNAC",C286)),"Brandy",
 ISNUMBER(SEARCH("LIQUEUR",C286)),"Liqueurs",
 ISNUMBER(SEARCH("CORDIAL",C286)),"Liqueurs",
 ISNUMBER(SEARCH("SCHNAPP",C286)),"Liqueurs",
 ISNUMBER(SEARCH("GIN",C286)),"Gin",
 TRUE,"Other")</f>
        <v>Other</v>
      </c>
      <c r="E286" s="5">
        <v>45037</v>
      </c>
      <c r="F286" s="5">
        <v>469308.01999998704</v>
      </c>
      <c r="G286" s="5">
        <v>63748.000000000058</v>
      </c>
      <c r="H286" s="5">
        <v>5881</v>
      </c>
    </row>
    <row r="287" spans="1:8">
      <c r="A287" s="5">
        <v>2021</v>
      </c>
      <c r="B287" s="6">
        <v>44197</v>
      </c>
      <c r="C287" s="5" t="s">
        <v>22</v>
      </c>
      <c r="D287" s="3" t="str" cm="1">
        <f t="array" ref="D287">_xlfn.IFS(
 ISNUMBER(SEARCH("WHISK",C287)),"Whiskey",
 ISNUMBER(SEARCH("BOURBON",C287)),"Whiskey",
 ISNUMBER(SEARCH("SCOTCH",C287)),"Whiskey",
 ISNUMBER(SEARCH("RYE",C287)),"Whiskey",
 ISNUMBER(SEARCH("VODKA",C287)),"Vodka",
 ISNUMBER(SEARCH("TEQUILA",C287)),"Tequila/Mezcal",
 ISNUMBER(SEARCH("MEZCAL",C287)),"Tequila/Mezcal",
 ISNUMBER(SEARCH("RUM",C287)),"Rum",
 ISNUMBER(SEARCH("BRAND",C287)),"Brandy",
 ISNUMBER(SEARCH("COGNAC",C287)),"Brandy",
 ISNUMBER(SEARCH("LIQUEUR",C287)),"Liqueurs",
 ISNUMBER(SEARCH("CORDIAL",C287)),"Liqueurs",
 ISNUMBER(SEARCH("SCHNAPP",C287)),"Liqueurs",
 ISNUMBER(SEARCH("GIN",C287)),"Gin",
 TRUE,"Other")</f>
        <v>Liqueurs</v>
      </c>
      <c r="E287" s="5">
        <v>35351</v>
      </c>
      <c r="F287" s="5">
        <v>707582.30999999563</v>
      </c>
      <c r="G287" s="5">
        <v>31764.789999999728</v>
      </c>
      <c r="H287" s="5">
        <v>4568</v>
      </c>
    </row>
    <row r="288" spans="1:8">
      <c r="A288" s="5">
        <v>2021</v>
      </c>
      <c r="B288" s="6">
        <v>44197</v>
      </c>
      <c r="C288" s="5" t="s">
        <v>60</v>
      </c>
      <c r="D288" s="3" t="str" cm="1">
        <f t="array" ref="D288">_xlfn.IFS(
 ISNUMBER(SEARCH("WHISK",C288)),"Whiskey",
 ISNUMBER(SEARCH("BOURBON",C288)),"Whiskey",
 ISNUMBER(SEARCH("SCOTCH",C288)),"Whiskey",
 ISNUMBER(SEARCH("RYE",C288)),"Whiskey",
 ISNUMBER(SEARCH("VODKA",C288)),"Vodka",
 ISNUMBER(SEARCH("TEQUILA",C288)),"Tequila/Mezcal",
 ISNUMBER(SEARCH("MEZCAL",C288)),"Tequila/Mezcal",
 ISNUMBER(SEARCH("RUM",C288)),"Rum",
 ISNUMBER(SEARCH("BRAND",C288)),"Brandy",
 ISNUMBER(SEARCH("COGNAC",C288)),"Brandy",
 ISNUMBER(SEARCH("LIQUEUR",C288)),"Liqueurs",
 ISNUMBER(SEARCH("CORDIAL",C288)),"Liqueurs",
 ISNUMBER(SEARCH("SCHNAPP",C288)),"Liqueurs",
 ISNUMBER(SEARCH("GIN",C288)),"Gin",
 TRUE,"Other")</f>
        <v>Liqueurs</v>
      </c>
      <c r="E288" s="5">
        <v>35475</v>
      </c>
      <c r="F288" s="5">
        <v>757389.39999999804</v>
      </c>
      <c r="G288" s="5">
        <v>25626.559999999936</v>
      </c>
      <c r="H288" s="5">
        <v>4520</v>
      </c>
    </row>
    <row r="289" spans="1:8">
      <c r="A289" s="5">
        <v>2021</v>
      </c>
      <c r="B289" s="6">
        <v>44197</v>
      </c>
      <c r="C289" s="5" t="s">
        <v>28</v>
      </c>
      <c r="D289" s="3" t="str" cm="1">
        <f t="array" ref="D289">_xlfn.IFS(
 ISNUMBER(SEARCH("WHISK",C289)),"Whiskey",
 ISNUMBER(SEARCH("BOURBON",C289)),"Whiskey",
 ISNUMBER(SEARCH("SCOTCH",C289)),"Whiskey",
 ISNUMBER(SEARCH("RYE",C289)),"Whiskey",
 ISNUMBER(SEARCH("VODKA",C289)),"Vodka",
 ISNUMBER(SEARCH("TEQUILA",C289)),"Tequila/Mezcal",
 ISNUMBER(SEARCH("MEZCAL",C289)),"Tequila/Mezcal",
 ISNUMBER(SEARCH("RUM",C289)),"Rum",
 ISNUMBER(SEARCH("BRAND",C289)),"Brandy",
 ISNUMBER(SEARCH("COGNAC",C289)),"Brandy",
 ISNUMBER(SEARCH("LIQUEUR",C289)),"Liqueurs",
 ISNUMBER(SEARCH("CORDIAL",C289)),"Liqueurs",
 ISNUMBER(SEARCH("SCHNAPP",C289)),"Liqueurs",
 ISNUMBER(SEARCH("GIN",C289)),"Gin",
 TRUE,"Other")</f>
        <v>Other</v>
      </c>
      <c r="E289" s="5">
        <v>18253</v>
      </c>
      <c r="F289" s="5">
        <v>144700.10000000015</v>
      </c>
      <c r="G289" s="5">
        <v>18054.22</v>
      </c>
      <c r="H289" s="5">
        <v>285</v>
      </c>
    </row>
    <row r="290" spans="1:8">
      <c r="A290" s="5">
        <v>2021</v>
      </c>
      <c r="B290" s="6">
        <v>44197</v>
      </c>
      <c r="C290" s="5" t="s">
        <v>32</v>
      </c>
      <c r="D290" s="3" t="str" cm="1">
        <f t="array" ref="D290">_xlfn.IFS(
 ISNUMBER(SEARCH("WHISK",C290)),"Whiskey",
 ISNUMBER(SEARCH("BOURBON",C290)),"Whiskey",
 ISNUMBER(SEARCH("SCOTCH",C290)),"Whiskey",
 ISNUMBER(SEARCH("RYE",C290)),"Whiskey",
 ISNUMBER(SEARCH("VODKA",C290)),"Vodka",
 ISNUMBER(SEARCH("TEQUILA",C290)),"Tequila/Mezcal",
 ISNUMBER(SEARCH("MEZCAL",C290)),"Tequila/Mezcal",
 ISNUMBER(SEARCH("RUM",C290)),"Rum",
 ISNUMBER(SEARCH("BRAND",C290)),"Brandy",
 ISNUMBER(SEARCH("COGNAC",C290)),"Brandy",
 ISNUMBER(SEARCH("LIQUEUR",C290)),"Liqueurs",
 ISNUMBER(SEARCH("CORDIAL",C290)),"Liqueurs",
 ISNUMBER(SEARCH("SCHNAPP",C290)),"Liqueurs",
 ISNUMBER(SEARCH("GIN",C290)),"Gin",
 TRUE,"Other")</f>
        <v>Vodka</v>
      </c>
      <c r="E290" s="5">
        <v>55184</v>
      </c>
      <c r="F290" s="5">
        <v>971283.83999999485</v>
      </c>
      <c r="G290" s="5">
        <v>58511.580000000453</v>
      </c>
      <c r="H290" s="5">
        <v>5825</v>
      </c>
    </row>
    <row r="291" spans="1:8">
      <c r="A291" s="5">
        <v>2021</v>
      </c>
      <c r="B291" s="6">
        <v>44197</v>
      </c>
      <c r="C291" s="5" t="s">
        <v>35</v>
      </c>
      <c r="D291" s="3" t="str" cm="1">
        <f t="array" ref="D291">_xlfn.IFS(
 ISNUMBER(SEARCH("WHISK",C291)),"Whiskey",
 ISNUMBER(SEARCH("BOURBON",C291)),"Whiskey",
 ISNUMBER(SEARCH("SCOTCH",C291)),"Whiskey",
 ISNUMBER(SEARCH("RYE",C291)),"Whiskey",
 ISNUMBER(SEARCH("VODKA",C291)),"Vodka",
 ISNUMBER(SEARCH("TEQUILA",C291)),"Tequila/Mezcal",
 ISNUMBER(SEARCH("MEZCAL",C291)),"Tequila/Mezcal",
 ISNUMBER(SEARCH("RUM",C291)),"Rum",
 ISNUMBER(SEARCH("BRAND",C291)),"Brandy",
 ISNUMBER(SEARCH("COGNAC",C291)),"Brandy",
 ISNUMBER(SEARCH("LIQUEUR",C291)),"Liqueurs",
 ISNUMBER(SEARCH("CORDIAL",C291)),"Liqueurs",
 ISNUMBER(SEARCH("SCHNAPP",C291)),"Liqueurs",
 ISNUMBER(SEARCH("GIN",C291)),"Gin",
 TRUE,"Other")</f>
        <v>Tequila/Mezcal</v>
      </c>
      <c r="E291" s="5">
        <v>50468</v>
      </c>
      <c r="F291" s="5">
        <v>667200.8399999924</v>
      </c>
      <c r="G291" s="5">
        <v>40002.169999999845</v>
      </c>
      <c r="H291" s="5">
        <v>4098</v>
      </c>
    </row>
    <row r="292" spans="1:8">
      <c r="A292" s="5">
        <v>2021</v>
      </c>
      <c r="B292" s="6">
        <v>44197</v>
      </c>
      <c r="C292" s="5" t="s">
        <v>37</v>
      </c>
      <c r="D292" s="3" t="str" cm="1">
        <f t="array" ref="D292">_xlfn.IFS(
 ISNUMBER(SEARCH("WHISK",C292)),"Whiskey",
 ISNUMBER(SEARCH("BOURBON",C292)),"Whiskey",
 ISNUMBER(SEARCH("SCOTCH",C292)),"Whiskey",
 ISNUMBER(SEARCH("RYE",C292)),"Whiskey",
 ISNUMBER(SEARCH("VODKA",C292)),"Vodka",
 ISNUMBER(SEARCH("TEQUILA",C292)),"Tequila/Mezcal",
 ISNUMBER(SEARCH("MEZCAL",C292)),"Tequila/Mezcal",
 ISNUMBER(SEARCH("RUM",C292)),"Rum",
 ISNUMBER(SEARCH("BRAND",C292)),"Brandy",
 ISNUMBER(SEARCH("COGNAC",C292)),"Brandy",
 ISNUMBER(SEARCH("LIQUEUR",C292)),"Liqueurs",
 ISNUMBER(SEARCH("CORDIAL",C292)),"Liqueurs",
 ISNUMBER(SEARCH("SCHNAPP",C292)),"Liqueurs",
 ISNUMBER(SEARCH("GIN",C292)),"Gin",
 TRUE,"Other")</f>
        <v>Other</v>
      </c>
      <c r="E292" s="5">
        <v>6913</v>
      </c>
      <c r="F292" s="5">
        <v>109646.9399999998</v>
      </c>
      <c r="G292" s="5">
        <v>4405.6500000000015</v>
      </c>
      <c r="H292" s="5">
        <v>1107</v>
      </c>
    </row>
    <row r="293" spans="1:8">
      <c r="A293" s="5">
        <v>2021</v>
      </c>
      <c r="B293" s="6">
        <v>44197</v>
      </c>
      <c r="C293" s="5" t="s">
        <v>38</v>
      </c>
      <c r="D293" s="3" t="str" cm="1">
        <f t="array" ref="D293">_xlfn.IFS(
 ISNUMBER(SEARCH("WHISK",C293)),"Whiskey",
 ISNUMBER(SEARCH("BOURBON",C293)),"Whiskey",
 ISNUMBER(SEARCH("SCOTCH",C293)),"Whiskey",
 ISNUMBER(SEARCH("RYE",C293)),"Whiskey",
 ISNUMBER(SEARCH("VODKA",C293)),"Vodka",
 ISNUMBER(SEARCH("TEQUILA",C293)),"Tequila/Mezcal",
 ISNUMBER(SEARCH("MEZCAL",C293)),"Tequila/Mezcal",
 ISNUMBER(SEARCH("RUM",C293)),"Rum",
 ISNUMBER(SEARCH("BRAND",C293)),"Brandy",
 ISNUMBER(SEARCH("COGNAC",C293)),"Brandy",
 ISNUMBER(SEARCH("LIQUEUR",C293)),"Liqueurs",
 ISNUMBER(SEARCH("CORDIAL",C293)),"Liqueurs",
 ISNUMBER(SEARCH("SCHNAPP",C293)),"Liqueurs",
 ISNUMBER(SEARCH("GIN",C293)),"Gin",
 TRUE,"Other")</f>
        <v>Whiskey</v>
      </c>
      <c r="E293" s="5">
        <v>17219</v>
      </c>
      <c r="F293" s="5">
        <v>452044.42000000004</v>
      </c>
      <c r="G293" s="5">
        <v>19198.169999999984</v>
      </c>
      <c r="H293" s="5">
        <v>2966</v>
      </c>
    </row>
    <row r="294" spans="1:8">
      <c r="A294" s="5">
        <v>2021</v>
      </c>
      <c r="B294" s="6">
        <v>44197</v>
      </c>
      <c r="C294" s="5" t="s">
        <v>42</v>
      </c>
      <c r="D294" s="3" t="str" cm="1">
        <f t="array" ref="D294">_xlfn.IFS(
 ISNUMBER(SEARCH("WHISK",C294)),"Whiskey",
 ISNUMBER(SEARCH("BOURBON",C294)),"Whiskey",
 ISNUMBER(SEARCH("SCOTCH",C294)),"Whiskey",
 ISNUMBER(SEARCH("RYE",C294)),"Whiskey",
 ISNUMBER(SEARCH("VODKA",C294)),"Vodka",
 ISNUMBER(SEARCH("TEQUILA",C294)),"Tequila/Mezcal",
 ISNUMBER(SEARCH("MEZCAL",C294)),"Tequila/Mezcal",
 ISNUMBER(SEARCH("RUM",C294)),"Rum",
 ISNUMBER(SEARCH("BRAND",C294)),"Brandy",
 ISNUMBER(SEARCH("COGNAC",C294)),"Brandy",
 ISNUMBER(SEARCH("LIQUEUR",C294)),"Liqueurs",
 ISNUMBER(SEARCH("CORDIAL",C294)),"Liqueurs",
 ISNUMBER(SEARCH("SCHNAPP",C294)),"Liqueurs",
 ISNUMBER(SEARCH("GIN",C294)),"Gin",
 TRUE,"Other")</f>
        <v>Rum</v>
      </c>
      <c r="E294" s="5">
        <v>104168</v>
      </c>
      <c r="F294" s="5">
        <v>1511027.6399999843</v>
      </c>
      <c r="G294" s="5">
        <v>98166.500000000509</v>
      </c>
      <c r="H294" s="5">
        <v>8768</v>
      </c>
    </row>
    <row r="295" spans="1:8">
      <c r="A295" s="5">
        <v>2021</v>
      </c>
      <c r="B295" s="6">
        <v>44197</v>
      </c>
      <c r="C295" s="5" t="s">
        <v>43</v>
      </c>
      <c r="D295" s="3" t="str" cm="1">
        <f t="array" ref="D295">_xlfn.IFS(
 ISNUMBER(SEARCH("WHISK",C295)),"Whiskey",
 ISNUMBER(SEARCH("BOURBON",C295)),"Whiskey",
 ISNUMBER(SEARCH("SCOTCH",C295)),"Whiskey",
 ISNUMBER(SEARCH("RYE",C295)),"Whiskey",
 ISNUMBER(SEARCH("VODKA",C295)),"Vodka",
 ISNUMBER(SEARCH("TEQUILA",C295)),"Tequila/Mezcal",
 ISNUMBER(SEARCH("MEZCAL",C295)),"Tequila/Mezcal",
 ISNUMBER(SEARCH("RUM",C295)),"Rum",
 ISNUMBER(SEARCH("BRAND",C295)),"Brandy",
 ISNUMBER(SEARCH("COGNAC",C295)),"Brandy",
 ISNUMBER(SEARCH("LIQUEUR",C295)),"Liqueurs",
 ISNUMBER(SEARCH("CORDIAL",C295)),"Liqueurs",
 ISNUMBER(SEARCH("SCHNAPP",C295)),"Liqueurs",
 ISNUMBER(SEARCH("GIN",C295)),"Gin",
 TRUE,"Other")</f>
        <v>Whiskey</v>
      </c>
      <c r="E295" s="5">
        <v>114039</v>
      </c>
      <c r="F295" s="5">
        <v>2195457.1599999918</v>
      </c>
      <c r="G295" s="5">
        <v>90607.090000001088</v>
      </c>
      <c r="H295" s="5">
        <v>13699</v>
      </c>
    </row>
    <row r="296" spans="1:8">
      <c r="A296" s="5">
        <v>2021</v>
      </c>
      <c r="B296" s="6">
        <v>44197</v>
      </c>
      <c r="C296" s="5" t="s">
        <v>45</v>
      </c>
      <c r="D296" s="3" t="str" cm="1">
        <f t="array" ref="D296">_xlfn.IFS(
 ISNUMBER(SEARCH("WHISK",C296)),"Whiskey",
 ISNUMBER(SEARCH("BOURBON",C296)),"Whiskey",
 ISNUMBER(SEARCH("SCOTCH",C296)),"Whiskey",
 ISNUMBER(SEARCH("RYE",C296)),"Whiskey",
 ISNUMBER(SEARCH("VODKA",C296)),"Vodka",
 ISNUMBER(SEARCH("TEQUILA",C296)),"Tequila/Mezcal",
 ISNUMBER(SEARCH("MEZCAL",C296)),"Tequila/Mezcal",
 ISNUMBER(SEARCH("RUM",C296)),"Rum",
 ISNUMBER(SEARCH("BRAND",C296)),"Brandy",
 ISNUMBER(SEARCH("COGNAC",C296)),"Brandy",
 ISNUMBER(SEARCH("LIQUEUR",C296)),"Liqueurs",
 ISNUMBER(SEARCH("CORDIAL",C296)),"Liqueurs",
 ISNUMBER(SEARCH("SCHNAPP",C296)),"Liqueurs",
 ISNUMBER(SEARCH("GIN",C296)),"Gin",
 TRUE,"Other")</f>
        <v>Other</v>
      </c>
      <c r="E296" s="5">
        <v>16611</v>
      </c>
      <c r="F296" s="5">
        <v>421904.4000000002</v>
      </c>
      <c r="G296" s="5">
        <v>14815.410000000003</v>
      </c>
      <c r="H296" s="5">
        <v>2338</v>
      </c>
    </row>
    <row r="297" spans="1:8">
      <c r="A297" s="5">
        <v>2021</v>
      </c>
      <c r="B297" s="6">
        <v>44197</v>
      </c>
      <c r="C297" s="5" t="s">
        <v>46</v>
      </c>
      <c r="D297" s="3" t="str" cm="1">
        <f t="array" ref="D297">_xlfn.IFS(
 ISNUMBER(SEARCH("WHISK",C297)),"Whiskey",
 ISNUMBER(SEARCH("BOURBON",C297)),"Whiskey",
 ISNUMBER(SEARCH("SCOTCH",C297)),"Whiskey",
 ISNUMBER(SEARCH("RYE",C297)),"Whiskey",
 ISNUMBER(SEARCH("VODKA",C297)),"Vodka",
 ISNUMBER(SEARCH("TEQUILA",C297)),"Tequila/Mezcal",
 ISNUMBER(SEARCH("MEZCAL",C297)),"Tequila/Mezcal",
 ISNUMBER(SEARCH("RUM",C297)),"Rum",
 ISNUMBER(SEARCH("BRAND",C297)),"Brandy",
 ISNUMBER(SEARCH("COGNAC",C297)),"Brandy",
 ISNUMBER(SEARCH("LIQUEUR",C297)),"Liqueurs",
 ISNUMBER(SEARCH("CORDIAL",C297)),"Liqueurs",
 ISNUMBER(SEARCH("SCHNAPP",C297)),"Liqueurs",
 ISNUMBER(SEARCH("GIN",C297)),"Gin",
 TRUE,"Other")</f>
        <v>Whiskey</v>
      </c>
      <c r="E297" s="5">
        <v>48297</v>
      </c>
      <c r="F297" s="5">
        <v>1002819.9499999774</v>
      </c>
      <c r="G297" s="5">
        <v>33585.359999999542</v>
      </c>
      <c r="H297" s="5">
        <v>5634</v>
      </c>
    </row>
    <row r="298" spans="1:8">
      <c r="A298" s="5">
        <v>2021</v>
      </c>
      <c r="B298" s="6">
        <v>44197</v>
      </c>
      <c r="C298" s="5" t="s">
        <v>48</v>
      </c>
      <c r="D298" s="3" t="str" cm="1">
        <f t="array" ref="D298">_xlfn.IFS(
 ISNUMBER(SEARCH("WHISK",C298)),"Whiskey",
 ISNUMBER(SEARCH("BOURBON",C298)),"Whiskey",
 ISNUMBER(SEARCH("SCOTCH",C298)),"Whiskey",
 ISNUMBER(SEARCH("RYE",C298)),"Whiskey",
 ISNUMBER(SEARCH("VODKA",C298)),"Vodka",
 ISNUMBER(SEARCH("TEQUILA",C298)),"Tequila/Mezcal",
 ISNUMBER(SEARCH("MEZCAL",C298)),"Tequila/Mezcal",
 ISNUMBER(SEARCH("RUM",C298)),"Rum",
 ISNUMBER(SEARCH("BRAND",C298)),"Brandy",
 ISNUMBER(SEARCH("COGNAC",C298)),"Brandy",
 ISNUMBER(SEARCH("LIQUEUR",C298)),"Liqueurs",
 ISNUMBER(SEARCH("CORDIAL",C298)),"Liqueurs",
 ISNUMBER(SEARCH("SCHNAPP",C298)),"Liqueurs",
 ISNUMBER(SEARCH("GIN",C298)),"Gin",
 TRUE,"Other")</f>
        <v>Whiskey</v>
      </c>
      <c r="E298" s="5">
        <v>285478</v>
      </c>
      <c r="F298" s="5">
        <v>1711431.359999995</v>
      </c>
      <c r="G298" s="5">
        <v>83223.600000002261</v>
      </c>
      <c r="H298" s="5">
        <v>10695</v>
      </c>
    </row>
    <row r="299" spans="1:8">
      <c r="A299" s="5">
        <v>2021</v>
      </c>
      <c r="B299" s="6">
        <v>44197</v>
      </c>
      <c r="C299" s="5" t="s">
        <v>49</v>
      </c>
      <c r="D299" s="3" t="str" cm="1">
        <f t="array" ref="D299">_xlfn.IFS(
 ISNUMBER(SEARCH("WHISK",C299)),"Whiskey",
 ISNUMBER(SEARCH("BOURBON",C299)),"Whiskey",
 ISNUMBER(SEARCH("SCOTCH",C299)),"Whiskey",
 ISNUMBER(SEARCH("RYE",C299)),"Whiskey",
 ISNUMBER(SEARCH("VODKA",C299)),"Vodka",
 ISNUMBER(SEARCH("TEQUILA",C299)),"Tequila/Mezcal",
 ISNUMBER(SEARCH("MEZCAL",C299)),"Tequila/Mezcal",
 ISNUMBER(SEARCH("RUM",C299)),"Rum",
 ISNUMBER(SEARCH("BRAND",C299)),"Brandy",
 ISNUMBER(SEARCH("COGNAC",C299)),"Brandy",
 ISNUMBER(SEARCH("LIQUEUR",C299)),"Liqueurs",
 ISNUMBER(SEARCH("CORDIAL",C299)),"Liqueurs",
 ISNUMBER(SEARCH("SCHNAPP",C299)),"Liqueurs",
 ISNUMBER(SEARCH("GIN",C299)),"Gin",
 TRUE,"Other")</f>
        <v>Rum</v>
      </c>
      <c r="E299" s="5">
        <v>39037</v>
      </c>
      <c r="F299" s="5">
        <v>441554.46999999613</v>
      </c>
      <c r="G299" s="5">
        <v>40967.009999999995</v>
      </c>
      <c r="H299" s="5">
        <v>4094</v>
      </c>
    </row>
    <row r="300" spans="1:8">
      <c r="A300" s="5">
        <v>2021</v>
      </c>
      <c r="B300" s="6">
        <v>44197</v>
      </c>
      <c r="C300" s="5" t="s">
        <v>11</v>
      </c>
      <c r="D300" s="3" t="str" cm="1">
        <f t="array" ref="D300">_xlfn.IFS(
 ISNUMBER(SEARCH("WHISK",C300)),"Whiskey",
 ISNUMBER(SEARCH("BOURBON",C300)),"Whiskey",
 ISNUMBER(SEARCH("SCOTCH",C300)),"Whiskey",
 ISNUMBER(SEARCH("RYE",C300)),"Whiskey",
 ISNUMBER(SEARCH("VODKA",C300)),"Vodka",
 ISNUMBER(SEARCH("TEQUILA",C300)),"Tequila/Mezcal",
 ISNUMBER(SEARCH("MEZCAL",C300)),"Tequila/Mezcal",
 ISNUMBER(SEARCH("RUM",C300)),"Rum",
 ISNUMBER(SEARCH("BRAND",C300)),"Brandy",
 ISNUMBER(SEARCH("COGNAC",C300)),"Brandy",
 ISNUMBER(SEARCH("LIQUEUR",C300)),"Liqueurs",
 ISNUMBER(SEARCH("CORDIAL",C300)),"Liqueurs",
 ISNUMBER(SEARCH("SCHNAPP",C300)),"Liqueurs",
 ISNUMBER(SEARCH("GIN",C300)),"Gin",
 TRUE,"Other")</f>
        <v>Gin</v>
      </c>
      <c r="E300" s="5">
        <v>34967</v>
      </c>
      <c r="F300" s="5">
        <v>299168.94000000134</v>
      </c>
      <c r="G300" s="5">
        <v>29230.439999999871</v>
      </c>
      <c r="H300" s="5">
        <v>3190</v>
      </c>
    </row>
    <row r="301" spans="1:8">
      <c r="A301" s="5">
        <v>2021</v>
      </c>
      <c r="B301" s="6">
        <v>44197</v>
      </c>
      <c r="C301" s="5" t="s">
        <v>20</v>
      </c>
      <c r="D301" s="3" t="str" cm="1">
        <f t="array" ref="D301">_xlfn.IFS(
 ISNUMBER(SEARCH("WHISK",C301)),"Whiskey",
 ISNUMBER(SEARCH("BOURBON",C301)),"Whiskey",
 ISNUMBER(SEARCH("SCOTCH",C301)),"Whiskey",
 ISNUMBER(SEARCH("RYE",C301)),"Whiskey",
 ISNUMBER(SEARCH("VODKA",C301)),"Vodka",
 ISNUMBER(SEARCH("TEQUILA",C301)),"Tequila/Mezcal",
 ISNUMBER(SEARCH("MEZCAL",C301)),"Tequila/Mezcal",
 ISNUMBER(SEARCH("RUM",C301)),"Rum",
 ISNUMBER(SEARCH("BRAND",C301)),"Brandy",
 ISNUMBER(SEARCH("COGNAC",C301)),"Brandy",
 ISNUMBER(SEARCH("LIQUEUR",C301)),"Liqueurs",
 ISNUMBER(SEARCH("CORDIAL",C301)),"Liqueurs",
 ISNUMBER(SEARCH("SCHNAPP",C301)),"Liqueurs",
 ISNUMBER(SEARCH("GIN",C301)),"Gin",
 TRUE,"Other")</f>
        <v>Liqueurs</v>
      </c>
      <c r="E301" s="5">
        <v>11153</v>
      </c>
      <c r="F301" s="5">
        <v>212397.40000000192</v>
      </c>
      <c r="G301" s="5">
        <v>9301.1400000000067</v>
      </c>
      <c r="H301" s="5">
        <v>1410</v>
      </c>
    </row>
    <row r="302" spans="1:8">
      <c r="A302" s="5">
        <v>2021</v>
      </c>
      <c r="B302" s="6">
        <v>44197</v>
      </c>
      <c r="C302" s="5" t="s">
        <v>24</v>
      </c>
      <c r="D302" s="3" t="str" cm="1">
        <f t="array" ref="D302">_xlfn.IFS(
 ISNUMBER(SEARCH("WHISK",C302)),"Whiskey",
 ISNUMBER(SEARCH("BOURBON",C302)),"Whiskey",
 ISNUMBER(SEARCH("SCOTCH",C302)),"Whiskey",
 ISNUMBER(SEARCH("RYE",C302)),"Whiskey",
 ISNUMBER(SEARCH("VODKA",C302)),"Vodka",
 ISNUMBER(SEARCH("TEQUILA",C302)),"Tequila/Mezcal",
 ISNUMBER(SEARCH("MEZCAL",C302)),"Tequila/Mezcal",
 ISNUMBER(SEARCH("RUM",C302)),"Rum",
 ISNUMBER(SEARCH("BRAND",C302)),"Brandy",
 ISNUMBER(SEARCH("COGNAC",C302)),"Brandy",
 ISNUMBER(SEARCH("LIQUEUR",C302)),"Liqueurs",
 ISNUMBER(SEARCH("CORDIAL",C302)),"Liqueurs",
 ISNUMBER(SEARCH("SCHNAPP",C302)),"Liqueurs",
 ISNUMBER(SEARCH("GIN",C302)),"Gin",
 TRUE,"Other")</f>
        <v>Rum</v>
      </c>
      <c r="E302" s="5">
        <v>42577</v>
      </c>
      <c r="F302" s="5">
        <v>595655.4000000041</v>
      </c>
      <c r="G302" s="5">
        <v>38609.529999999962</v>
      </c>
      <c r="H302" s="5">
        <v>4572</v>
      </c>
    </row>
    <row r="303" spans="1:8">
      <c r="A303" s="5">
        <v>2021</v>
      </c>
      <c r="B303" s="6">
        <v>44197</v>
      </c>
      <c r="C303" s="5" t="s">
        <v>26</v>
      </c>
      <c r="D303" s="3" t="str" cm="1">
        <f t="array" ref="D303">_xlfn.IFS(
 ISNUMBER(SEARCH("WHISK",C303)),"Whiskey",
 ISNUMBER(SEARCH("BOURBON",C303)),"Whiskey",
 ISNUMBER(SEARCH("SCOTCH",C303)),"Whiskey",
 ISNUMBER(SEARCH("RYE",C303)),"Whiskey",
 ISNUMBER(SEARCH("VODKA",C303)),"Vodka",
 ISNUMBER(SEARCH("TEQUILA",C303)),"Tequila/Mezcal",
 ISNUMBER(SEARCH("MEZCAL",C303)),"Tequila/Mezcal",
 ISNUMBER(SEARCH("RUM",C303)),"Rum",
 ISNUMBER(SEARCH("BRAND",C303)),"Brandy",
 ISNUMBER(SEARCH("COGNAC",C303)),"Brandy",
 ISNUMBER(SEARCH("LIQUEUR",C303)),"Liqueurs",
 ISNUMBER(SEARCH("CORDIAL",C303)),"Liqueurs",
 ISNUMBER(SEARCH("SCHNAPP",C303)),"Liqueurs",
 ISNUMBER(SEARCH("GIN",C303)),"Gin",
 TRUE,"Other")</f>
        <v>Brandy</v>
      </c>
      <c r="E303" s="5">
        <v>56236</v>
      </c>
      <c r="F303" s="5">
        <v>1140798.0499999812</v>
      </c>
      <c r="G303" s="5">
        <v>23544.179999999938</v>
      </c>
      <c r="H303" s="5">
        <v>2675</v>
      </c>
    </row>
    <row r="304" spans="1:8">
      <c r="A304" s="5">
        <v>2021</v>
      </c>
      <c r="B304" s="6">
        <v>44197</v>
      </c>
      <c r="C304" s="5" t="s">
        <v>30</v>
      </c>
      <c r="D304" s="3" t="str" cm="1">
        <f t="array" ref="D304">_xlfn.IFS(
 ISNUMBER(SEARCH("WHISK",C304)),"Whiskey",
 ISNUMBER(SEARCH("BOURBON",C304)),"Whiskey",
 ISNUMBER(SEARCH("SCOTCH",C304)),"Whiskey",
 ISNUMBER(SEARCH("RYE",C304)),"Whiskey",
 ISNUMBER(SEARCH("VODKA",C304)),"Vodka",
 ISNUMBER(SEARCH("TEQUILA",C304)),"Tequila/Mezcal",
 ISNUMBER(SEARCH("MEZCAL",C304)),"Tequila/Mezcal",
 ISNUMBER(SEARCH("RUM",C304)),"Rum",
 ISNUMBER(SEARCH("BRAND",C304)),"Brandy",
 ISNUMBER(SEARCH("COGNAC",C304)),"Brandy",
 ISNUMBER(SEARCH("LIQUEUR",C304)),"Liqueurs",
 ISNUMBER(SEARCH("CORDIAL",C304)),"Liqueurs",
 ISNUMBER(SEARCH("SCHNAPP",C304)),"Liqueurs",
 ISNUMBER(SEARCH("GIN",C304)),"Gin",
 TRUE,"Other")</f>
        <v>Vodka</v>
      </c>
      <c r="E304" s="5">
        <v>21826</v>
      </c>
      <c r="F304" s="5">
        <v>367519.22000000236</v>
      </c>
      <c r="G304" s="5">
        <v>16790.470000000016</v>
      </c>
      <c r="H304" s="5">
        <v>3235</v>
      </c>
    </row>
    <row r="305" spans="1:8">
      <c r="A305" s="5">
        <v>2021</v>
      </c>
      <c r="B305" s="6">
        <v>44197</v>
      </c>
      <c r="C305" s="5" t="s">
        <v>31</v>
      </c>
      <c r="D305" s="3" t="str" cm="1">
        <f t="array" ref="D305">_xlfn.IFS(
 ISNUMBER(SEARCH("WHISK",C305)),"Whiskey",
 ISNUMBER(SEARCH("BOURBON",C305)),"Whiskey",
 ISNUMBER(SEARCH("SCOTCH",C305)),"Whiskey",
 ISNUMBER(SEARCH("RYE",C305)),"Whiskey",
 ISNUMBER(SEARCH("VODKA",C305)),"Vodka",
 ISNUMBER(SEARCH("TEQUILA",C305)),"Tequila/Mezcal",
 ISNUMBER(SEARCH("MEZCAL",C305)),"Tequila/Mezcal",
 ISNUMBER(SEARCH("RUM",C305)),"Rum",
 ISNUMBER(SEARCH("BRAND",C305)),"Brandy",
 ISNUMBER(SEARCH("COGNAC",C305)),"Brandy",
 ISNUMBER(SEARCH("LIQUEUR",C305)),"Liqueurs",
 ISNUMBER(SEARCH("CORDIAL",C305)),"Liqueurs",
 ISNUMBER(SEARCH("SCHNAPP",C305)),"Liqueurs",
 ISNUMBER(SEARCH("GIN",C305)),"Gin",
 TRUE,"Other")</f>
        <v>Liqueurs</v>
      </c>
      <c r="E305" s="5">
        <v>32912</v>
      </c>
      <c r="F305" s="5">
        <v>560309.6199999972</v>
      </c>
      <c r="G305" s="5">
        <v>29362.209999999723</v>
      </c>
      <c r="H305" s="5">
        <v>3450</v>
      </c>
    </row>
    <row r="306" spans="1:8">
      <c r="A306" s="5">
        <v>2021</v>
      </c>
      <c r="B306" s="6">
        <v>44197</v>
      </c>
      <c r="C306" s="5" t="s">
        <v>33</v>
      </c>
      <c r="D306" s="3" t="str" cm="1">
        <f t="array" ref="D306">_xlfn.IFS(
 ISNUMBER(SEARCH("WHISK",C306)),"Whiskey",
 ISNUMBER(SEARCH("BOURBON",C306)),"Whiskey",
 ISNUMBER(SEARCH("SCOTCH",C306)),"Whiskey",
 ISNUMBER(SEARCH("RYE",C306)),"Whiskey",
 ISNUMBER(SEARCH("VODKA",C306)),"Vodka",
 ISNUMBER(SEARCH("TEQUILA",C306)),"Tequila/Mezcal",
 ISNUMBER(SEARCH("MEZCAL",C306)),"Tequila/Mezcal",
 ISNUMBER(SEARCH("RUM",C306)),"Rum",
 ISNUMBER(SEARCH("BRAND",C306)),"Brandy",
 ISNUMBER(SEARCH("COGNAC",C306)),"Brandy",
 ISNUMBER(SEARCH("LIQUEUR",C306)),"Liqueurs",
 ISNUMBER(SEARCH("CORDIAL",C306)),"Liqueurs",
 ISNUMBER(SEARCH("SCHNAPP",C306)),"Liqueurs",
 ISNUMBER(SEARCH("GIN",C306)),"Gin",
 TRUE,"Other")</f>
        <v>Whiskey</v>
      </c>
      <c r="E306" s="5">
        <v>26767</v>
      </c>
      <c r="F306" s="5">
        <v>675307.22999999789</v>
      </c>
      <c r="G306" s="5">
        <v>21660.339999999989</v>
      </c>
      <c r="H306" s="5">
        <v>2781</v>
      </c>
    </row>
    <row r="307" spans="1:8">
      <c r="A307" s="5">
        <v>2021</v>
      </c>
      <c r="B307" s="6">
        <v>44197</v>
      </c>
      <c r="C307" s="5" t="s">
        <v>36</v>
      </c>
      <c r="D307" s="3" t="str" cm="1">
        <f t="array" ref="D307">_xlfn.IFS(
 ISNUMBER(SEARCH("WHISK",C307)),"Whiskey",
 ISNUMBER(SEARCH("BOURBON",C307)),"Whiskey",
 ISNUMBER(SEARCH("SCOTCH",C307)),"Whiskey",
 ISNUMBER(SEARCH("RYE",C307)),"Whiskey",
 ISNUMBER(SEARCH("VODKA",C307)),"Vodka",
 ISNUMBER(SEARCH("TEQUILA",C307)),"Tequila/Mezcal",
 ISNUMBER(SEARCH("MEZCAL",C307)),"Tequila/Mezcal",
 ISNUMBER(SEARCH("RUM",C307)),"Rum",
 ISNUMBER(SEARCH("BRAND",C307)),"Brandy",
 ISNUMBER(SEARCH("COGNAC",C307)),"Brandy",
 ISNUMBER(SEARCH("LIQUEUR",C307)),"Liqueurs",
 ISNUMBER(SEARCH("CORDIAL",C307)),"Liqueurs",
 ISNUMBER(SEARCH("SCHNAPP",C307)),"Liqueurs",
 ISNUMBER(SEARCH("GIN",C307)),"Gin",
 TRUE,"Other")</f>
        <v>Other</v>
      </c>
      <c r="E307" s="5">
        <v>3607</v>
      </c>
      <c r="F307" s="5">
        <v>44234.599999999984</v>
      </c>
      <c r="G307" s="5">
        <v>2806.85</v>
      </c>
      <c r="H307" s="5">
        <v>393</v>
      </c>
    </row>
    <row r="308" spans="1:8">
      <c r="A308" s="5">
        <v>2021</v>
      </c>
      <c r="B308" s="6">
        <v>44197</v>
      </c>
      <c r="C308" s="5" t="s">
        <v>7</v>
      </c>
      <c r="D308" s="3" t="str" cm="1">
        <f t="array" ref="D308">_xlfn.IFS(
 ISNUMBER(SEARCH("WHISK",C308)),"Whiskey",
 ISNUMBER(SEARCH("BOURBON",C308)),"Whiskey",
 ISNUMBER(SEARCH("SCOTCH",C308)),"Whiskey",
 ISNUMBER(SEARCH("RYE",C308)),"Whiskey",
 ISNUMBER(SEARCH("VODKA",C308)),"Vodka",
 ISNUMBER(SEARCH("TEQUILA",C308)),"Tequila/Mezcal",
 ISNUMBER(SEARCH("MEZCAL",C308)),"Tequila/Mezcal",
 ISNUMBER(SEARCH("RUM",C308)),"Rum",
 ISNUMBER(SEARCH("BRAND",C308)),"Brandy",
 ISNUMBER(SEARCH("COGNAC",C308)),"Brandy",
 ISNUMBER(SEARCH("LIQUEUR",C308)),"Liqueurs",
 ISNUMBER(SEARCH("CORDIAL",C308)),"Liqueurs",
 ISNUMBER(SEARCH("SCHNAPP",C308)),"Liqueurs",
 ISNUMBER(SEARCH("GIN",C308)),"Gin",
 TRUE,"Other")</f>
        <v>Rum</v>
      </c>
      <c r="E308" s="5">
        <v>3981</v>
      </c>
      <c r="F308" s="5">
        <v>80305.8400000002</v>
      </c>
      <c r="G308" s="5">
        <v>3236.75</v>
      </c>
      <c r="H308" s="5">
        <v>696</v>
      </c>
    </row>
    <row r="309" spans="1:8">
      <c r="A309" s="5">
        <v>2021</v>
      </c>
      <c r="B309" s="6">
        <v>44197</v>
      </c>
      <c r="C309" s="5" t="s">
        <v>10</v>
      </c>
      <c r="D309" s="3" t="str" cm="1">
        <f t="array" ref="D309">_xlfn.IFS(
 ISNUMBER(SEARCH("WHISK",C309)),"Whiskey",
 ISNUMBER(SEARCH("BOURBON",C309)),"Whiskey",
 ISNUMBER(SEARCH("SCOTCH",C309)),"Whiskey",
 ISNUMBER(SEARCH("RYE",C309)),"Whiskey",
 ISNUMBER(SEARCH("VODKA",C309)),"Vodka",
 ISNUMBER(SEARCH("TEQUILA",C309)),"Tequila/Mezcal",
 ISNUMBER(SEARCH("MEZCAL",C309)),"Tequila/Mezcal",
 ISNUMBER(SEARCH("RUM",C309)),"Rum",
 ISNUMBER(SEARCH("BRAND",C309)),"Brandy",
 ISNUMBER(SEARCH("COGNAC",C309)),"Brandy",
 ISNUMBER(SEARCH("LIQUEUR",C309)),"Liqueurs",
 ISNUMBER(SEARCH("CORDIAL",C309)),"Liqueurs",
 ISNUMBER(SEARCH("SCHNAPP",C309)),"Liqueurs",
 ISNUMBER(SEARCH("GIN",C309)),"Gin",
 TRUE,"Other")</f>
        <v>Other</v>
      </c>
      <c r="E309" s="5">
        <v>4944</v>
      </c>
      <c r="F309" s="5">
        <v>98628.099999999933</v>
      </c>
      <c r="G309" s="5">
        <v>3631.0000000000009</v>
      </c>
      <c r="H309" s="5">
        <v>687</v>
      </c>
    </row>
    <row r="310" spans="1:8">
      <c r="A310" s="5">
        <v>2021</v>
      </c>
      <c r="B310" s="6">
        <v>44197</v>
      </c>
      <c r="C310" s="5" t="s">
        <v>14</v>
      </c>
      <c r="D310" s="3" t="str" cm="1">
        <f t="array" ref="D310">_xlfn.IFS(
 ISNUMBER(SEARCH("WHISK",C310)),"Whiskey",
 ISNUMBER(SEARCH("BOURBON",C310)),"Whiskey",
 ISNUMBER(SEARCH("SCOTCH",C310)),"Whiskey",
 ISNUMBER(SEARCH("RYE",C310)),"Whiskey",
 ISNUMBER(SEARCH("VODKA",C310)),"Vodka",
 ISNUMBER(SEARCH("TEQUILA",C310)),"Tequila/Mezcal",
 ISNUMBER(SEARCH("MEZCAL",C310)),"Tequila/Mezcal",
 ISNUMBER(SEARCH("RUM",C310)),"Rum",
 ISNUMBER(SEARCH("BRAND",C310)),"Brandy",
 ISNUMBER(SEARCH("COGNAC",C310)),"Brandy",
 ISNUMBER(SEARCH("LIQUEUR",C310)),"Liqueurs",
 ISNUMBER(SEARCH("CORDIAL",C310)),"Liqueurs",
 ISNUMBER(SEARCH("SCHNAPP",C310)),"Liqueurs",
 ISNUMBER(SEARCH("GIN",C310)),"Gin",
 TRUE,"Other")</f>
        <v>Gin</v>
      </c>
      <c r="E310" s="5">
        <v>241</v>
      </c>
      <c r="F310" s="5">
        <v>1959.3300000000013</v>
      </c>
      <c r="G310" s="5">
        <v>241</v>
      </c>
      <c r="H310" s="5">
        <v>80</v>
      </c>
    </row>
    <row r="311" spans="1:8">
      <c r="A311" s="5">
        <v>2021</v>
      </c>
      <c r="B311" s="6">
        <v>44197</v>
      </c>
      <c r="C311" s="5" t="s">
        <v>17</v>
      </c>
      <c r="D311" s="3" t="str" cm="1">
        <f t="array" ref="D311">_xlfn.IFS(
 ISNUMBER(SEARCH("WHISK",C311)),"Whiskey",
 ISNUMBER(SEARCH("BOURBON",C311)),"Whiskey",
 ISNUMBER(SEARCH("SCOTCH",C311)),"Whiskey",
 ISNUMBER(SEARCH("RYE",C311)),"Whiskey",
 ISNUMBER(SEARCH("VODKA",C311)),"Vodka",
 ISNUMBER(SEARCH("TEQUILA",C311)),"Tequila/Mezcal",
 ISNUMBER(SEARCH("MEZCAL",C311)),"Tequila/Mezcal",
 ISNUMBER(SEARCH("RUM",C311)),"Rum",
 ISNUMBER(SEARCH("BRAND",C311)),"Brandy",
 ISNUMBER(SEARCH("COGNAC",C311)),"Brandy",
 ISNUMBER(SEARCH("LIQUEUR",C311)),"Liqueurs",
 ISNUMBER(SEARCH("CORDIAL",C311)),"Liqueurs",
 ISNUMBER(SEARCH("SCHNAPP",C311)),"Liqueurs",
 ISNUMBER(SEARCH("GIN",C311)),"Gin",
 TRUE,"Other")</f>
        <v>Whiskey</v>
      </c>
      <c r="E311" s="5">
        <v>1421</v>
      </c>
      <c r="F311" s="5">
        <v>30257.209999999981</v>
      </c>
      <c r="G311" s="5">
        <v>1131.75</v>
      </c>
      <c r="H311" s="5">
        <v>209</v>
      </c>
    </row>
    <row r="312" spans="1:8">
      <c r="A312" s="5">
        <v>2021</v>
      </c>
      <c r="B312" s="6">
        <v>44197</v>
      </c>
      <c r="C312" s="5" t="s">
        <v>21</v>
      </c>
      <c r="D312" s="3" t="str" cm="1">
        <f t="array" ref="D312">_xlfn.IFS(
 ISNUMBER(SEARCH("WHISK",C312)),"Whiskey",
 ISNUMBER(SEARCH("BOURBON",C312)),"Whiskey",
 ISNUMBER(SEARCH("SCOTCH",C312)),"Whiskey",
 ISNUMBER(SEARCH("RYE",C312)),"Whiskey",
 ISNUMBER(SEARCH("VODKA",C312)),"Vodka",
 ISNUMBER(SEARCH("TEQUILA",C312)),"Tequila/Mezcal",
 ISNUMBER(SEARCH("MEZCAL",C312)),"Tequila/Mezcal",
 ISNUMBER(SEARCH("RUM",C312)),"Rum",
 ISNUMBER(SEARCH("BRAND",C312)),"Brandy",
 ISNUMBER(SEARCH("COGNAC",C312)),"Brandy",
 ISNUMBER(SEARCH("LIQUEUR",C312)),"Liqueurs",
 ISNUMBER(SEARCH("CORDIAL",C312)),"Liqueurs",
 ISNUMBER(SEARCH("SCHNAPP",C312)),"Liqueurs",
 ISNUMBER(SEARCH("GIN",C312)),"Gin",
 TRUE,"Other")</f>
        <v>Whiskey</v>
      </c>
      <c r="E312" s="5">
        <v>326</v>
      </c>
      <c r="F312" s="5">
        <v>8927.89</v>
      </c>
      <c r="G312" s="5">
        <v>244.5</v>
      </c>
      <c r="H312" s="5">
        <v>65</v>
      </c>
    </row>
    <row r="313" spans="1:8">
      <c r="A313" s="5">
        <v>2021</v>
      </c>
      <c r="B313" s="6">
        <v>44197</v>
      </c>
      <c r="C313" s="5" t="s">
        <v>25</v>
      </c>
      <c r="D313" s="3" t="str" cm="1">
        <f t="array" ref="D313">_xlfn.IFS(
 ISNUMBER(SEARCH("WHISK",C313)),"Whiskey",
 ISNUMBER(SEARCH("BOURBON",C313)),"Whiskey",
 ISNUMBER(SEARCH("SCOTCH",C313)),"Whiskey",
 ISNUMBER(SEARCH("RYE",C313)),"Whiskey",
 ISNUMBER(SEARCH("VODKA",C313)),"Vodka",
 ISNUMBER(SEARCH("TEQUILA",C313)),"Tequila/Mezcal",
 ISNUMBER(SEARCH("MEZCAL",C313)),"Tequila/Mezcal",
 ISNUMBER(SEARCH("RUM",C313)),"Rum",
 ISNUMBER(SEARCH("BRAND",C313)),"Brandy",
 ISNUMBER(SEARCH("COGNAC",C313)),"Brandy",
 ISNUMBER(SEARCH("LIQUEUR",C313)),"Liqueurs",
 ISNUMBER(SEARCH("CORDIAL",C313)),"Liqueurs",
 ISNUMBER(SEARCH("SCHNAPP",C313)),"Liqueurs",
 ISNUMBER(SEARCH("GIN",C313)),"Gin",
 TRUE,"Other")</f>
        <v>Rum</v>
      </c>
      <c r="E313" s="5">
        <v>6692</v>
      </c>
      <c r="F313" s="5">
        <v>84707.269999999728</v>
      </c>
      <c r="G313" s="5">
        <v>7677.1400000000049</v>
      </c>
      <c r="H313" s="5">
        <v>1058</v>
      </c>
    </row>
    <row r="314" spans="1:8">
      <c r="A314" s="5">
        <v>2021</v>
      </c>
      <c r="B314" s="6">
        <v>44197</v>
      </c>
      <c r="C314" s="5" t="s">
        <v>29</v>
      </c>
      <c r="D314" s="3" t="str" cm="1">
        <f t="array" ref="D314">_xlfn.IFS(
 ISNUMBER(SEARCH("WHISK",C314)),"Whiskey",
 ISNUMBER(SEARCH("BOURBON",C314)),"Whiskey",
 ISNUMBER(SEARCH("SCOTCH",C314)),"Whiskey",
 ISNUMBER(SEARCH("RYE",C314)),"Whiskey",
 ISNUMBER(SEARCH("VODKA",C314)),"Vodka",
 ISNUMBER(SEARCH("TEQUILA",C314)),"Tequila/Mezcal",
 ISNUMBER(SEARCH("MEZCAL",C314)),"Tequila/Mezcal",
 ISNUMBER(SEARCH("RUM",C314)),"Rum",
 ISNUMBER(SEARCH("BRAND",C314)),"Brandy",
 ISNUMBER(SEARCH("COGNAC",C314)),"Brandy",
 ISNUMBER(SEARCH("LIQUEUR",C314)),"Liqueurs",
 ISNUMBER(SEARCH("CORDIAL",C314)),"Liqueurs",
 ISNUMBER(SEARCH("SCHNAPP",C314)),"Liqueurs",
 ISNUMBER(SEARCH("GIN",C314)),"Gin",
 TRUE,"Other")</f>
        <v>Gin</v>
      </c>
      <c r="E314" s="5">
        <v>12969</v>
      </c>
      <c r="F314" s="5">
        <v>307539.77000000025</v>
      </c>
      <c r="G314" s="5">
        <v>12004.560000000016</v>
      </c>
      <c r="H314" s="5">
        <v>1915</v>
      </c>
    </row>
    <row r="315" spans="1:8">
      <c r="A315" s="5">
        <v>2021</v>
      </c>
      <c r="B315" s="6">
        <v>44197</v>
      </c>
      <c r="C315" s="5" t="s">
        <v>40</v>
      </c>
      <c r="D315" s="3" t="str" cm="1">
        <f t="array" ref="D315">_xlfn.IFS(
 ISNUMBER(SEARCH("WHISK",C315)),"Whiskey",
 ISNUMBER(SEARCH("BOURBON",C315)),"Whiskey",
 ISNUMBER(SEARCH("SCOTCH",C315)),"Whiskey",
 ISNUMBER(SEARCH("RYE",C315)),"Whiskey",
 ISNUMBER(SEARCH("VODKA",C315)),"Vodka",
 ISNUMBER(SEARCH("TEQUILA",C315)),"Tequila/Mezcal",
 ISNUMBER(SEARCH("MEZCAL",C315)),"Tequila/Mezcal",
 ISNUMBER(SEARCH("RUM",C315)),"Rum",
 ISNUMBER(SEARCH("BRAND",C315)),"Brandy",
 ISNUMBER(SEARCH("COGNAC",C315)),"Brandy",
 ISNUMBER(SEARCH("LIQUEUR",C315)),"Liqueurs",
 ISNUMBER(SEARCH("CORDIAL",C315)),"Liqueurs",
 ISNUMBER(SEARCH("SCHNAPP",C315)),"Liqueurs",
 ISNUMBER(SEARCH("GIN",C315)),"Gin",
 TRUE,"Other")</f>
        <v>Whiskey</v>
      </c>
      <c r="E315" s="5">
        <v>6298</v>
      </c>
      <c r="F315" s="5">
        <v>328590.51999999984</v>
      </c>
      <c r="G315" s="5">
        <v>4941.75</v>
      </c>
      <c r="H315" s="5">
        <v>1709</v>
      </c>
    </row>
    <row r="316" spans="1:8">
      <c r="A316" s="5">
        <v>2021</v>
      </c>
      <c r="B316" s="6">
        <v>44197</v>
      </c>
      <c r="C316" s="5" t="s">
        <v>41</v>
      </c>
      <c r="D316" s="3" t="str" cm="1">
        <f t="array" ref="D316">_xlfn.IFS(
 ISNUMBER(SEARCH("WHISK",C316)),"Whiskey",
 ISNUMBER(SEARCH("BOURBON",C316)),"Whiskey",
 ISNUMBER(SEARCH("SCOTCH",C316)),"Whiskey",
 ISNUMBER(SEARCH("RYE",C316)),"Whiskey",
 ISNUMBER(SEARCH("VODKA",C316)),"Vodka",
 ISNUMBER(SEARCH("TEQUILA",C316)),"Tequila/Mezcal",
 ISNUMBER(SEARCH("MEZCAL",C316)),"Tequila/Mezcal",
 ISNUMBER(SEARCH("RUM",C316)),"Rum",
 ISNUMBER(SEARCH("BRAND",C316)),"Brandy",
 ISNUMBER(SEARCH("COGNAC",C316)),"Brandy",
 ISNUMBER(SEARCH("LIQUEUR",C316)),"Liqueurs",
 ISNUMBER(SEARCH("CORDIAL",C316)),"Liqueurs",
 ISNUMBER(SEARCH("SCHNAPP",C316)),"Liqueurs",
 ISNUMBER(SEARCH("GIN",C316)),"Gin",
 TRUE,"Other")</f>
        <v>Other</v>
      </c>
      <c r="E316" s="5">
        <v>8841</v>
      </c>
      <c r="F316" s="5">
        <v>157793.21999999997</v>
      </c>
      <c r="G316" s="5">
        <v>10242.950000000001</v>
      </c>
      <c r="H316" s="5">
        <v>526</v>
      </c>
    </row>
    <row r="317" spans="1:8">
      <c r="A317" s="5">
        <v>2021</v>
      </c>
      <c r="B317" s="6">
        <v>44197</v>
      </c>
      <c r="C317" s="5" t="s">
        <v>44</v>
      </c>
      <c r="D317" s="3" t="str" cm="1">
        <f t="array" ref="D317">_xlfn.IFS(
 ISNUMBER(SEARCH("WHISK",C317)),"Whiskey",
 ISNUMBER(SEARCH("BOURBON",C317)),"Whiskey",
 ISNUMBER(SEARCH("SCOTCH",C317)),"Whiskey",
 ISNUMBER(SEARCH("RYE",C317)),"Whiskey",
 ISNUMBER(SEARCH("VODKA",C317)),"Vodka",
 ISNUMBER(SEARCH("TEQUILA",C317)),"Tequila/Mezcal",
 ISNUMBER(SEARCH("MEZCAL",C317)),"Tequila/Mezcal",
 ISNUMBER(SEARCH("RUM",C317)),"Rum",
 ISNUMBER(SEARCH("BRAND",C317)),"Brandy",
 ISNUMBER(SEARCH("COGNAC",C317)),"Brandy",
 ISNUMBER(SEARCH("LIQUEUR",C317)),"Liqueurs",
 ISNUMBER(SEARCH("CORDIAL",C317)),"Liqueurs",
 ISNUMBER(SEARCH("SCHNAPP",C317)),"Liqueurs",
 ISNUMBER(SEARCH("GIN",C317)),"Gin",
 TRUE,"Other")</f>
        <v>Whiskey</v>
      </c>
      <c r="E317" s="5">
        <v>9619</v>
      </c>
      <c r="F317" s="5">
        <v>308632.82000000117</v>
      </c>
      <c r="G317" s="5">
        <v>7316.15</v>
      </c>
      <c r="H317" s="5">
        <v>1701</v>
      </c>
    </row>
    <row r="318" spans="1:8">
      <c r="A318" s="5">
        <v>2021</v>
      </c>
      <c r="B318" s="6">
        <v>44197</v>
      </c>
      <c r="C318" s="5" t="s">
        <v>47</v>
      </c>
      <c r="D318" s="3" t="str" cm="1">
        <f t="array" ref="D318">_xlfn.IFS(
 ISNUMBER(SEARCH("WHISK",C318)),"Whiskey",
 ISNUMBER(SEARCH("BOURBON",C318)),"Whiskey",
 ISNUMBER(SEARCH("SCOTCH",C318)),"Whiskey",
 ISNUMBER(SEARCH("RYE",C318)),"Whiskey",
 ISNUMBER(SEARCH("VODKA",C318)),"Vodka",
 ISNUMBER(SEARCH("TEQUILA",C318)),"Tequila/Mezcal",
 ISNUMBER(SEARCH("MEZCAL",C318)),"Tequila/Mezcal",
 ISNUMBER(SEARCH("RUM",C318)),"Rum",
 ISNUMBER(SEARCH("BRAND",C318)),"Brandy",
 ISNUMBER(SEARCH("COGNAC",C318)),"Brandy",
 ISNUMBER(SEARCH("LIQUEUR",C318)),"Liqueurs",
 ISNUMBER(SEARCH("CORDIAL",C318)),"Liqueurs",
 ISNUMBER(SEARCH("SCHNAPP",C318)),"Liqueurs",
 ISNUMBER(SEARCH("GIN",C318)),"Gin",
 TRUE,"Other")</f>
        <v>Other</v>
      </c>
      <c r="E318" s="5">
        <v>14208</v>
      </c>
      <c r="F318" s="5">
        <v>56269.789999999957</v>
      </c>
      <c r="G318" s="5">
        <v>13970</v>
      </c>
      <c r="H318" s="5">
        <v>709</v>
      </c>
    </row>
    <row r="319" spans="1:8">
      <c r="A319" s="5">
        <v>2021</v>
      </c>
      <c r="B319" s="6">
        <v>44197</v>
      </c>
      <c r="C319" s="5" t="s">
        <v>23</v>
      </c>
      <c r="D319" s="3" t="str" cm="1">
        <f t="array" ref="D319">_xlfn.IFS(
 ISNUMBER(SEARCH("WHISK",C319)),"Whiskey",
 ISNUMBER(SEARCH("BOURBON",C319)),"Whiskey",
 ISNUMBER(SEARCH("SCOTCH",C319)),"Whiskey",
 ISNUMBER(SEARCH("RYE",C319)),"Whiskey",
 ISNUMBER(SEARCH("VODKA",C319)),"Vodka",
 ISNUMBER(SEARCH("TEQUILA",C319)),"Tequila/Mezcal",
 ISNUMBER(SEARCH("MEZCAL",C319)),"Tequila/Mezcal",
 ISNUMBER(SEARCH("RUM",C319)),"Rum",
 ISNUMBER(SEARCH("BRAND",C319)),"Brandy",
 ISNUMBER(SEARCH("COGNAC",C319)),"Brandy",
 ISNUMBER(SEARCH("LIQUEUR",C319)),"Liqueurs",
 ISNUMBER(SEARCH("CORDIAL",C319)),"Liqueurs",
 ISNUMBER(SEARCH("SCHNAPP",C319)),"Liqueurs",
 ISNUMBER(SEARCH("GIN",C319)),"Gin",
 TRUE,"Other")</f>
        <v>Gin</v>
      </c>
      <c r="E319" s="5">
        <v>1229</v>
      </c>
      <c r="F319" s="5">
        <v>19608.339999999975</v>
      </c>
      <c r="G319" s="5">
        <v>900.75</v>
      </c>
      <c r="H319" s="5">
        <v>157</v>
      </c>
    </row>
    <row r="320" spans="1:8">
      <c r="A320" s="5">
        <v>2021</v>
      </c>
      <c r="B320" s="6">
        <v>44197</v>
      </c>
      <c r="C320" s="5" t="s">
        <v>39</v>
      </c>
      <c r="D320" s="3" t="str" cm="1">
        <f t="array" ref="D320">_xlfn.IFS(
 ISNUMBER(SEARCH("WHISK",C320)),"Whiskey",
 ISNUMBER(SEARCH("BOURBON",C320)),"Whiskey",
 ISNUMBER(SEARCH("SCOTCH",C320)),"Whiskey",
 ISNUMBER(SEARCH("RYE",C320)),"Whiskey",
 ISNUMBER(SEARCH("VODKA",C320)),"Vodka",
 ISNUMBER(SEARCH("TEQUILA",C320)),"Tequila/Mezcal",
 ISNUMBER(SEARCH("MEZCAL",C320)),"Tequila/Mezcal",
 ISNUMBER(SEARCH("RUM",C320)),"Rum",
 ISNUMBER(SEARCH("BRAND",C320)),"Brandy",
 ISNUMBER(SEARCH("COGNAC",C320)),"Brandy",
 ISNUMBER(SEARCH("LIQUEUR",C320)),"Liqueurs",
 ISNUMBER(SEARCH("CORDIAL",C320)),"Liqueurs",
 ISNUMBER(SEARCH("SCHNAPP",C320)),"Liqueurs",
 ISNUMBER(SEARCH("GIN",C320)),"Gin",
 TRUE,"Other")</f>
        <v>Whiskey</v>
      </c>
      <c r="E320" s="5">
        <v>2949</v>
      </c>
      <c r="F320" s="5">
        <v>104185.81999999993</v>
      </c>
      <c r="G320" s="5">
        <v>2211.75</v>
      </c>
      <c r="H320" s="5">
        <v>292</v>
      </c>
    </row>
    <row r="321" spans="1:8">
      <c r="A321" s="5">
        <v>2021</v>
      </c>
      <c r="B321" s="6">
        <v>44197</v>
      </c>
      <c r="C321" s="5" t="s">
        <v>34</v>
      </c>
      <c r="D321" s="3" t="str" cm="1">
        <f t="array" ref="D321">_xlfn.IFS(
 ISNUMBER(SEARCH("WHISK",C321)),"Whiskey",
 ISNUMBER(SEARCH("BOURBON",C321)),"Whiskey",
 ISNUMBER(SEARCH("SCOTCH",C321)),"Whiskey",
 ISNUMBER(SEARCH("RYE",C321)),"Whiskey",
 ISNUMBER(SEARCH("VODKA",C321)),"Vodka",
 ISNUMBER(SEARCH("TEQUILA",C321)),"Tequila/Mezcal",
 ISNUMBER(SEARCH("MEZCAL",C321)),"Tequila/Mezcal",
 ISNUMBER(SEARCH("RUM",C321)),"Rum",
 ISNUMBER(SEARCH("BRAND",C321)),"Brandy",
 ISNUMBER(SEARCH("COGNAC",C321)),"Brandy",
 ISNUMBER(SEARCH("LIQUEUR",C321)),"Liqueurs",
 ISNUMBER(SEARCH("CORDIAL",C321)),"Liqueurs",
 ISNUMBER(SEARCH("SCHNAPP",C321)),"Liqueurs",
 ISNUMBER(SEARCH("GIN",C321)),"Gin",
 TRUE,"Other")</f>
        <v>Tequila/Mezcal</v>
      </c>
      <c r="E321" s="5">
        <v>633</v>
      </c>
      <c r="F321" s="5">
        <v>18918.339999999997</v>
      </c>
      <c r="G321" s="5">
        <v>475.75</v>
      </c>
      <c r="H321" s="5">
        <v>137</v>
      </c>
    </row>
    <row r="322" spans="1:8">
      <c r="A322" s="5">
        <v>2021</v>
      </c>
      <c r="B322" s="6">
        <v>44197</v>
      </c>
      <c r="C322" s="5" t="s">
        <v>51</v>
      </c>
      <c r="D322" s="3" t="str" cm="1">
        <f t="array" ref="D322">_xlfn.IFS(
 ISNUMBER(SEARCH("WHISK",C322)),"Whiskey",
 ISNUMBER(SEARCH("BOURBON",C322)),"Whiskey",
 ISNUMBER(SEARCH("SCOTCH",C322)),"Whiskey",
 ISNUMBER(SEARCH("RYE",C322)),"Whiskey",
 ISNUMBER(SEARCH("VODKA",C322)),"Vodka",
 ISNUMBER(SEARCH("TEQUILA",C322)),"Tequila/Mezcal",
 ISNUMBER(SEARCH("MEZCAL",C322)),"Tequila/Mezcal",
 ISNUMBER(SEARCH("RUM",C322)),"Rum",
 ISNUMBER(SEARCH("BRAND",C322)),"Brandy",
 ISNUMBER(SEARCH("COGNAC",C322)),"Brandy",
 ISNUMBER(SEARCH("LIQUEUR",C322)),"Liqueurs",
 ISNUMBER(SEARCH("CORDIAL",C322)),"Liqueurs",
 ISNUMBER(SEARCH("SCHNAPP",C322)),"Liqueurs",
 ISNUMBER(SEARCH("GIN",C322)),"Gin",
 TRUE,"Other")</f>
        <v>Other</v>
      </c>
      <c r="E322" s="5">
        <v>64</v>
      </c>
      <c r="F322" s="5">
        <v>2240</v>
      </c>
      <c r="G322" s="5">
        <v>48</v>
      </c>
      <c r="H322" s="5">
        <v>17</v>
      </c>
    </row>
    <row r="323" spans="1:8">
      <c r="A323" s="5">
        <v>2021</v>
      </c>
      <c r="B323" s="6">
        <v>44228</v>
      </c>
      <c r="C323" s="5" t="s">
        <v>50</v>
      </c>
      <c r="D323" s="3" t="str" cm="1">
        <f t="array" ref="D323">_xlfn.IFS(
 ISNUMBER(SEARCH("WHISK",C323)),"Whiskey",
 ISNUMBER(SEARCH("BOURBON",C323)),"Whiskey",
 ISNUMBER(SEARCH("SCOTCH",C323)),"Whiskey",
 ISNUMBER(SEARCH("RYE",C323)),"Whiskey",
 ISNUMBER(SEARCH("VODKA",C323)),"Vodka",
 ISNUMBER(SEARCH("TEQUILA",C323)),"Tequila/Mezcal",
 ISNUMBER(SEARCH("MEZCAL",C323)),"Tequila/Mezcal",
 ISNUMBER(SEARCH("RUM",C323)),"Rum",
 ISNUMBER(SEARCH("BRAND",C323)),"Brandy",
 ISNUMBER(SEARCH("COGNAC",C323)),"Brandy",
 ISNUMBER(SEARCH("LIQUEUR",C323)),"Liqueurs",
 ISNUMBER(SEARCH("CORDIAL",C323)),"Liqueurs",
 ISNUMBER(SEARCH("SCHNAPP",C323)),"Liqueurs",
 ISNUMBER(SEARCH("GIN",C323)),"Gin",
 TRUE,"Other")</f>
        <v>Tequila/Mezcal</v>
      </c>
      <c r="E323" s="5">
        <v>52093</v>
      </c>
      <c r="F323" s="5">
        <v>1431381.3699999962</v>
      </c>
      <c r="G323" s="5">
        <v>37114.07999999998</v>
      </c>
      <c r="H323" s="5">
        <v>6103</v>
      </c>
    </row>
    <row r="324" spans="1:8">
      <c r="A324" s="5">
        <v>2021</v>
      </c>
      <c r="B324" s="6">
        <v>44228</v>
      </c>
      <c r="C324" s="5" t="s">
        <v>8</v>
      </c>
      <c r="D324" s="3" t="str" cm="1">
        <f t="array" ref="D324">_xlfn.IFS(
 ISNUMBER(SEARCH("WHISK",C324)),"Whiskey",
 ISNUMBER(SEARCH("BOURBON",C324)),"Whiskey",
 ISNUMBER(SEARCH("SCOTCH",C324)),"Whiskey",
 ISNUMBER(SEARCH("RYE",C324)),"Whiskey",
 ISNUMBER(SEARCH("VODKA",C324)),"Vodka",
 ISNUMBER(SEARCH("TEQUILA",C324)),"Tequila/Mezcal",
 ISNUMBER(SEARCH("MEZCAL",C324)),"Tequila/Mezcal",
 ISNUMBER(SEARCH("RUM",C324)),"Rum",
 ISNUMBER(SEARCH("BRAND",C324)),"Brandy",
 ISNUMBER(SEARCH("COGNAC",C324)),"Brandy",
 ISNUMBER(SEARCH("LIQUEUR",C324)),"Liqueurs",
 ISNUMBER(SEARCH("CORDIAL",C324)),"Liqueurs",
 ISNUMBER(SEARCH("SCHNAPP",C324)),"Liqueurs",
 ISNUMBER(SEARCH("GIN",C324)),"Gin",
 TRUE,"Other")</f>
        <v>Brandy</v>
      </c>
      <c r="E324" s="5">
        <v>67009</v>
      </c>
      <c r="F324" s="5">
        <v>423535.19999999966</v>
      </c>
      <c r="G324" s="5">
        <v>33792.709999999715</v>
      </c>
      <c r="H324" s="5">
        <v>5421</v>
      </c>
    </row>
    <row r="325" spans="1:8">
      <c r="A325" s="5">
        <v>2021</v>
      </c>
      <c r="B325" s="6">
        <v>44228</v>
      </c>
      <c r="C325" s="5" t="s">
        <v>59</v>
      </c>
      <c r="D325" s="3" t="str" cm="1">
        <f t="array" ref="D325">_xlfn.IFS(
 ISNUMBER(SEARCH("WHISK",C325)),"Whiskey",
 ISNUMBER(SEARCH("BOURBON",C325)),"Whiskey",
 ISNUMBER(SEARCH("SCOTCH",C325)),"Whiskey",
 ISNUMBER(SEARCH("RYE",C325)),"Whiskey",
 ISNUMBER(SEARCH("VODKA",C325)),"Vodka",
 ISNUMBER(SEARCH("TEQUILA",C325)),"Tequila/Mezcal",
 ISNUMBER(SEARCH("MEZCAL",C325)),"Tequila/Mezcal",
 ISNUMBER(SEARCH("RUM",C325)),"Rum",
 ISNUMBER(SEARCH("BRAND",C325)),"Brandy",
 ISNUMBER(SEARCH("COGNAC",C325)),"Brandy",
 ISNUMBER(SEARCH("LIQUEUR",C325)),"Liqueurs",
 ISNUMBER(SEARCH("CORDIAL",C325)),"Liqueurs",
 ISNUMBER(SEARCH("SCHNAPP",C325)),"Liqueurs",
 ISNUMBER(SEARCH("GIN",C325)),"Gin",
 TRUE,"Other")</f>
        <v>Liqueurs</v>
      </c>
      <c r="E325" s="5">
        <v>33828</v>
      </c>
      <c r="F325" s="5">
        <v>278838.02000000182</v>
      </c>
      <c r="G325" s="5">
        <v>17915.319999999756</v>
      </c>
      <c r="H325" s="5">
        <v>4360</v>
      </c>
    </row>
    <row r="326" spans="1:8">
      <c r="A326" s="5">
        <v>2021</v>
      </c>
      <c r="B326" s="6">
        <v>44228</v>
      </c>
      <c r="C326" s="5" t="s">
        <v>12</v>
      </c>
      <c r="D326" s="3" t="str" cm="1">
        <f t="array" ref="D326">_xlfn.IFS(
 ISNUMBER(SEARCH("WHISK",C326)),"Whiskey",
 ISNUMBER(SEARCH("BOURBON",C326)),"Whiskey",
 ISNUMBER(SEARCH("SCOTCH",C326)),"Whiskey",
 ISNUMBER(SEARCH("RYE",C326)),"Whiskey",
 ISNUMBER(SEARCH("VODKA",C326)),"Vodka",
 ISNUMBER(SEARCH("TEQUILA",C326)),"Tequila/Mezcal",
 ISNUMBER(SEARCH("MEZCAL",C326)),"Tequila/Mezcal",
 ISNUMBER(SEARCH("RUM",C326)),"Rum",
 ISNUMBER(SEARCH("BRAND",C326)),"Brandy",
 ISNUMBER(SEARCH("COGNAC",C326)),"Brandy",
 ISNUMBER(SEARCH("LIQUEUR",C326)),"Liqueurs",
 ISNUMBER(SEARCH("CORDIAL",C326)),"Liqueurs",
 ISNUMBER(SEARCH("SCHNAPP",C326)),"Liqueurs",
 ISNUMBER(SEARCH("GIN",C326)),"Gin",
 TRUE,"Other")</f>
        <v>Vodka</v>
      </c>
      <c r="E326" s="5">
        <v>66146</v>
      </c>
      <c r="F326" s="5">
        <v>705495.37000002246</v>
      </c>
      <c r="G326" s="5">
        <v>48678.560000000121</v>
      </c>
      <c r="H326" s="5">
        <v>8024</v>
      </c>
    </row>
    <row r="327" spans="1:8">
      <c r="A327" s="5">
        <v>2021</v>
      </c>
      <c r="B327" s="6">
        <v>44228</v>
      </c>
      <c r="C327" s="5" t="s">
        <v>13</v>
      </c>
      <c r="D327" s="3" t="str" cm="1">
        <f t="array" ref="D327">_xlfn.IFS(
 ISNUMBER(SEARCH("WHISK",C327)),"Whiskey",
 ISNUMBER(SEARCH("BOURBON",C327)),"Whiskey",
 ISNUMBER(SEARCH("SCOTCH",C327)),"Whiskey",
 ISNUMBER(SEARCH("RYE",C327)),"Whiskey",
 ISNUMBER(SEARCH("VODKA",C327)),"Vodka",
 ISNUMBER(SEARCH("TEQUILA",C327)),"Tequila/Mezcal",
 ISNUMBER(SEARCH("MEZCAL",C327)),"Tequila/Mezcal",
 ISNUMBER(SEARCH("RUM",C327)),"Rum",
 ISNUMBER(SEARCH("BRAND",C327)),"Brandy",
 ISNUMBER(SEARCH("COGNAC",C327)),"Brandy",
 ISNUMBER(SEARCH("LIQUEUR",C327)),"Liqueurs",
 ISNUMBER(SEARCH("CORDIAL",C327)),"Liqueurs",
 ISNUMBER(SEARCH("SCHNAPP",C327)),"Liqueurs",
 ISNUMBER(SEARCH("GIN",C327)),"Gin",
 TRUE,"Other")</f>
        <v>Liqueurs</v>
      </c>
      <c r="E327" s="5">
        <v>57247</v>
      </c>
      <c r="F327" s="5">
        <v>478959.41999998753</v>
      </c>
      <c r="G327" s="5">
        <v>39513.669999999838</v>
      </c>
      <c r="H327" s="5">
        <v>6437</v>
      </c>
    </row>
    <row r="328" spans="1:8">
      <c r="A328" s="5">
        <v>2021</v>
      </c>
      <c r="B328" s="6">
        <v>44228</v>
      </c>
      <c r="C328" s="5" t="s">
        <v>15</v>
      </c>
      <c r="D328" s="3" t="str" cm="1">
        <f t="array" ref="D328">_xlfn.IFS(
 ISNUMBER(SEARCH("WHISK",C328)),"Whiskey",
 ISNUMBER(SEARCH("BOURBON",C328)),"Whiskey",
 ISNUMBER(SEARCH("SCOTCH",C328)),"Whiskey",
 ISNUMBER(SEARCH("RYE",C328)),"Whiskey",
 ISNUMBER(SEARCH("VODKA",C328)),"Vodka",
 ISNUMBER(SEARCH("TEQUILA",C328)),"Tequila/Mezcal",
 ISNUMBER(SEARCH("MEZCAL",C328)),"Tequila/Mezcal",
 ISNUMBER(SEARCH("RUM",C328)),"Rum",
 ISNUMBER(SEARCH("BRAND",C328)),"Brandy",
 ISNUMBER(SEARCH("COGNAC",C328)),"Brandy",
 ISNUMBER(SEARCH("LIQUEUR",C328)),"Liqueurs",
 ISNUMBER(SEARCH("CORDIAL",C328)),"Liqueurs",
 ISNUMBER(SEARCH("SCHNAPP",C328)),"Liqueurs",
 ISNUMBER(SEARCH("GIN",C328)),"Gin",
 TRUE,"Other")</f>
        <v>Vodka</v>
      </c>
      <c r="E328" s="5">
        <v>421895</v>
      </c>
      <c r="F328" s="5">
        <v>4157310.7000000044</v>
      </c>
      <c r="G328" s="5">
        <v>406822.98999998713</v>
      </c>
      <c r="H328" s="5">
        <v>27784</v>
      </c>
    </row>
    <row r="329" spans="1:8">
      <c r="A329" s="5">
        <v>2021</v>
      </c>
      <c r="B329" s="6">
        <v>44228</v>
      </c>
      <c r="C329" s="5" t="s">
        <v>16</v>
      </c>
      <c r="D329" s="3" t="str" cm="1">
        <f t="array" ref="D329">_xlfn.IFS(
 ISNUMBER(SEARCH("WHISK",C329)),"Whiskey",
 ISNUMBER(SEARCH("BOURBON",C329)),"Whiskey",
 ISNUMBER(SEARCH("SCOTCH",C329)),"Whiskey",
 ISNUMBER(SEARCH("RYE",C329)),"Whiskey",
 ISNUMBER(SEARCH("VODKA",C329)),"Vodka",
 ISNUMBER(SEARCH("TEQUILA",C329)),"Tequila/Mezcal",
 ISNUMBER(SEARCH("MEZCAL",C329)),"Tequila/Mezcal",
 ISNUMBER(SEARCH("RUM",C329)),"Rum",
 ISNUMBER(SEARCH("BRAND",C329)),"Brandy",
 ISNUMBER(SEARCH("COGNAC",C329)),"Brandy",
 ISNUMBER(SEARCH("LIQUEUR",C329)),"Liqueurs",
 ISNUMBER(SEARCH("CORDIAL",C329)),"Liqueurs",
 ISNUMBER(SEARCH("SCHNAPP",C329)),"Liqueurs",
 ISNUMBER(SEARCH("GIN",C329)),"Gin",
 TRUE,"Other")</f>
        <v>Whiskey</v>
      </c>
      <c r="E329" s="5">
        <v>72719</v>
      </c>
      <c r="F329" s="5">
        <v>925470.67000000144</v>
      </c>
      <c r="G329" s="5">
        <v>63776.320000000371</v>
      </c>
      <c r="H329" s="5">
        <v>8441</v>
      </c>
    </row>
    <row r="330" spans="1:8">
      <c r="A330" s="5">
        <v>2021</v>
      </c>
      <c r="B330" s="6">
        <v>44228</v>
      </c>
      <c r="C330" s="5" t="s">
        <v>18</v>
      </c>
      <c r="D330" s="3" t="str" cm="1">
        <f t="array" ref="D330">_xlfn.IFS(
 ISNUMBER(SEARCH("WHISK",C330)),"Whiskey",
 ISNUMBER(SEARCH("BOURBON",C330)),"Whiskey",
 ISNUMBER(SEARCH("SCOTCH",C330)),"Whiskey",
 ISNUMBER(SEARCH("RYE",C330)),"Whiskey",
 ISNUMBER(SEARCH("VODKA",C330)),"Vodka",
 ISNUMBER(SEARCH("TEQUILA",C330)),"Tequila/Mezcal",
 ISNUMBER(SEARCH("MEZCAL",C330)),"Tequila/Mezcal",
 ISNUMBER(SEARCH("RUM",C330)),"Rum",
 ISNUMBER(SEARCH("BRAND",C330)),"Brandy",
 ISNUMBER(SEARCH("COGNAC",C330)),"Brandy",
 ISNUMBER(SEARCH("LIQUEUR",C330)),"Liqueurs",
 ISNUMBER(SEARCH("CORDIAL",C330)),"Liqueurs",
 ISNUMBER(SEARCH("SCHNAPP",C330)),"Liqueurs",
 ISNUMBER(SEARCH("GIN",C330)),"Gin",
 TRUE,"Other")</f>
        <v>Whiskey</v>
      </c>
      <c r="E330" s="5">
        <v>280838</v>
      </c>
      <c r="F330" s="5">
        <v>4369127.180000226</v>
      </c>
      <c r="G330" s="5">
        <v>283516.05999999662</v>
      </c>
      <c r="H330" s="5">
        <v>21514</v>
      </c>
    </row>
    <row r="331" spans="1:8">
      <c r="A331" s="5">
        <v>2021</v>
      </c>
      <c r="B331" s="6">
        <v>44228</v>
      </c>
      <c r="C331" s="5" t="s">
        <v>19</v>
      </c>
      <c r="D331" s="3" t="str" cm="1">
        <f t="array" ref="D331">_xlfn.IFS(
 ISNUMBER(SEARCH("WHISK",C331)),"Whiskey",
 ISNUMBER(SEARCH("BOURBON",C331)),"Whiskey",
 ISNUMBER(SEARCH("SCOTCH",C331)),"Whiskey",
 ISNUMBER(SEARCH("RYE",C331)),"Whiskey",
 ISNUMBER(SEARCH("VODKA",C331)),"Vodka",
 ISNUMBER(SEARCH("TEQUILA",C331)),"Tequila/Mezcal",
 ISNUMBER(SEARCH("MEZCAL",C331)),"Tequila/Mezcal",
 ISNUMBER(SEARCH("RUM",C331)),"Rum",
 ISNUMBER(SEARCH("BRAND",C331)),"Brandy",
 ISNUMBER(SEARCH("COGNAC",C331)),"Brandy",
 ISNUMBER(SEARCH("LIQUEUR",C331)),"Liqueurs",
 ISNUMBER(SEARCH("CORDIAL",C331)),"Liqueurs",
 ISNUMBER(SEARCH("SCHNAPP",C331)),"Liqueurs",
 ISNUMBER(SEARCH("GIN",C331)),"Gin",
 TRUE,"Other")</f>
        <v>Other</v>
      </c>
      <c r="E331" s="5">
        <v>49502</v>
      </c>
      <c r="F331" s="5">
        <v>493549.50999997213</v>
      </c>
      <c r="G331" s="5">
        <v>64389.779999999948</v>
      </c>
      <c r="H331" s="5">
        <v>5637</v>
      </c>
    </row>
    <row r="332" spans="1:8">
      <c r="A332" s="5">
        <v>2021</v>
      </c>
      <c r="B332" s="6">
        <v>44228</v>
      </c>
      <c r="C332" s="5" t="s">
        <v>22</v>
      </c>
      <c r="D332" s="3" t="str" cm="1">
        <f t="array" ref="D332">_xlfn.IFS(
 ISNUMBER(SEARCH("WHISK",C332)),"Whiskey",
 ISNUMBER(SEARCH("BOURBON",C332)),"Whiskey",
 ISNUMBER(SEARCH("SCOTCH",C332)),"Whiskey",
 ISNUMBER(SEARCH("RYE",C332)),"Whiskey",
 ISNUMBER(SEARCH("VODKA",C332)),"Vodka",
 ISNUMBER(SEARCH("TEQUILA",C332)),"Tequila/Mezcal",
 ISNUMBER(SEARCH("MEZCAL",C332)),"Tequila/Mezcal",
 ISNUMBER(SEARCH("RUM",C332)),"Rum",
 ISNUMBER(SEARCH("BRAND",C332)),"Brandy",
 ISNUMBER(SEARCH("COGNAC",C332)),"Brandy",
 ISNUMBER(SEARCH("LIQUEUR",C332)),"Liqueurs",
 ISNUMBER(SEARCH("CORDIAL",C332)),"Liqueurs",
 ISNUMBER(SEARCH("SCHNAPP",C332)),"Liqueurs",
 ISNUMBER(SEARCH("GIN",C332)),"Gin",
 TRUE,"Other")</f>
        <v>Liqueurs</v>
      </c>
      <c r="E332" s="5">
        <v>31740</v>
      </c>
      <c r="F332" s="5">
        <v>651353.44999999739</v>
      </c>
      <c r="G332" s="5">
        <v>24873.969999999761</v>
      </c>
      <c r="H332" s="5">
        <v>4328</v>
      </c>
    </row>
    <row r="333" spans="1:8">
      <c r="A333" s="5">
        <v>2021</v>
      </c>
      <c r="B333" s="6">
        <v>44228</v>
      </c>
      <c r="C333" s="5" t="s">
        <v>60</v>
      </c>
      <c r="D333" s="3" t="str" cm="1">
        <f t="array" ref="D333">_xlfn.IFS(
 ISNUMBER(SEARCH("WHISK",C333)),"Whiskey",
 ISNUMBER(SEARCH("BOURBON",C333)),"Whiskey",
 ISNUMBER(SEARCH("SCOTCH",C333)),"Whiskey",
 ISNUMBER(SEARCH("RYE",C333)),"Whiskey",
 ISNUMBER(SEARCH("VODKA",C333)),"Vodka",
 ISNUMBER(SEARCH("TEQUILA",C333)),"Tequila/Mezcal",
 ISNUMBER(SEARCH("MEZCAL",C333)),"Tequila/Mezcal",
 ISNUMBER(SEARCH("RUM",C333)),"Rum",
 ISNUMBER(SEARCH("BRAND",C333)),"Brandy",
 ISNUMBER(SEARCH("COGNAC",C333)),"Brandy",
 ISNUMBER(SEARCH("LIQUEUR",C333)),"Liqueurs",
 ISNUMBER(SEARCH("CORDIAL",C333)),"Liqueurs",
 ISNUMBER(SEARCH("SCHNAPP",C333)),"Liqueurs",
 ISNUMBER(SEARCH("GIN",C333)),"Gin",
 TRUE,"Other")</f>
        <v>Liqueurs</v>
      </c>
      <c r="E333" s="5">
        <v>36716</v>
      </c>
      <c r="F333" s="5">
        <v>782162.48999999883</v>
      </c>
      <c r="G333" s="5">
        <v>24978.029999999864</v>
      </c>
      <c r="H333" s="5">
        <v>4339</v>
      </c>
    </row>
    <row r="334" spans="1:8">
      <c r="A334" s="5">
        <v>2021</v>
      </c>
      <c r="B334" s="6">
        <v>44228</v>
      </c>
      <c r="C334" s="5" t="s">
        <v>30</v>
      </c>
      <c r="D334" s="3" t="str" cm="1">
        <f t="array" ref="D334">_xlfn.IFS(
 ISNUMBER(SEARCH("WHISK",C334)),"Whiskey",
 ISNUMBER(SEARCH("BOURBON",C334)),"Whiskey",
 ISNUMBER(SEARCH("SCOTCH",C334)),"Whiskey",
 ISNUMBER(SEARCH("RYE",C334)),"Whiskey",
 ISNUMBER(SEARCH("VODKA",C334)),"Vodka",
 ISNUMBER(SEARCH("TEQUILA",C334)),"Tequila/Mezcal",
 ISNUMBER(SEARCH("MEZCAL",C334)),"Tequila/Mezcal",
 ISNUMBER(SEARCH("RUM",C334)),"Rum",
 ISNUMBER(SEARCH("BRAND",C334)),"Brandy",
 ISNUMBER(SEARCH("COGNAC",C334)),"Brandy",
 ISNUMBER(SEARCH("LIQUEUR",C334)),"Liqueurs",
 ISNUMBER(SEARCH("CORDIAL",C334)),"Liqueurs",
 ISNUMBER(SEARCH("SCHNAPP",C334)),"Liqueurs",
 ISNUMBER(SEARCH("GIN",C334)),"Gin",
 TRUE,"Other")</f>
        <v>Vodka</v>
      </c>
      <c r="E334" s="5">
        <v>22054</v>
      </c>
      <c r="F334" s="5">
        <v>369152.83000000252</v>
      </c>
      <c r="G334" s="5">
        <v>17023.920000000013</v>
      </c>
      <c r="H334" s="5">
        <v>2908</v>
      </c>
    </row>
    <row r="335" spans="1:8">
      <c r="A335" s="5">
        <v>2021</v>
      </c>
      <c r="B335" s="6">
        <v>44228</v>
      </c>
      <c r="C335" s="5" t="s">
        <v>31</v>
      </c>
      <c r="D335" s="3" t="str" cm="1">
        <f t="array" ref="D335">_xlfn.IFS(
 ISNUMBER(SEARCH("WHISK",C335)),"Whiskey",
 ISNUMBER(SEARCH("BOURBON",C335)),"Whiskey",
 ISNUMBER(SEARCH("SCOTCH",C335)),"Whiskey",
 ISNUMBER(SEARCH("RYE",C335)),"Whiskey",
 ISNUMBER(SEARCH("VODKA",C335)),"Vodka",
 ISNUMBER(SEARCH("TEQUILA",C335)),"Tequila/Mezcal",
 ISNUMBER(SEARCH("MEZCAL",C335)),"Tequila/Mezcal",
 ISNUMBER(SEARCH("RUM",C335)),"Rum",
 ISNUMBER(SEARCH("BRAND",C335)),"Brandy",
 ISNUMBER(SEARCH("COGNAC",C335)),"Brandy",
 ISNUMBER(SEARCH("LIQUEUR",C335)),"Liqueurs",
 ISNUMBER(SEARCH("CORDIAL",C335)),"Liqueurs",
 ISNUMBER(SEARCH("SCHNAPP",C335)),"Liqueurs",
 ISNUMBER(SEARCH("GIN",C335)),"Gin",
 TRUE,"Other")</f>
        <v>Liqueurs</v>
      </c>
      <c r="E335" s="5">
        <v>27410</v>
      </c>
      <c r="F335" s="5">
        <v>462207.90999999898</v>
      </c>
      <c r="G335" s="5">
        <v>24324.42999999984</v>
      </c>
      <c r="H335" s="5">
        <v>2904</v>
      </c>
    </row>
    <row r="336" spans="1:8">
      <c r="A336" s="5">
        <v>2021</v>
      </c>
      <c r="B336" s="6">
        <v>44228</v>
      </c>
      <c r="C336" s="5" t="s">
        <v>32</v>
      </c>
      <c r="D336" s="3" t="str" cm="1">
        <f t="array" ref="D336">_xlfn.IFS(
 ISNUMBER(SEARCH("WHISK",C336)),"Whiskey",
 ISNUMBER(SEARCH("BOURBON",C336)),"Whiskey",
 ISNUMBER(SEARCH("SCOTCH",C336)),"Whiskey",
 ISNUMBER(SEARCH("RYE",C336)),"Whiskey",
 ISNUMBER(SEARCH("VODKA",C336)),"Vodka",
 ISNUMBER(SEARCH("TEQUILA",C336)),"Tequila/Mezcal",
 ISNUMBER(SEARCH("MEZCAL",C336)),"Tequila/Mezcal",
 ISNUMBER(SEARCH("RUM",C336)),"Rum",
 ISNUMBER(SEARCH("BRAND",C336)),"Brandy",
 ISNUMBER(SEARCH("COGNAC",C336)),"Brandy",
 ISNUMBER(SEARCH("LIQUEUR",C336)),"Liqueurs",
 ISNUMBER(SEARCH("CORDIAL",C336)),"Liqueurs",
 ISNUMBER(SEARCH("SCHNAPP",C336)),"Liqueurs",
 ISNUMBER(SEARCH("GIN",C336)),"Gin",
 TRUE,"Other")</f>
        <v>Vodka</v>
      </c>
      <c r="E336" s="5">
        <v>57486</v>
      </c>
      <c r="F336" s="5">
        <v>986017.67999999435</v>
      </c>
      <c r="G336" s="5">
        <v>60728.300000000541</v>
      </c>
      <c r="H336" s="5">
        <v>5676</v>
      </c>
    </row>
    <row r="337" spans="1:8">
      <c r="A337" s="5">
        <v>2021</v>
      </c>
      <c r="B337" s="6">
        <v>44228</v>
      </c>
      <c r="C337" s="5" t="s">
        <v>33</v>
      </c>
      <c r="D337" s="3" t="str" cm="1">
        <f t="array" ref="D337">_xlfn.IFS(
 ISNUMBER(SEARCH("WHISK",C337)),"Whiskey",
 ISNUMBER(SEARCH("BOURBON",C337)),"Whiskey",
 ISNUMBER(SEARCH("SCOTCH",C337)),"Whiskey",
 ISNUMBER(SEARCH("RYE",C337)),"Whiskey",
 ISNUMBER(SEARCH("VODKA",C337)),"Vodka",
 ISNUMBER(SEARCH("TEQUILA",C337)),"Tequila/Mezcal",
 ISNUMBER(SEARCH("MEZCAL",C337)),"Tequila/Mezcal",
 ISNUMBER(SEARCH("RUM",C337)),"Rum",
 ISNUMBER(SEARCH("BRAND",C337)),"Brandy",
 ISNUMBER(SEARCH("COGNAC",C337)),"Brandy",
 ISNUMBER(SEARCH("LIQUEUR",C337)),"Liqueurs",
 ISNUMBER(SEARCH("CORDIAL",C337)),"Liqueurs",
 ISNUMBER(SEARCH("SCHNAPP",C337)),"Liqueurs",
 ISNUMBER(SEARCH("GIN",C337)),"Gin",
 TRUE,"Other")</f>
        <v>Whiskey</v>
      </c>
      <c r="E337" s="5">
        <v>34454</v>
      </c>
      <c r="F337" s="5">
        <v>851916.73999999219</v>
      </c>
      <c r="G337" s="5">
        <v>27562.199999999924</v>
      </c>
      <c r="H337" s="5">
        <v>2616</v>
      </c>
    </row>
    <row r="338" spans="1:8">
      <c r="A338" s="5">
        <v>2021</v>
      </c>
      <c r="B338" s="6">
        <v>44228</v>
      </c>
      <c r="C338" s="5" t="s">
        <v>38</v>
      </c>
      <c r="D338" s="3" t="str" cm="1">
        <f t="array" ref="D338">_xlfn.IFS(
 ISNUMBER(SEARCH("WHISK",C338)),"Whiskey",
 ISNUMBER(SEARCH("BOURBON",C338)),"Whiskey",
 ISNUMBER(SEARCH("SCOTCH",C338)),"Whiskey",
 ISNUMBER(SEARCH("RYE",C338)),"Whiskey",
 ISNUMBER(SEARCH("VODKA",C338)),"Vodka",
 ISNUMBER(SEARCH("TEQUILA",C338)),"Tequila/Mezcal",
 ISNUMBER(SEARCH("MEZCAL",C338)),"Tequila/Mezcal",
 ISNUMBER(SEARCH("RUM",C338)),"Rum",
 ISNUMBER(SEARCH("BRAND",C338)),"Brandy",
 ISNUMBER(SEARCH("COGNAC",C338)),"Brandy",
 ISNUMBER(SEARCH("LIQUEUR",C338)),"Liqueurs",
 ISNUMBER(SEARCH("CORDIAL",C338)),"Liqueurs",
 ISNUMBER(SEARCH("SCHNAPP",C338)),"Liqueurs",
 ISNUMBER(SEARCH("GIN",C338)),"Gin",
 TRUE,"Other")</f>
        <v>Whiskey</v>
      </c>
      <c r="E338" s="5">
        <v>14292</v>
      </c>
      <c r="F338" s="5">
        <v>358409.21000000089</v>
      </c>
      <c r="G338" s="5">
        <v>15186.769999999997</v>
      </c>
      <c r="H338" s="5">
        <v>2767</v>
      </c>
    </row>
    <row r="339" spans="1:8">
      <c r="A339" s="5">
        <v>2021</v>
      </c>
      <c r="B339" s="6">
        <v>44228</v>
      </c>
      <c r="C339" s="5" t="s">
        <v>42</v>
      </c>
      <c r="D339" s="3" t="str" cm="1">
        <f t="array" ref="D339">_xlfn.IFS(
 ISNUMBER(SEARCH("WHISK",C339)),"Whiskey",
 ISNUMBER(SEARCH("BOURBON",C339)),"Whiskey",
 ISNUMBER(SEARCH("SCOTCH",C339)),"Whiskey",
 ISNUMBER(SEARCH("RYE",C339)),"Whiskey",
 ISNUMBER(SEARCH("VODKA",C339)),"Vodka",
 ISNUMBER(SEARCH("TEQUILA",C339)),"Tequila/Mezcal",
 ISNUMBER(SEARCH("MEZCAL",C339)),"Tequila/Mezcal",
 ISNUMBER(SEARCH("RUM",C339)),"Rum",
 ISNUMBER(SEARCH("BRAND",C339)),"Brandy",
 ISNUMBER(SEARCH("COGNAC",C339)),"Brandy",
 ISNUMBER(SEARCH("LIQUEUR",C339)),"Liqueurs",
 ISNUMBER(SEARCH("CORDIAL",C339)),"Liqueurs",
 ISNUMBER(SEARCH("SCHNAPP",C339)),"Liqueurs",
 ISNUMBER(SEARCH("GIN",C339)),"Gin",
 TRUE,"Other")</f>
        <v>Rum</v>
      </c>
      <c r="E339" s="5">
        <v>102298</v>
      </c>
      <c r="F339" s="5">
        <v>1450313.1499999976</v>
      </c>
      <c r="G339" s="5">
        <v>93760.720000000496</v>
      </c>
      <c r="H339" s="5">
        <v>8714</v>
      </c>
    </row>
    <row r="340" spans="1:8">
      <c r="A340" s="5">
        <v>2021</v>
      </c>
      <c r="B340" s="6">
        <v>44228</v>
      </c>
      <c r="C340" s="5" t="s">
        <v>43</v>
      </c>
      <c r="D340" s="3" t="str" cm="1">
        <f t="array" ref="D340">_xlfn.IFS(
 ISNUMBER(SEARCH("WHISK",C340)),"Whiskey",
 ISNUMBER(SEARCH("BOURBON",C340)),"Whiskey",
 ISNUMBER(SEARCH("SCOTCH",C340)),"Whiskey",
 ISNUMBER(SEARCH("RYE",C340)),"Whiskey",
 ISNUMBER(SEARCH("VODKA",C340)),"Vodka",
 ISNUMBER(SEARCH("TEQUILA",C340)),"Tequila/Mezcal",
 ISNUMBER(SEARCH("MEZCAL",C340)),"Tequila/Mezcal",
 ISNUMBER(SEARCH("RUM",C340)),"Rum",
 ISNUMBER(SEARCH("BRAND",C340)),"Brandy",
 ISNUMBER(SEARCH("COGNAC",C340)),"Brandy",
 ISNUMBER(SEARCH("LIQUEUR",C340)),"Liqueurs",
 ISNUMBER(SEARCH("CORDIAL",C340)),"Liqueurs",
 ISNUMBER(SEARCH("SCHNAPP",C340)),"Liqueurs",
 ISNUMBER(SEARCH("GIN",C340)),"Gin",
 TRUE,"Other")</f>
        <v>Whiskey</v>
      </c>
      <c r="E340" s="5">
        <v>117733</v>
      </c>
      <c r="F340" s="5">
        <v>2319961.0500000003</v>
      </c>
      <c r="G340" s="5">
        <v>94938.63000000114</v>
      </c>
      <c r="H340" s="5">
        <v>13973</v>
      </c>
    </row>
    <row r="341" spans="1:8">
      <c r="A341" s="5">
        <v>2021</v>
      </c>
      <c r="B341" s="6">
        <v>44228</v>
      </c>
      <c r="C341" s="5" t="s">
        <v>46</v>
      </c>
      <c r="D341" s="3" t="str" cm="1">
        <f t="array" ref="D341">_xlfn.IFS(
 ISNUMBER(SEARCH("WHISK",C341)),"Whiskey",
 ISNUMBER(SEARCH("BOURBON",C341)),"Whiskey",
 ISNUMBER(SEARCH("SCOTCH",C341)),"Whiskey",
 ISNUMBER(SEARCH("RYE",C341)),"Whiskey",
 ISNUMBER(SEARCH("VODKA",C341)),"Vodka",
 ISNUMBER(SEARCH("TEQUILA",C341)),"Tequila/Mezcal",
 ISNUMBER(SEARCH("MEZCAL",C341)),"Tequila/Mezcal",
 ISNUMBER(SEARCH("RUM",C341)),"Rum",
 ISNUMBER(SEARCH("BRAND",C341)),"Brandy",
 ISNUMBER(SEARCH("COGNAC",C341)),"Brandy",
 ISNUMBER(SEARCH("LIQUEUR",C341)),"Liqueurs",
 ISNUMBER(SEARCH("CORDIAL",C341)),"Liqueurs",
 ISNUMBER(SEARCH("SCHNAPP",C341)),"Liqueurs",
 ISNUMBER(SEARCH("GIN",C341)),"Gin",
 TRUE,"Other")</f>
        <v>Whiskey</v>
      </c>
      <c r="E341" s="5">
        <v>53961</v>
      </c>
      <c r="F341" s="5">
        <v>1206158.3999999969</v>
      </c>
      <c r="G341" s="5">
        <v>39096.43999999974</v>
      </c>
      <c r="H341" s="5">
        <v>5551</v>
      </c>
    </row>
    <row r="342" spans="1:8">
      <c r="A342" s="5">
        <v>2021</v>
      </c>
      <c r="B342" s="6">
        <v>44228</v>
      </c>
      <c r="C342" s="5" t="s">
        <v>48</v>
      </c>
      <c r="D342" s="3" t="str" cm="1">
        <f t="array" ref="D342">_xlfn.IFS(
 ISNUMBER(SEARCH("WHISK",C342)),"Whiskey",
 ISNUMBER(SEARCH("BOURBON",C342)),"Whiskey",
 ISNUMBER(SEARCH("SCOTCH",C342)),"Whiskey",
 ISNUMBER(SEARCH("RYE",C342)),"Whiskey",
 ISNUMBER(SEARCH("VODKA",C342)),"Vodka",
 ISNUMBER(SEARCH("TEQUILA",C342)),"Tequila/Mezcal",
 ISNUMBER(SEARCH("MEZCAL",C342)),"Tequila/Mezcal",
 ISNUMBER(SEARCH("RUM",C342)),"Rum",
 ISNUMBER(SEARCH("BRAND",C342)),"Brandy",
 ISNUMBER(SEARCH("COGNAC",C342)),"Brandy",
 ISNUMBER(SEARCH("LIQUEUR",C342)),"Liqueurs",
 ISNUMBER(SEARCH("CORDIAL",C342)),"Liqueurs",
 ISNUMBER(SEARCH("SCHNAPP",C342)),"Liqueurs",
 ISNUMBER(SEARCH("GIN",C342)),"Gin",
 TRUE,"Other")</f>
        <v>Whiskey</v>
      </c>
      <c r="E342" s="5">
        <v>281666</v>
      </c>
      <c r="F342" s="5">
        <v>1666448.689999996</v>
      </c>
      <c r="G342" s="5">
        <v>80037.000000002052</v>
      </c>
      <c r="H342" s="5">
        <v>10367</v>
      </c>
    </row>
    <row r="343" spans="1:8">
      <c r="A343" s="5">
        <v>2021</v>
      </c>
      <c r="B343" s="6">
        <v>44228</v>
      </c>
      <c r="C343" s="5" t="s">
        <v>11</v>
      </c>
      <c r="D343" s="3" t="str" cm="1">
        <f t="array" ref="D343">_xlfn.IFS(
 ISNUMBER(SEARCH("WHISK",C343)),"Whiskey",
 ISNUMBER(SEARCH("BOURBON",C343)),"Whiskey",
 ISNUMBER(SEARCH("SCOTCH",C343)),"Whiskey",
 ISNUMBER(SEARCH("RYE",C343)),"Whiskey",
 ISNUMBER(SEARCH("VODKA",C343)),"Vodka",
 ISNUMBER(SEARCH("TEQUILA",C343)),"Tequila/Mezcal",
 ISNUMBER(SEARCH("MEZCAL",C343)),"Tequila/Mezcal",
 ISNUMBER(SEARCH("RUM",C343)),"Rum",
 ISNUMBER(SEARCH("BRAND",C343)),"Brandy",
 ISNUMBER(SEARCH("COGNAC",C343)),"Brandy",
 ISNUMBER(SEARCH("LIQUEUR",C343)),"Liqueurs",
 ISNUMBER(SEARCH("CORDIAL",C343)),"Liqueurs",
 ISNUMBER(SEARCH("SCHNAPP",C343)),"Liqueurs",
 ISNUMBER(SEARCH("GIN",C343)),"Gin",
 TRUE,"Other")</f>
        <v>Gin</v>
      </c>
      <c r="E343" s="5">
        <v>32535</v>
      </c>
      <c r="F343" s="5">
        <v>275149.78000000038</v>
      </c>
      <c r="G343" s="5">
        <v>27526.409999999891</v>
      </c>
      <c r="H343" s="5">
        <v>2896</v>
      </c>
    </row>
    <row r="344" spans="1:8">
      <c r="A344" s="5">
        <v>2021</v>
      </c>
      <c r="B344" s="6">
        <v>44228</v>
      </c>
      <c r="C344" s="5" t="s">
        <v>20</v>
      </c>
      <c r="D344" s="3" t="str" cm="1">
        <f t="array" ref="D344">_xlfn.IFS(
 ISNUMBER(SEARCH("WHISK",C344)),"Whiskey",
 ISNUMBER(SEARCH("BOURBON",C344)),"Whiskey",
 ISNUMBER(SEARCH("SCOTCH",C344)),"Whiskey",
 ISNUMBER(SEARCH("RYE",C344)),"Whiskey",
 ISNUMBER(SEARCH("VODKA",C344)),"Vodka",
 ISNUMBER(SEARCH("TEQUILA",C344)),"Tequila/Mezcal",
 ISNUMBER(SEARCH("MEZCAL",C344)),"Tequila/Mezcal",
 ISNUMBER(SEARCH("RUM",C344)),"Rum",
 ISNUMBER(SEARCH("BRAND",C344)),"Brandy",
 ISNUMBER(SEARCH("COGNAC",C344)),"Brandy",
 ISNUMBER(SEARCH("LIQUEUR",C344)),"Liqueurs",
 ISNUMBER(SEARCH("CORDIAL",C344)),"Liqueurs",
 ISNUMBER(SEARCH("SCHNAPP",C344)),"Liqueurs",
 ISNUMBER(SEARCH("GIN",C344)),"Gin",
 TRUE,"Other")</f>
        <v>Liqueurs</v>
      </c>
      <c r="E344" s="5">
        <v>7955</v>
      </c>
      <c r="F344" s="5">
        <v>148163.6400000008</v>
      </c>
      <c r="G344" s="5">
        <v>6929.23</v>
      </c>
      <c r="H344" s="5">
        <v>895</v>
      </c>
    </row>
    <row r="345" spans="1:8">
      <c r="A345" s="5">
        <v>2021</v>
      </c>
      <c r="B345" s="6">
        <v>44228</v>
      </c>
      <c r="C345" s="5" t="s">
        <v>29</v>
      </c>
      <c r="D345" s="3" t="str" cm="1">
        <f t="array" ref="D345">_xlfn.IFS(
 ISNUMBER(SEARCH("WHISK",C345)),"Whiskey",
 ISNUMBER(SEARCH("BOURBON",C345)),"Whiskey",
 ISNUMBER(SEARCH("SCOTCH",C345)),"Whiskey",
 ISNUMBER(SEARCH("RYE",C345)),"Whiskey",
 ISNUMBER(SEARCH("VODKA",C345)),"Vodka",
 ISNUMBER(SEARCH("TEQUILA",C345)),"Tequila/Mezcal",
 ISNUMBER(SEARCH("MEZCAL",C345)),"Tequila/Mezcal",
 ISNUMBER(SEARCH("RUM",C345)),"Rum",
 ISNUMBER(SEARCH("BRAND",C345)),"Brandy",
 ISNUMBER(SEARCH("COGNAC",C345)),"Brandy",
 ISNUMBER(SEARCH("LIQUEUR",C345)),"Liqueurs",
 ISNUMBER(SEARCH("CORDIAL",C345)),"Liqueurs",
 ISNUMBER(SEARCH("SCHNAPP",C345)),"Liqueurs",
 ISNUMBER(SEARCH("GIN",C345)),"Gin",
 TRUE,"Other")</f>
        <v>Gin</v>
      </c>
      <c r="E345" s="5">
        <v>12993</v>
      </c>
      <c r="F345" s="5">
        <v>321141.62000000058</v>
      </c>
      <c r="G345" s="5">
        <v>12691.410000000005</v>
      </c>
      <c r="H345" s="5">
        <v>1852</v>
      </c>
    </row>
    <row r="346" spans="1:8">
      <c r="A346" s="5">
        <v>2021</v>
      </c>
      <c r="B346" s="6">
        <v>44228</v>
      </c>
      <c r="C346" s="5" t="s">
        <v>39</v>
      </c>
      <c r="D346" s="3" t="str" cm="1">
        <f t="array" ref="D346">_xlfn.IFS(
 ISNUMBER(SEARCH("WHISK",C346)),"Whiskey",
 ISNUMBER(SEARCH("BOURBON",C346)),"Whiskey",
 ISNUMBER(SEARCH("SCOTCH",C346)),"Whiskey",
 ISNUMBER(SEARCH("RYE",C346)),"Whiskey",
 ISNUMBER(SEARCH("VODKA",C346)),"Vodka",
 ISNUMBER(SEARCH("TEQUILA",C346)),"Tequila/Mezcal",
 ISNUMBER(SEARCH("MEZCAL",C346)),"Tequila/Mezcal",
 ISNUMBER(SEARCH("RUM",C346)),"Rum",
 ISNUMBER(SEARCH("BRAND",C346)),"Brandy",
 ISNUMBER(SEARCH("COGNAC",C346)),"Brandy",
 ISNUMBER(SEARCH("LIQUEUR",C346)),"Liqueurs",
 ISNUMBER(SEARCH("CORDIAL",C346)),"Liqueurs",
 ISNUMBER(SEARCH("SCHNAPP",C346)),"Liqueurs",
 ISNUMBER(SEARCH("GIN",C346)),"Gin",
 TRUE,"Other")</f>
        <v>Whiskey</v>
      </c>
      <c r="E346" s="5">
        <v>1689</v>
      </c>
      <c r="F346" s="5">
        <v>52066.900000000242</v>
      </c>
      <c r="G346" s="5">
        <v>1266.75</v>
      </c>
      <c r="H346" s="5">
        <v>459</v>
      </c>
    </row>
    <row r="347" spans="1:8">
      <c r="A347" s="5">
        <v>2021</v>
      </c>
      <c r="B347" s="6">
        <v>44228</v>
      </c>
      <c r="C347" s="5" t="s">
        <v>44</v>
      </c>
      <c r="D347" s="3" t="str" cm="1">
        <f t="array" ref="D347">_xlfn.IFS(
 ISNUMBER(SEARCH("WHISK",C347)),"Whiskey",
 ISNUMBER(SEARCH("BOURBON",C347)),"Whiskey",
 ISNUMBER(SEARCH("SCOTCH",C347)),"Whiskey",
 ISNUMBER(SEARCH("RYE",C347)),"Whiskey",
 ISNUMBER(SEARCH("VODKA",C347)),"Vodka",
 ISNUMBER(SEARCH("TEQUILA",C347)),"Tequila/Mezcal",
 ISNUMBER(SEARCH("MEZCAL",C347)),"Tequila/Mezcal",
 ISNUMBER(SEARCH("RUM",C347)),"Rum",
 ISNUMBER(SEARCH("BRAND",C347)),"Brandy",
 ISNUMBER(SEARCH("COGNAC",C347)),"Brandy",
 ISNUMBER(SEARCH("LIQUEUR",C347)),"Liqueurs",
 ISNUMBER(SEARCH("CORDIAL",C347)),"Liqueurs",
 ISNUMBER(SEARCH("SCHNAPP",C347)),"Liqueurs",
 ISNUMBER(SEARCH("GIN",C347)),"Gin",
 TRUE,"Other")</f>
        <v>Whiskey</v>
      </c>
      <c r="E347" s="5">
        <v>9976</v>
      </c>
      <c r="F347" s="5">
        <v>319830.93000000104</v>
      </c>
      <c r="G347" s="5">
        <v>7541.7699999999995</v>
      </c>
      <c r="H347" s="5">
        <v>1822</v>
      </c>
    </row>
    <row r="348" spans="1:8">
      <c r="A348" s="5">
        <v>2021</v>
      </c>
      <c r="B348" s="6">
        <v>44228</v>
      </c>
      <c r="C348" s="5" t="s">
        <v>45</v>
      </c>
      <c r="D348" s="3" t="str" cm="1">
        <f t="array" ref="D348">_xlfn.IFS(
 ISNUMBER(SEARCH("WHISK",C348)),"Whiskey",
 ISNUMBER(SEARCH("BOURBON",C348)),"Whiskey",
 ISNUMBER(SEARCH("SCOTCH",C348)),"Whiskey",
 ISNUMBER(SEARCH("RYE",C348)),"Whiskey",
 ISNUMBER(SEARCH("VODKA",C348)),"Vodka",
 ISNUMBER(SEARCH("TEQUILA",C348)),"Tequila/Mezcal",
 ISNUMBER(SEARCH("MEZCAL",C348)),"Tequila/Mezcal",
 ISNUMBER(SEARCH("RUM",C348)),"Rum",
 ISNUMBER(SEARCH("BRAND",C348)),"Brandy",
 ISNUMBER(SEARCH("COGNAC",C348)),"Brandy",
 ISNUMBER(SEARCH("LIQUEUR",C348)),"Liqueurs",
 ISNUMBER(SEARCH("CORDIAL",C348)),"Liqueurs",
 ISNUMBER(SEARCH("SCHNAPP",C348)),"Liqueurs",
 ISNUMBER(SEARCH("GIN",C348)),"Gin",
 TRUE,"Other")</f>
        <v>Other</v>
      </c>
      <c r="E348" s="5">
        <v>7804</v>
      </c>
      <c r="F348" s="5">
        <v>145181.81999999972</v>
      </c>
      <c r="G348" s="5">
        <v>3601.07</v>
      </c>
      <c r="H348" s="5">
        <v>844</v>
      </c>
    </row>
    <row r="349" spans="1:8">
      <c r="A349" s="5">
        <v>2021</v>
      </c>
      <c r="B349" s="6">
        <v>44228</v>
      </c>
      <c r="C349" s="5" t="s">
        <v>49</v>
      </c>
      <c r="D349" s="3" t="str" cm="1">
        <f t="array" ref="D349">_xlfn.IFS(
 ISNUMBER(SEARCH("WHISK",C349)),"Whiskey",
 ISNUMBER(SEARCH("BOURBON",C349)),"Whiskey",
 ISNUMBER(SEARCH("SCOTCH",C349)),"Whiskey",
 ISNUMBER(SEARCH("RYE",C349)),"Whiskey",
 ISNUMBER(SEARCH("VODKA",C349)),"Vodka",
 ISNUMBER(SEARCH("TEQUILA",C349)),"Tequila/Mezcal",
 ISNUMBER(SEARCH("MEZCAL",C349)),"Tequila/Mezcal",
 ISNUMBER(SEARCH("RUM",C349)),"Rum",
 ISNUMBER(SEARCH("BRAND",C349)),"Brandy",
 ISNUMBER(SEARCH("COGNAC",C349)),"Brandy",
 ISNUMBER(SEARCH("LIQUEUR",C349)),"Liqueurs",
 ISNUMBER(SEARCH("CORDIAL",C349)),"Liqueurs",
 ISNUMBER(SEARCH("SCHNAPP",C349)),"Liqueurs",
 ISNUMBER(SEARCH("GIN",C349)),"Gin",
 TRUE,"Other")</f>
        <v>Rum</v>
      </c>
      <c r="E349" s="5">
        <v>40204</v>
      </c>
      <c r="F349" s="5">
        <v>461342.40999999683</v>
      </c>
      <c r="G349" s="5">
        <v>42796.189999999995</v>
      </c>
      <c r="H349" s="5">
        <v>3913</v>
      </c>
    </row>
    <row r="350" spans="1:8">
      <c r="A350" s="5">
        <v>2021</v>
      </c>
      <c r="B350" s="6">
        <v>44228</v>
      </c>
      <c r="C350" s="5" t="s">
        <v>10</v>
      </c>
      <c r="D350" s="3" t="str" cm="1">
        <f t="array" ref="D350">_xlfn.IFS(
 ISNUMBER(SEARCH("WHISK",C350)),"Whiskey",
 ISNUMBER(SEARCH("BOURBON",C350)),"Whiskey",
 ISNUMBER(SEARCH("SCOTCH",C350)),"Whiskey",
 ISNUMBER(SEARCH("RYE",C350)),"Whiskey",
 ISNUMBER(SEARCH("VODKA",C350)),"Vodka",
 ISNUMBER(SEARCH("TEQUILA",C350)),"Tequila/Mezcal",
 ISNUMBER(SEARCH("MEZCAL",C350)),"Tequila/Mezcal",
 ISNUMBER(SEARCH("RUM",C350)),"Rum",
 ISNUMBER(SEARCH("BRAND",C350)),"Brandy",
 ISNUMBER(SEARCH("COGNAC",C350)),"Brandy",
 ISNUMBER(SEARCH("LIQUEUR",C350)),"Liqueurs",
 ISNUMBER(SEARCH("CORDIAL",C350)),"Liqueurs",
 ISNUMBER(SEARCH("SCHNAPP",C350)),"Liqueurs",
 ISNUMBER(SEARCH("GIN",C350)),"Gin",
 TRUE,"Other")</f>
        <v>Other</v>
      </c>
      <c r="E350" s="5">
        <v>4419</v>
      </c>
      <c r="F350" s="5">
        <v>86629.400000000169</v>
      </c>
      <c r="G350" s="5">
        <v>3326.0500000000006</v>
      </c>
      <c r="H350" s="5">
        <v>630</v>
      </c>
    </row>
    <row r="351" spans="1:8">
      <c r="A351" s="5">
        <v>2021</v>
      </c>
      <c r="B351" s="6">
        <v>44228</v>
      </c>
      <c r="C351" s="5" t="s">
        <v>24</v>
      </c>
      <c r="D351" s="3" t="str" cm="1">
        <f t="array" ref="D351">_xlfn.IFS(
 ISNUMBER(SEARCH("WHISK",C351)),"Whiskey",
 ISNUMBER(SEARCH("BOURBON",C351)),"Whiskey",
 ISNUMBER(SEARCH("SCOTCH",C351)),"Whiskey",
 ISNUMBER(SEARCH("RYE",C351)),"Whiskey",
 ISNUMBER(SEARCH("VODKA",C351)),"Vodka",
 ISNUMBER(SEARCH("TEQUILA",C351)),"Tequila/Mezcal",
 ISNUMBER(SEARCH("MEZCAL",C351)),"Tequila/Mezcal",
 ISNUMBER(SEARCH("RUM",C351)),"Rum",
 ISNUMBER(SEARCH("BRAND",C351)),"Brandy",
 ISNUMBER(SEARCH("COGNAC",C351)),"Brandy",
 ISNUMBER(SEARCH("LIQUEUR",C351)),"Liqueurs",
 ISNUMBER(SEARCH("CORDIAL",C351)),"Liqueurs",
 ISNUMBER(SEARCH("SCHNAPP",C351)),"Liqueurs",
 ISNUMBER(SEARCH("GIN",C351)),"Gin",
 TRUE,"Other")</f>
        <v>Rum</v>
      </c>
      <c r="E351" s="5">
        <v>40872</v>
      </c>
      <c r="F351" s="5">
        <v>573521.59000000299</v>
      </c>
      <c r="G351" s="5">
        <v>37291.029999999977</v>
      </c>
      <c r="H351" s="5">
        <v>4268</v>
      </c>
    </row>
    <row r="352" spans="1:8">
      <c r="A352" s="5">
        <v>2021</v>
      </c>
      <c r="B352" s="6">
        <v>44228</v>
      </c>
      <c r="C352" s="5" t="s">
        <v>7</v>
      </c>
      <c r="D352" s="3" t="str" cm="1">
        <f t="array" ref="D352">_xlfn.IFS(
 ISNUMBER(SEARCH("WHISK",C352)),"Whiskey",
 ISNUMBER(SEARCH("BOURBON",C352)),"Whiskey",
 ISNUMBER(SEARCH("SCOTCH",C352)),"Whiskey",
 ISNUMBER(SEARCH("RYE",C352)),"Whiskey",
 ISNUMBER(SEARCH("VODKA",C352)),"Vodka",
 ISNUMBER(SEARCH("TEQUILA",C352)),"Tequila/Mezcal",
 ISNUMBER(SEARCH("MEZCAL",C352)),"Tequila/Mezcal",
 ISNUMBER(SEARCH("RUM",C352)),"Rum",
 ISNUMBER(SEARCH("BRAND",C352)),"Brandy",
 ISNUMBER(SEARCH("COGNAC",C352)),"Brandy",
 ISNUMBER(SEARCH("LIQUEUR",C352)),"Liqueurs",
 ISNUMBER(SEARCH("CORDIAL",C352)),"Liqueurs",
 ISNUMBER(SEARCH("SCHNAPP",C352)),"Liqueurs",
 ISNUMBER(SEARCH("GIN",C352)),"Gin",
 TRUE,"Other")</f>
        <v>Rum</v>
      </c>
      <c r="E352" s="5">
        <v>3780</v>
      </c>
      <c r="F352" s="5">
        <v>79576.640000000174</v>
      </c>
      <c r="G352" s="5">
        <v>3080.95</v>
      </c>
      <c r="H352" s="5">
        <v>668</v>
      </c>
    </row>
    <row r="353" spans="1:8">
      <c r="A353" s="5">
        <v>2021</v>
      </c>
      <c r="B353" s="6">
        <v>44228</v>
      </c>
      <c r="C353" s="5" t="s">
        <v>14</v>
      </c>
      <c r="D353" s="3" t="str" cm="1">
        <f t="array" ref="D353">_xlfn.IFS(
 ISNUMBER(SEARCH("WHISK",C353)),"Whiskey",
 ISNUMBER(SEARCH("BOURBON",C353)),"Whiskey",
 ISNUMBER(SEARCH("SCOTCH",C353)),"Whiskey",
 ISNUMBER(SEARCH("RYE",C353)),"Whiskey",
 ISNUMBER(SEARCH("VODKA",C353)),"Vodka",
 ISNUMBER(SEARCH("TEQUILA",C353)),"Tequila/Mezcal",
 ISNUMBER(SEARCH("MEZCAL",C353)),"Tequila/Mezcal",
 ISNUMBER(SEARCH("RUM",C353)),"Rum",
 ISNUMBER(SEARCH("BRAND",C353)),"Brandy",
 ISNUMBER(SEARCH("COGNAC",C353)),"Brandy",
 ISNUMBER(SEARCH("LIQUEUR",C353)),"Liqueurs",
 ISNUMBER(SEARCH("CORDIAL",C353)),"Liqueurs",
 ISNUMBER(SEARCH("SCHNAPP",C353)),"Liqueurs",
 ISNUMBER(SEARCH("GIN",C353)),"Gin",
 TRUE,"Other")</f>
        <v>Gin</v>
      </c>
      <c r="E353" s="5">
        <v>234</v>
      </c>
      <c r="F353" s="5">
        <v>1902.4200000000012</v>
      </c>
      <c r="G353" s="5">
        <v>234</v>
      </c>
      <c r="H353" s="5">
        <v>62</v>
      </c>
    </row>
    <row r="354" spans="1:8">
      <c r="A354" s="5">
        <v>2021</v>
      </c>
      <c r="B354" s="6">
        <v>44228</v>
      </c>
      <c r="C354" s="5" t="s">
        <v>26</v>
      </c>
      <c r="D354" s="3" t="str" cm="1">
        <f t="array" ref="D354">_xlfn.IFS(
 ISNUMBER(SEARCH("WHISK",C354)),"Whiskey",
 ISNUMBER(SEARCH("BOURBON",C354)),"Whiskey",
 ISNUMBER(SEARCH("SCOTCH",C354)),"Whiskey",
 ISNUMBER(SEARCH("RYE",C354)),"Whiskey",
 ISNUMBER(SEARCH("VODKA",C354)),"Vodka",
 ISNUMBER(SEARCH("TEQUILA",C354)),"Tequila/Mezcal",
 ISNUMBER(SEARCH("MEZCAL",C354)),"Tequila/Mezcal",
 ISNUMBER(SEARCH("RUM",C354)),"Rum",
 ISNUMBER(SEARCH("BRAND",C354)),"Brandy",
 ISNUMBER(SEARCH("COGNAC",C354)),"Brandy",
 ISNUMBER(SEARCH("LIQUEUR",C354)),"Liqueurs",
 ISNUMBER(SEARCH("CORDIAL",C354)),"Liqueurs",
 ISNUMBER(SEARCH("SCHNAPP",C354)),"Liqueurs",
 ISNUMBER(SEARCH("GIN",C354)),"Gin",
 TRUE,"Other")</f>
        <v>Brandy</v>
      </c>
      <c r="E354" s="5">
        <v>60224</v>
      </c>
      <c r="F354" s="5">
        <v>1041950.8200000096</v>
      </c>
      <c r="G354" s="5">
        <v>21603.239999999823</v>
      </c>
      <c r="H354" s="5">
        <v>3580</v>
      </c>
    </row>
    <row r="355" spans="1:8">
      <c r="A355" s="5">
        <v>2021</v>
      </c>
      <c r="B355" s="6">
        <v>44228</v>
      </c>
      <c r="C355" s="5" t="s">
        <v>35</v>
      </c>
      <c r="D355" s="3" t="str" cm="1">
        <f t="array" ref="D355">_xlfn.IFS(
 ISNUMBER(SEARCH("WHISK",C355)),"Whiskey",
 ISNUMBER(SEARCH("BOURBON",C355)),"Whiskey",
 ISNUMBER(SEARCH("SCOTCH",C355)),"Whiskey",
 ISNUMBER(SEARCH("RYE",C355)),"Whiskey",
 ISNUMBER(SEARCH("VODKA",C355)),"Vodka",
 ISNUMBER(SEARCH("TEQUILA",C355)),"Tequila/Mezcal",
 ISNUMBER(SEARCH("MEZCAL",C355)),"Tequila/Mezcal",
 ISNUMBER(SEARCH("RUM",C355)),"Rum",
 ISNUMBER(SEARCH("BRAND",C355)),"Brandy",
 ISNUMBER(SEARCH("COGNAC",C355)),"Brandy",
 ISNUMBER(SEARCH("LIQUEUR",C355)),"Liqueurs",
 ISNUMBER(SEARCH("CORDIAL",C355)),"Liqueurs",
 ISNUMBER(SEARCH("SCHNAPP",C355)),"Liqueurs",
 ISNUMBER(SEARCH("GIN",C355)),"Gin",
 TRUE,"Other")</f>
        <v>Tequila/Mezcal</v>
      </c>
      <c r="E355" s="5">
        <v>55491</v>
      </c>
      <c r="F355" s="5">
        <v>733318.50999998953</v>
      </c>
      <c r="G355" s="5">
        <v>44377.209999999963</v>
      </c>
      <c r="H355" s="5">
        <v>4009</v>
      </c>
    </row>
    <row r="356" spans="1:8">
      <c r="A356" s="5">
        <v>2021</v>
      </c>
      <c r="B356" s="6">
        <v>44228</v>
      </c>
      <c r="C356" s="5" t="s">
        <v>37</v>
      </c>
      <c r="D356" s="3" t="str" cm="1">
        <f t="array" ref="D356">_xlfn.IFS(
 ISNUMBER(SEARCH("WHISK",C356)),"Whiskey",
 ISNUMBER(SEARCH("BOURBON",C356)),"Whiskey",
 ISNUMBER(SEARCH("SCOTCH",C356)),"Whiskey",
 ISNUMBER(SEARCH("RYE",C356)),"Whiskey",
 ISNUMBER(SEARCH("VODKA",C356)),"Vodka",
 ISNUMBER(SEARCH("TEQUILA",C356)),"Tequila/Mezcal",
 ISNUMBER(SEARCH("MEZCAL",C356)),"Tequila/Mezcal",
 ISNUMBER(SEARCH("RUM",C356)),"Rum",
 ISNUMBER(SEARCH("BRAND",C356)),"Brandy",
 ISNUMBER(SEARCH("COGNAC",C356)),"Brandy",
 ISNUMBER(SEARCH("LIQUEUR",C356)),"Liqueurs",
 ISNUMBER(SEARCH("CORDIAL",C356)),"Liqueurs",
 ISNUMBER(SEARCH("SCHNAPP",C356)),"Liqueurs",
 ISNUMBER(SEARCH("GIN",C356)),"Gin",
 TRUE,"Other")</f>
        <v>Other</v>
      </c>
      <c r="E356" s="5">
        <v>4852</v>
      </c>
      <c r="F356" s="5">
        <v>77597.17</v>
      </c>
      <c r="G356" s="5">
        <v>3072.7000000000003</v>
      </c>
      <c r="H356" s="5">
        <v>890</v>
      </c>
    </row>
    <row r="357" spans="1:8">
      <c r="A357" s="5">
        <v>2021</v>
      </c>
      <c r="B357" s="6">
        <v>44228</v>
      </c>
      <c r="C357" s="5" t="s">
        <v>40</v>
      </c>
      <c r="D357" s="3" t="str" cm="1">
        <f t="array" ref="D357">_xlfn.IFS(
 ISNUMBER(SEARCH("WHISK",C357)),"Whiskey",
 ISNUMBER(SEARCH("BOURBON",C357)),"Whiskey",
 ISNUMBER(SEARCH("SCOTCH",C357)),"Whiskey",
 ISNUMBER(SEARCH("RYE",C357)),"Whiskey",
 ISNUMBER(SEARCH("VODKA",C357)),"Vodka",
 ISNUMBER(SEARCH("TEQUILA",C357)),"Tequila/Mezcal",
 ISNUMBER(SEARCH("MEZCAL",C357)),"Tequila/Mezcal",
 ISNUMBER(SEARCH("RUM",C357)),"Rum",
 ISNUMBER(SEARCH("BRAND",C357)),"Brandy",
 ISNUMBER(SEARCH("COGNAC",C357)),"Brandy",
 ISNUMBER(SEARCH("LIQUEUR",C357)),"Liqueurs",
 ISNUMBER(SEARCH("CORDIAL",C357)),"Liqueurs",
 ISNUMBER(SEARCH("SCHNAPP",C357)),"Liqueurs",
 ISNUMBER(SEARCH("GIN",C357)),"Gin",
 TRUE,"Other")</f>
        <v>Whiskey</v>
      </c>
      <c r="E357" s="5">
        <v>6199</v>
      </c>
      <c r="F357" s="5">
        <v>302092.9500000003</v>
      </c>
      <c r="G357" s="5">
        <v>4748.25</v>
      </c>
      <c r="H357" s="5">
        <v>1608</v>
      </c>
    </row>
    <row r="358" spans="1:8">
      <c r="A358" s="5">
        <v>2021</v>
      </c>
      <c r="B358" s="6">
        <v>44228</v>
      </c>
      <c r="C358" s="5" t="s">
        <v>41</v>
      </c>
      <c r="D358" s="3" t="str" cm="1">
        <f t="array" ref="D358">_xlfn.IFS(
 ISNUMBER(SEARCH("WHISK",C358)),"Whiskey",
 ISNUMBER(SEARCH("BOURBON",C358)),"Whiskey",
 ISNUMBER(SEARCH("SCOTCH",C358)),"Whiskey",
 ISNUMBER(SEARCH("RYE",C358)),"Whiskey",
 ISNUMBER(SEARCH("VODKA",C358)),"Vodka",
 ISNUMBER(SEARCH("TEQUILA",C358)),"Tequila/Mezcal",
 ISNUMBER(SEARCH("MEZCAL",C358)),"Tequila/Mezcal",
 ISNUMBER(SEARCH("RUM",C358)),"Rum",
 ISNUMBER(SEARCH("BRAND",C358)),"Brandy",
 ISNUMBER(SEARCH("COGNAC",C358)),"Brandy",
 ISNUMBER(SEARCH("LIQUEUR",C358)),"Liqueurs",
 ISNUMBER(SEARCH("CORDIAL",C358)),"Liqueurs",
 ISNUMBER(SEARCH("SCHNAPP",C358)),"Liqueurs",
 ISNUMBER(SEARCH("GIN",C358)),"Gin",
 TRUE,"Other")</f>
        <v>Other</v>
      </c>
      <c r="E358" s="5">
        <v>8326</v>
      </c>
      <c r="F358" s="5">
        <v>136310.98000000004</v>
      </c>
      <c r="G358" s="5">
        <v>10754.329999999996</v>
      </c>
      <c r="H358" s="5">
        <v>497</v>
      </c>
    </row>
    <row r="359" spans="1:8">
      <c r="A359" s="5">
        <v>2021</v>
      </c>
      <c r="B359" s="6">
        <v>44228</v>
      </c>
      <c r="C359" s="5" t="s">
        <v>47</v>
      </c>
      <c r="D359" s="3" t="str" cm="1">
        <f t="array" ref="D359">_xlfn.IFS(
 ISNUMBER(SEARCH("WHISK",C359)),"Whiskey",
 ISNUMBER(SEARCH("BOURBON",C359)),"Whiskey",
 ISNUMBER(SEARCH("SCOTCH",C359)),"Whiskey",
 ISNUMBER(SEARCH("RYE",C359)),"Whiskey",
 ISNUMBER(SEARCH("VODKA",C359)),"Vodka",
 ISNUMBER(SEARCH("TEQUILA",C359)),"Tequila/Mezcal",
 ISNUMBER(SEARCH("MEZCAL",C359)),"Tequila/Mezcal",
 ISNUMBER(SEARCH("RUM",C359)),"Rum",
 ISNUMBER(SEARCH("BRAND",C359)),"Brandy",
 ISNUMBER(SEARCH("COGNAC",C359)),"Brandy",
 ISNUMBER(SEARCH("LIQUEUR",C359)),"Liqueurs",
 ISNUMBER(SEARCH("CORDIAL",C359)),"Liqueurs",
 ISNUMBER(SEARCH("SCHNAPP",C359)),"Liqueurs",
 ISNUMBER(SEARCH("GIN",C359)),"Gin",
 TRUE,"Other")</f>
        <v>Other</v>
      </c>
      <c r="E359" s="5">
        <v>13116</v>
      </c>
      <c r="F359" s="5">
        <v>52299.099999999977</v>
      </c>
      <c r="G359" s="5">
        <v>12924</v>
      </c>
      <c r="H359" s="5">
        <v>604</v>
      </c>
    </row>
    <row r="360" spans="1:8">
      <c r="A360" s="5">
        <v>2021</v>
      </c>
      <c r="B360" s="6">
        <v>44228</v>
      </c>
      <c r="C360" s="5" t="s">
        <v>25</v>
      </c>
      <c r="D360" s="3" t="str" cm="1">
        <f t="array" ref="D360">_xlfn.IFS(
 ISNUMBER(SEARCH("WHISK",C360)),"Whiskey",
 ISNUMBER(SEARCH("BOURBON",C360)),"Whiskey",
 ISNUMBER(SEARCH("SCOTCH",C360)),"Whiskey",
 ISNUMBER(SEARCH("RYE",C360)),"Whiskey",
 ISNUMBER(SEARCH("VODKA",C360)),"Vodka",
 ISNUMBER(SEARCH("TEQUILA",C360)),"Tequila/Mezcal",
 ISNUMBER(SEARCH("MEZCAL",C360)),"Tequila/Mezcal",
 ISNUMBER(SEARCH("RUM",C360)),"Rum",
 ISNUMBER(SEARCH("BRAND",C360)),"Brandy",
 ISNUMBER(SEARCH("COGNAC",C360)),"Brandy",
 ISNUMBER(SEARCH("LIQUEUR",C360)),"Liqueurs",
 ISNUMBER(SEARCH("CORDIAL",C360)),"Liqueurs",
 ISNUMBER(SEARCH("SCHNAPP",C360)),"Liqueurs",
 ISNUMBER(SEARCH("GIN",C360)),"Gin",
 TRUE,"Other")</f>
        <v>Rum</v>
      </c>
      <c r="E360" s="5">
        <v>7634</v>
      </c>
      <c r="F360" s="5">
        <v>98033.399999999689</v>
      </c>
      <c r="G360" s="5">
        <v>8317.9300000000057</v>
      </c>
      <c r="H360" s="5">
        <v>1016</v>
      </c>
    </row>
    <row r="361" spans="1:8">
      <c r="A361" s="5">
        <v>2021</v>
      </c>
      <c r="B361" s="6">
        <v>44228</v>
      </c>
      <c r="C361" s="5" t="s">
        <v>28</v>
      </c>
      <c r="D361" s="3" t="str" cm="1">
        <f t="array" ref="D361">_xlfn.IFS(
 ISNUMBER(SEARCH("WHISK",C361)),"Whiskey",
 ISNUMBER(SEARCH("BOURBON",C361)),"Whiskey",
 ISNUMBER(SEARCH("SCOTCH",C361)),"Whiskey",
 ISNUMBER(SEARCH("RYE",C361)),"Whiskey",
 ISNUMBER(SEARCH("VODKA",C361)),"Vodka",
 ISNUMBER(SEARCH("TEQUILA",C361)),"Tequila/Mezcal",
 ISNUMBER(SEARCH("MEZCAL",C361)),"Tequila/Mezcal",
 ISNUMBER(SEARCH("RUM",C361)),"Rum",
 ISNUMBER(SEARCH("BRAND",C361)),"Brandy",
 ISNUMBER(SEARCH("COGNAC",C361)),"Brandy",
 ISNUMBER(SEARCH("LIQUEUR",C361)),"Liqueurs",
 ISNUMBER(SEARCH("CORDIAL",C361)),"Liqueurs",
 ISNUMBER(SEARCH("SCHNAPP",C361)),"Liqueurs",
 ISNUMBER(SEARCH("GIN",C361)),"Gin",
 TRUE,"Other")</f>
        <v>Other</v>
      </c>
      <c r="E361" s="5">
        <v>15645</v>
      </c>
      <c r="F361" s="5">
        <v>127121.71000000005</v>
      </c>
      <c r="G361" s="5">
        <v>15363.49</v>
      </c>
      <c r="H361" s="5">
        <v>282</v>
      </c>
    </row>
    <row r="362" spans="1:8">
      <c r="A362" s="5">
        <v>2021</v>
      </c>
      <c r="B362" s="6">
        <v>44228</v>
      </c>
      <c r="C362" s="5" t="s">
        <v>36</v>
      </c>
      <c r="D362" s="3" t="str" cm="1">
        <f t="array" ref="D362">_xlfn.IFS(
 ISNUMBER(SEARCH("WHISK",C362)),"Whiskey",
 ISNUMBER(SEARCH("BOURBON",C362)),"Whiskey",
 ISNUMBER(SEARCH("SCOTCH",C362)),"Whiskey",
 ISNUMBER(SEARCH("RYE",C362)),"Whiskey",
 ISNUMBER(SEARCH("VODKA",C362)),"Vodka",
 ISNUMBER(SEARCH("TEQUILA",C362)),"Tequila/Mezcal",
 ISNUMBER(SEARCH("MEZCAL",C362)),"Tequila/Mezcal",
 ISNUMBER(SEARCH("RUM",C362)),"Rum",
 ISNUMBER(SEARCH("BRAND",C362)),"Brandy",
 ISNUMBER(SEARCH("COGNAC",C362)),"Brandy",
 ISNUMBER(SEARCH("LIQUEUR",C362)),"Liqueurs",
 ISNUMBER(SEARCH("CORDIAL",C362)),"Liqueurs",
 ISNUMBER(SEARCH("SCHNAPP",C362)),"Liqueurs",
 ISNUMBER(SEARCH("GIN",C362)),"Gin",
 TRUE,"Other")</f>
        <v>Other</v>
      </c>
      <c r="E362" s="5">
        <v>2869</v>
      </c>
      <c r="F362" s="5">
        <v>36534.639999999985</v>
      </c>
      <c r="G362" s="5">
        <v>2257.4899999999998</v>
      </c>
      <c r="H362" s="5">
        <v>337</v>
      </c>
    </row>
    <row r="363" spans="1:8">
      <c r="A363" s="5">
        <v>2021</v>
      </c>
      <c r="B363" s="6">
        <v>44228</v>
      </c>
      <c r="C363" s="5" t="s">
        <v>17</v>
      </c>
      <c r="D363" s="3" t="str" cm="1">
        <f t="array" ref="D363">_xlfn.IFS(
 ISNUMBER(SEARCH("WHISK",C363)),"Whiskey",
 ISNUMBER(SEARCH("BOURBON",C363)),"Whiskey",
 ISNUMBER(SEARCH("SCOTCH",C363)),"Whiskey",
 ISNUMBER(SEARCH("RYE",C363)),"Whiskey",
 ISNUMBER(SEARCH("VODKA",C363)),"Vodka",
 ISNUMBER(SEARCH("TEQUILA",C363)),"Tequila/Mezcal",
 ISNUMBER(SEARCH("MEZCAL",C363)),"Tequila/Mezcal",
 ISNUMBER(SEARCH("RUM",C363)),"Rum",
 ISNUMBER(SEARCH("BRAND",C363)),"Brandy",
 ISNUMBER(SEARCH("COGNAC",C363)),"Brandy",
 ISNUMBER(SEARCH("LIQUEUR",C363)),"Liqueurs",
 ISNUMBER(SEARCH("CORDIAL",C363)),"Liqueurs",
 ISNUMBER(SEARCH("SCHNAPP",C363)),"Liqueurs",
 ISNUMBER(SEARCH("GIN",C363)),"Gin",
 TRUE,"Other")</f>
        <v>Whiskey</v>
      </c>
      <c r="E363" s="5">
        <v>2253</v>
      </c>
      <c r="F363" s="5">
        <v>54114.390000000007</v>
      </c>
      <c r="G363" s="5">
        <v>1788.75</v>
      </c>
      <c r="H363" s="5">
        <v>300</v>
      </c>
    </row>
    <row r="364" spans="1:8">
      <c r="A364" s="5">
        <v>2021</v>
      </c>
      <c r="B364" s="6">
        <v>44228</v>
      </c>
      <c r="C364" s="5" t="s">
        <v>34</v>
      </c>
      <c r="D364" s="3" t="str" cm="1">
        <f t="array" ref="D364">_xlfn.IFS(
 ISNUMBER(SEARCH("WHISK",C364)),"Whiskey",
 ISNUMBER(SEARCH("BOURBON",C364)),"Whiskey",
 ISNUMBER(SEARCH("SCOTCH",C364)),"Whiskey",
 ISNUMBER(SEARCH("RYE",C364)),"Whiskey",
 ISNUMBER(SEARCH("VODKA",C364)),"Vodka",
 ISNUMBER(SEARCH("TEQUILA",C364)),"Tequila/Mezcal",
 ISNUMBER(SEARCH("MEZCAL",C364)),"Tequila/Mezcal",
 ISNUMBER(SEARCH("RUM",C364)),"Rum",
 ISNUMBER(SEARCH("BRAND",C364)),"Brandy",
 ISNUMBER(SEARCH("COGNAC",C364)),"Brandy",
 ISNUMBER(SEARCH("LIQUEUR",C364)),"Liqueurs",
 ISNUMBER(SEARCH("CORDIAL",C364)),"Liqueurs",
 ISNUMBER(SEARCH("SCHNAPP",C364)),"Liqueurs",
 ISNUMBER(SEARCH("GIN",C364)),"Gin",
 TRUE,"Other")</f>
        <v>Tequila/Mezcal</v>
      </c>
      <c r="E364" s="5">
        <v>782</v>
      </c>
      <c r="F364" s="5">
        <v>25385.489999999983</v>
      </c>
      <c r="G364" s="5">
        <v>597.25</v>
      </c>
      <c r="H364" s="5">
        <v>160</v>
      </c>
    </row>
    <row r="365" spans="1:8">
      <c r="A365" s="5">
        <v>2021</v>
      </c>
      <c r="B365" s="6">
        <v>44228</v>
      </c>
      <c r="C365" s="5" t="s">
        <v>23</v>
      </c>
      <c r="D365" s="3" t="str" cm="1">
        <f t="array" ref="D365">_xlfn.IFS(
 ISNUMBER(SEARCH("WHISK",C365)),"Whiskey",
 ISNUMBER(SEARCH("BOURBON",C365)),"Whiskey",
 ISNUMBER(SEARCH("SCOTCH",C365)),"Whiskey",
 ISNUMBER(SEARCH("RYE",C365)),"Whiskey",
 ISNUMBER(SEARCH("VODKA",C365)),"Vodka",
 ISNUMBER(SEARCH("TEQUILA",C365)),"Tequila/Mezcal",
 ISNUMBER(SEARCH("MEZCAL",C365)),"Tequila/Mezcal",
 ISNUMBER(SEARCH("RUM",C365)),"Rum",
 ISNUMBER(SEARCH("BRAND",C365)),"Brandy",
 ISNUMBER(SEARCH("COGNAC",C365)),"Brandy",
 ISNUMBER(SEARCH("LIQUEUR",C365)),"Liqueurs",
 ISNUMBER(SEARCH("CORDIAL",C365)),"Liqueurs",
 ISNUMBER(SEARCH("SCHNAPP",C365)),"Liqueurs",
 ISNUMBER(SEARCH("GIN",C365)),"Gin",
 TRUE,"Other")</f>
        <v>Gin</v>
      </c>
      <c r="E365" s="5">
        <v>3465</v>
      </c>
      <c r="F365" s="5">
        <v>71417.939999999886</v>
      </c>
      <c r="G365" s="5">
        <v>2287.9499999999989</v>
      </c>
      <c r="H365" s="5">
        <v>401</v>
      </c>
    </row>
    <row r="366" spans="1:8">
      <c r="A366" s="5">
        <v>2021</v>
      </c>
      <c r="B366" s="6">
        <v>44228</v>
      </c>
      <c r="C366" s="5" t="s">
        <v>21</v>
      </c>
      <c r="D366" s="3" t="str" cm="1">
        <f t="array" ref="D366">_xlfn.IFS(
 ISNUMBER(SEARCH("WHISK",C366)),"Whiskey",
 ISNUMBER(SEARCH("BOURBON",C366)),"Whiskey",
 ISNUMBER(SEARCH("SCOTCH",C366)),"Whiskey",
 ISNUMBER(SEARCH("RYE",C366)),"Whiskey",
 ISNUMBER(SEARCH("VODKA",C366)),"Vodka",
 ISNUMBER(SEARCH("TEQUILA",C366)),"Tequila/Mezcal",
 ISNUMBER(SEARCH("MEZCAL",C366)),"Tequila/Mezcal",
 ISNUMBER(SEARCH("RUM",C366)),"Rum",
 ISNUMBER(SEARCH("BRAND",C366)),"Brandy",
 ISNUMBER(SEARCH("COGNAC",C366)),"Brandy",
 ISNUMBER(SEARCH("LIQUEUR",C366)),"Liqueurs",
 ISNUMBER(SEARCH("CORDIAL",C366)),"Liqueurs",
 ISNUMBER(SEARCH("SCHNAPP",C366)),"Liqueurs",
 ISNUMBER(SEARCH("GIN",C366)),"Gin",
 TRUE,"Other")</f>
        <v>Whiskey</v>
      </c>
      <c r="E366" s="5">
        <v>718</v>
      </c>
      <c r="F366" s="5">
        <v>22914.420000000002</v>
      </c>
      <c r="G366" s="5">
        <v>538.5</v>
      </c>
      <c r="H366" s="5">
        <v>123</v>
      </c>
    </row>
    <row r="367" spans="1:8">
      <c r="A367" s="5">
        <v>2021</v>
      </c>
      <c r="B367" s="6">
        <v>44228</v>
      </c>
      <c r="C367" s="5" t="s">
        <v>52</v>
      </c>
      <c r="D367" s="3" t="str" cm="1">
        <f t="array" ref="D367">_xlfn.IFS(
 ISNUMBER(SEARCH("WHISK",C367)),"Whiskey",
 ISNUMBER(SEARCH("BOURBON",C367)),"Whiskey",
 ISNUMBER(SEARCH("SCOTCH",C367)),"Whiskey",
 ISNUMBER(SEARCH("RYE",C367)),"Whiskey",
 ISNUMBER(SEARCH("VODKA",C367)),"Vodka",
 ISNUMBER(SEARCH("TEQUILA",C367)),"Tequila/Mezcal",
 ISNUMBER(SEARCH("MEZCAL",C367)),"Tequila/Mezcal",
 ISNUMBER(SEARCH("RUM",C367)),"Rum",
 ISNUMBER(SEARCH("BRAND",C367)),"Brandy",
 ISNUMBER(SEARCH("COGNAC",C367)),"Brandy",
 ISNUMBER(SEARCH("LIQUEUR",C367)),"Liqueurs",
 ISNUMBER(SEARCH("CORDIAL",C367)),"Liqueurs",
 ISNUMBER(SEARCH("SCHNAPP",C367)),"Liqueurs",
 ISNUMBER(SEARCH("GIN",C367)),"Gin",
 TRUE,"Other")</f>
        <v>Gin</v>
      </c>
      <c r="E367" s="5">
        <v>12</v>
      </c>
      <c r="F367" s="5">
        <v>265.56</v>
      </c>
      <c r="G367" s="5">
        <v>9</v>
      </c>
      <c r="H367" s="5">
        <v>1</v>
      </c>
    </row>
    <row r="368" spans="1:8">
      <c r="A368" s="5">
        <v>2021</v>
      </c>
      <c r="B368" s="6">
        <v>44228</v>
      </c>
      <c r="C368" s="5" t="s">
        <v>51</v>
      </c>
      <c r="D368" s="3" t="str" cm="1">
        <f t="array" ref="D368">_xlfn.IFS(
 ISNUMBER(SEARCH("WHISK",C368)),"Whiskey",
 ISNUMBER(SEARCH("BOURBON",C368)),"Whiskey",
 ISNUMBER(SEARCH("SCOTCH",C368)),"Whiskey",
 ISNUMBER(SEARCH("RYE",C368)),"Whiskey",
 ISNUMBER(SEARCH("VODKA",C368)),"Vodka",
 ISNUMBER(SEARCH("TEQUILA",C368)),"Tequila/Mezcal",
 ISNUMBER(SEARCH("MEZCAL",C368)),"Tequila/Mezcal",
 ISNUMBER(SEARCH("RUM",C368)),"Rum",
 ISNUMBER(SEARCH("BRAND",C368)),"Brandy",
 ISNUMBER(SEARCH("COGNAC",C368)),"Brandy",
 ISNUMBER(SEARCH("LIQUEUR",C368)),"Liqueurs",
 ISNUMBER(SEARCH("CORDIAL",C368)),"Liqueurs",
 ISNUMBER(SEARCH("SCHNAPP",C368)),"Liqueurs",
 ISNUMBER(SEARCH("GIN",C368)),"Gin",
 TRUE,"Other")</f>
        <v>Other</v>
      </c>
      <c r="E368" s="5">
        <v>87</v>
      </c>
      <c r="F368" s="5">
        <v>3045</v>
      </c>
      <c r="G368" s="5">
        <v>65.25</v>
      </c>
      <c r="H368" s="5">
        <v>19</v>
      </c>
    </row>
    <row r="369" spans="1:8">
      <c r="A369" s="5">
        <v>2021</v>
      </c>
      <c r="B369" s="6">
        <v>44228</v>
      </c>
      <c r="C369" s="5" t="s">
        <v>54</v>
      </c>
      <c r="D369" s="3" t="str" cm="1">
        <f t="array" ref="D369">_xlfn.IFS(
 ISNUMBER(SEARCH("WHISK",C369)),"Whiskey",
 ISNUMBER(SEARCH("BOURBON",C369)),"Whiskey",
 ISNUMBER(SEARCH("SCOTCH",C369)),"Whiskey",
 ISNUMBER(SEARCH("RYE",C369)),"Whiskey",
 ISNUMBER(SEARCH("VODKA",C369)),"Vodka",
 ISNUMBER(SEARCH("TEQUILA",C369)),"Tequila/Mezcal",
 ISNUMBER(SEARCH("MEZCAL",C369)),"Tequila/Mezcal",
 ISNUMBER(SEARCH("RUM",C369)),"Rum",
 ISNUMBER(SEARCH("BRAND",C369)),"Brandy",
 ISNUMBER(SEARCH("COGNAC",C369)),"Brandy",
 ISNUMBER(SEARCH("LIQUEUR",C369)),"Liqueurs",
 ISNUMBER(SEARCH("CORDIAL",C369)),"Liqueurs",
 ISNUMBER(SEARCH("SCHNAPP",C369)),"Liqueurs",
 ISNUMBER(SEARCH("GIN",C369)),"Gin",
 TRUE,"Other")</f>
        <v>Whiskey</v>
      </c>
      <c r="E369" s="5">
        <v>36</v>
      </c>
      <c r="F369" s="5">
        <v>3127.68</v>
      </c>
      <c r="G369" s="5">
        <v>27</v>
      </c>
      <c r="H369" s="5">
        <v>6</v>
      </c>
    </row>
    <row r="370" spans="1:8">
      <c r="A370" s="5">
        <v>2021</v>
      </c>
      <c r="B370" s="6">
        <v>44256</v>
      </c>
      <c r="C370" s="5" t="s">
        <v>8</v>
      </c>
      <c r="D370" s="3" t="str" cm="1">
        <f t="array" ref="D370">_xlfn.IFS(
 ISNUMBER(SEARCH("WHISK",C370)),"Whiskey",
 ISNUMBER(SEARCH("BOURBON",C370)),"Whiskey",
 ISNUMBER(SEARCH("SCOTCH",C370)),"Whiskey",
 ISNUMBER(SEARCH("RYE",C370)),"Whiskey",
 ISNUMBER(SEARCH("VODKA",C370)),"Vodka",
 ISNUMBER(SEARCH("TEQUILA",C370)),"Tequila/Mezcal",
 ISNUMBER(SEARCH("MEZCAL",C370)),"Tequila/Mezcal",
 ISNUMBER(SEARCH("RUM",C370)),"Rum",
 ISNUMBER(SEARCH("BRAND",C370)),"Brandy",
 ISNUMBER(SEARCH("COGNAC",C370)),"Brandy",
 ISNUMBER(SEARCH("LIQUEUR",C370)),"Liqueurs",
 ISNUMBER(SEARCH("CORDIAL",C370)),"Liqueurs",
 ISNUMBER(SEARCH("SCHNAPP",C370)),"Liqueurs",
 ISNUMBER(SEARCH("GIN",C370)),"Gin",
 TRUE,"Other")</f>
        <v>Brandy</v>
      </c>
      <c r="E370" s="5">
        <v>61001</v>
      </c>
      <c r="F370" s="5">
        <v>416871.13000000047</v>
      </c>
      <c r="G370" s="5">
        <v>33535.709999999672</v>
      </c>
      <c r="H370" s="5">
        <v>5765</v>
      </c>
    </row>
    <row r="371" spans="1:8">
      <c r="A371" s="5">
        <v>2021</v>
      </c>
      <c r="B371" s="6">
        <v>44256</v>
      </c>
      <c r="C371" s="5" t="s">
        <v>59</v>
      </c>
      <c r="D371" s="3" t="str" cm="1">
        <f t="array" ref="D371">_xlfn.IFS(
 ISNUMBER(SEARCH("WHISK",C371)),"Whiskey",
 ISNUMBER(SEARCH("BOURBON",C371)),"Whiskey",
 ISNUMBER(SEARCH("SCOTCH",C371)),"Whiskey",
 ISNUMBER(SEARCH("RYE",C371)),"Whiskey",
 ISNUMBER(SEARCH("VODKA",C371)),"Vodka",
 ISNUMBER(SEARCH("TEQUILA",C371)),"Tequila/Mezcal",
 ISNUMBER(SEARCH("MEZCAL",C371)),"Tequila/Mezcal",
 ISNUMBER(SEARCH("RUM",C371)),"Rum",
 ISNUMBER(SEARCH("BRAND",C371)),"Brandy",
 ISNUMBER(SEARCH("COGNAC",C371)),"Brandy",
 ISNUMBER(SEARCH("LIQUEUR",C371)),"Liqueurs",
 ISNUMBER(SEARCH("CORDIAL",C371)),"Liqueurs",
 ISNUMBER(SEARCH("SCHNAPP",C371)),"Liqueurs",
 ISNUMBER(SEARCH("GIN",C371)),"Gin",
 TRUE,"Other")</f>
        <v>Liqueurs</v>
      </c>
      <c r="E371" s="5">
        <v>43829</v>
      </c>
      <c r="F371" s="5">
        <v>367350.52000000532</v>
      </c>
      <c r="G371" s="5">
        <v>23286.39999999939</v>
      </c>
      <c r="H371" s="5">
        <v>5888</v>
      </c>
    </row>
    <row r="372" spans="1:8">
      <c r="A372" s="5">
        <v>2021</v>
      </c>
      <c r="B372" s="6">
        <v>44256</v>
      </c>
      <c r="C372" s="5" t="s">
        <v>12</v>
      </c>
      <c r="D372" s="3" t="str" cm="1">
        <f t="array" ref="D372">_xlfn.IFS(
 ISNUMBER(SEARCH("WHISK",C372)),"Whiskey",
 ISNUMBER(SEARCH("BOURBON",C372)),"Whiskey",
 ISNUMBER(SEARCH("SCOTCH",C372)),"Whiskey",
 ISNUMBER(SEARCH("RYE",C372)),"Whiskey",
 ISNUMBER(SEARCH("VODKA",C372)),"Vodka",
 ISNUMBER(SEARCH("TEQUILA",C372)),"Tequila/Mezcal",
 ISNUMBER(SEARCH("MEZCAL",C372)),"Tequila/Mezcal",
 ISNUMBER(SEARCH("RUM",C372)),"Rum",
 ISNUMBER(SEARCH("BRAND",C372)),"Brandy",
 ISNUMBER(SEARCH("COGNAC",C372)),"Brandy",
 ISNUMBER(SEARCH("LIQUEUR",C372)),"Liqueurs",
 ISNUMBER(SEARCH("CORDIAL",C372)),"Liqueurs",
 ISNUMBER(SEARCH("SCHNAPP",C372)),"Liqueurs",
 ISNUMBER(SEARCH("GIN",C372)),"Gin",
 TRUE,"Other")</f>
        <v>Vodka</v>
      </c>
      <c r="E372" s="5">
        <v>86618</v>
      </c>
      <c r="F372" s="5">
        <v>917113.57000003639</v>
      </c>
      <c r="G372" s="5">
        <v>63065.070000000349</v>
      </c>
      <c r="H372" s="5">
        <v>10147</v>
      </c>
    </row>
    <row r="373" spans="1:8">
      <c r="A373" s="5">
        <v>2021</v>
      </c>
      <c r="B373" s="6">
        <v>44256</v>
      </c>
      <c r="C373" s="5" t="s">
        <v>13</v>
      </c>
      <c r="D373" s="3" t="str" cm="1">
        <f t="array" ref="D373">_xlfn.IFS(
 ISNUMBER(SEARCH("WHISK",C373)),"Whiskey",
 ISNUMBER(SEARCH("BOURBON",C373)),"Whiskey",
 ISNUMBER(SEARCH("SCOTCH",C373)),"Whiskey",
 ISNUMBER(SEARCH("RYE",C373)),"Whiskey",
 ISNUMBER(SEARCH("VODKA",C373)),"Vodka",
 ISNUMBER(SEARCH("TEQUILA",C373)),"Tequila/Mezcal",
 ISNUMBER(SEARCH("MEZCAL",C373)),"Tequila/Mezcal",
 ISNUMBER(SEARCH("RUM",C373)),"Rum",
 ISNUMBER(SEARCH("BRAND",C373)),"Brandy",
 ISNUMBER(SEARCH("COGNAC",C373)),"Brandy",
 ISNUMBER(SEARCH("LIQUEUR",C373)),"Liqueurs",
 ISNUMBER(SEARCH("CORDIAL",C373)),"Liqueurs",
 ISNUMBER(SEARCH("SCHNAPP",C373)),"Liqueurs",
 ISNUMBER(SEARCH("GIN",C373)),"Gin",
 TRUE,"Other")</f>
        <v>Liqueurs</v>
      </c>
      <c r="E373" s="5">
        <v>70475</v>
      </c>
      <c r="F373" s="5">
        <v>587768.81999998714</v>
      </c>
      <c r="G373" s="5">
        <v>47596.500000000167</v>
      </c>
      <c r="H373" s="5">
        <v>7372</v>
      </c>
    </row>
    <row r="374" spans="1:8">
      <c r="A374" s="5">
        <v>2021</v>
      </c>
      <c r="B374" s="6">
        <v>44256</v>
      </c>
      <c r="C374" s="5" t="s">
        <v>15</v>
      </c>
      <c r="D374" s="3" t="str" cm="1">
        <f t="array" ref="D374">_xlfn.IFS(
 ISNUMBER(SEARCH("WHISK",C374)),"Whiskey",
 ISNUMBER(SEARCH("BOURBON",C374)),"Whiskey",
 ISNUMBER(SEARCH("SCOTCH",C374)),"Whiskey",
 ISNUMBER(SEARCH("RYE",C374)),"Whiskey",
 ISNUMBER(SEARCH("VODKA",C374)),"Vodka",
 ISNUMBER(SEARCH("TEQUILA",C374)),"Tequila/Mezcal",
 ISNUMBER(SEARCH("MEZCAL",C374)),"Tequila/Mezcal",
 ISNUMBER(SEARCH("RUM",C374)),"Rum",
 ISNUMBER(SEARCH("BRAND",C374)),"Brandy",
 ISNUMBER(SEARCH("COGNAC",C374)),"Brandy",
 ISNUMBER(SEARCH("LIQUEUR",C374)),"Liqueurs",
 ISNUMBER(SEARCH("CORDIAL",C374)),"Liqueurs",
 ISNUMBER(SEARCH("SCHNAPP",C374)),"Liqueurs",
 ISNUMBER(SEARCH("GIN",C374)),"Gin",
 TRUE,"Other")</f>
        <v>Vodka</v>
      </c>
      <c r="E374" s="5">
        <v>512004</v>
      </c>
      <c r="F374" s="5">
        <v>4858631.9999998147</v>
      </c>
      <c r="G374" s="5">
        <v>468358.35999997961</v>
      </c>
      <c r="H374" s="5">
        <v>33214</v>
      </c>
    </row>
    <row r="375" spans="1:8">
      <c r="A375" s="5">
        <v>2021</v>
      </c>
      <c r="B375" s="6">
        <v>44256</v>
      </c>
      <c r="C375" s="5" t="s">
        <v>16</v>
      </c>
      <c r="D375" s="3" t="str" cm="1">
        <f t="array" ref="D375">_xlfn.IFS(
 ISNUMBER(SEARCH("WHISK",C375)),"Whiskey",
 ISNUMBER(SEARCH("BOURBON",C375)),"Whiskey",
 ISNUMBER(SEARCH("SCOTCH",C375)),"Whiskey",
 ISNUMBER(SEARCH("RYE",C375)),"Whiskey",
 ISNUMBER(SEARCH("VODKA",C375)),"Vodka",
 ISNUMBER(SEARCH("TEQUILA",C375)),"Tequila/Mezcal",
 ISNUMBER(SEARCH("MEZCAL",C375)),"Tequila/Mezcal",
 ISNUMBER(SEARCH("RUM",C375)),"Rum",
 ISNUMBER(SEARCH("BRAND",C375)),"Brandy",
 ISNUMBER(SEARCH("COGNAC",C375)),"Brandy",
 ISNUMBER(SEARCH("LIQUEUR",C375)),"Liqueurs",
 ISNUMBER(SEARCH("CORDIAL",C375)),"Liqueurs",
 ISNUMBER(SEARCH("SCHNAPP",C375)),"Liqueurs",
 ISNUMBER(SEARCH("GIN",C375)),"Gin",
 TRUE,"Other")</f>
        <v>Whiskey</v>
      </c>
      <c r="E375" s="5">
        <v>86277</v>
      </c>
      <c r="F375" s="5">
        <v>1055597.2899999968</v>
      </c>
      <c r="G375" s="5">
        <v>73879.700000000608</v>
      </c>
      <c r="H375" s="5">
        <v>9786</v>
      </c>
    </row>
    <row r="376" spans="1:8">
      <c r="A376" s="5">
        <v>2021</v>
      </c>
      <c r="B376" s="6">
        <v>44256</v>
      </c>
      <c r="C376" s="5" t="s">
        <v>17</v>
      </c>
      <c r="D376" s="3" t="str" cm="1">
        <f t="array" ref="D376">_xlfn.IFS(
 ISNUMBER(SEARCH("WHISK",C376)),"Whiskey",
 ISNUMBER(SEARCH("BOURBON",C376)),"Whiskey",
 ISNUMBER(SEARCH("SCOTCH",C376)),"Whiskey",
 ISNUMBER(SEARCH("RYE",C376)),"Whiskey",
 ISNUMBER(SEARCH("VODKA",C376)),"Vodka",
 ISNUMBER(SEARCH("TEQUILA",C376)),"Tequila/Mezcal",
 ISNUMBER(SEARCH("MEZCAL",C376)),"Tequila/Mezcal",
 ISNUMBER(SEARCH("RUM",C376)),"Rum",
 ISNUMBER(SEARCH("BRAND",C376)),"Brandy",
 ISNUMBER(SEARCH("COGNAC",C376)),"Brandy",
 ISNUMBER(SEARCH("LIQUEUR",C376)),"Liqueurs",
 ISNUMBER(SEARCH("CORDIAL",C376)),"Liqueurs",
 ISNUMBER(SEARCH("SCHNAPP",C376)),"Liqueurs",
 ISNUMBER(SEARCH("GIN",C376)),"Gin",
 TRUE,"Other")</f>
        <v>Whiskey</v>
      </c>
      <c r="E376" s="5">
        <v>3252</v>
      </c>
      <c r="F376" s="5">
        <v>75613.440000000031</v>
      </c>
      <c r="G376" s="5">
        <v>2712</v>
      </c>
      <c r="H376" s="5">
        <v>329</v>
      </c>
    </row>
    <row r="377" spans="1:8">
      <c r="A377" s="5">
        <v>2021</v>
      </c>
      <c r="B377" s="6">
        <v>44256</v>
      </c>
      <c r="C377" s="5" t="s">
        <v>18</v>
      </c>
      <c r="D377" s="3" t="str" cm="1">
        <f t="array" ref="D377">_xlfn.IFS(
 ISNUMBER(SEARCH("WHISK",C377)),"Whiskey",
 ISNUMBER(SEARCH("BOURBON",C377)),"Whiskey",
 ISNUMBER(SEARCH("SCOTCH",C377)),"Whiskey",
 ISNUMBER(SEARCH("RYE",C377)),"Whiskey",
 ISNUMBER(SEARCH("VODKA",C377)),"Vodka",
 ISNUMBER(SEARCH("TEQUILA",C377)),"Tequila/Mezcal",
 ISNUMBER(SEARCH("MEZCAL",C377)),"Tequila/Mezcal",
 ISNUMBER(SEARCH("RUM",C377)),"Rum",
 ISNUMBER(SEARCH("BRAND",C377)),"Brandy",
 ISNUMBER(SEARCH("COGNAC",C377)),"Brandy",
 ISNUMBER(SEARCH("LIQUEUR",C377)),"Liqueurs",
 ISNUMBER(SEARCH("CORDIAL",C377)),"Liqueurs",
 ISNUMBER(SEARCH("SCHNAPP",C377)),"Liqueurs",
 ISNUMBER(SEARCH("GIN",C377)),"Gin",
 TRUE,"Other")</f>
        <v>Whiskey</v>
      </c>
      <c r="E377" s="5">
        <v>269637</v>
      </c>
      <c r="F377" s="5">
        <v>4241741.7700002836</v>
      </c>
      <c r="G377" s="5">
        <v>241702.81999999625</v>
      </c>
      <c r="H377" s="5">
        <v>23462</v>
      </c>
    </row>
    <row r="378" spans="1:8">
      <c r="A378" s="5">
        <v>2021</v>
      </c>
      <c r="B378" s="6">
        <v>44256</v>
      </c>
      <c r="C378" s="5" t="s">
        <v>19</v>
      </c>
      <c r="D378" s="3" t="str" cm="1">
        <f t="array" ref="D378">_xlfn.IFS(
 ISNUMBER(SEARCH("WHISK",C378)),"Whiskey",
 ISNUMBER(SEARCH("BOURBON",C378)),"Whiskey",
 ISNUMBER(SEARCH("SCOTCH",C378)),"Whiskey",
 ISNUMBER(SEARCH("RYE",C378)),"Whiskey",
 ISNUMBER(SEARCH("VODKA",C378)),"Vodka",
 ISNUMBER(SEARCH("TEQUILA",C378)),"Tequila/Mezcal",
 ISNUMBER(SEARCH("MEZCAL",C378)),"Tequila/Mezcal",
 ISNUMBER(SEARCH("RUM",C378)),"Rum",
 ISNUMBER(SEARCH("BRAND",C378)),"Brandy",
 ISNUMBER(SEARCH("COGNAC",C378)),"Brandy",
 ISNUMBER(SEARCH("LIQUEUR",C378)),"Liqueurs",
 ISNUMBER(SEARCH("CORDIAL",C378)),"Liqueurs",
 ISNUMBER(SEARCH("SCHNAPP",C378)),"Liqueurs",
 ISNUMBER(SEARCH("GIN",C378)),"Gin",
 TRUE,"Other")</f>
        <v>Other</v>
      </c>
      <c r="E378" s="5">
        <v>86098</v>
      </c>
      <c r="F378" s="5">
        <v>856466.89999999339</v>
      </c>
      <c r="G378" s="5">
        <v>117905.68999999968</v>
      </c>
      <c r="H378" s="5">
        <v>7785</v>
      </c>
    </row>
    <row r="379" spans="1:8">
      <c r="A379" s="5">
        <v>2021</v>
      </c>
      <c r="B379" s="6">
        <v>44256</v>
      </c>
      <c r="C379" s="5" t="s">
        <v>20</v>
      </c>
      <c r="D379" s="3" t="str" cm="1">
        <f t="array" ref="D379">_xlfn.IFS(
 ISNUMBER(SEARCH("WHISK",C379)),"Whiskey",
 ISNUMBER(SEARCH("BOURBON",C379)),"Whiskey",
 ISNUMBER(SEARCH("SCOTCH",C379)),"Whiskey",
 ISNUMBER(SEARCH("RYE",C379)),"Whiskey",
 ISNUMBER(SEARCH("VODKA",C379)),"Vodka",
 ISNUMBER(SEARCH("TEQUILA",C379)),"Tequila/Mezcal",
 ISNUMBER(SEARCH("MEZCAL",C379)),"Tequila/Mezcal",
 ISNUMBER(SEARCH("RUM",C379)),"Rum",
 ISNUMBER(SEARCH("BRAND",C379)),"Brandy",
 ISNUMBER(SEARCH("COGNAC",C379)),"Brandy",
 ISNUMBER(SEARCH("LIQUEUR",C379)),"Liqueurs",
 ISNUMBER(SEARCH("CORDIAL",C379)),"Liqueurs",
 ISNUMBER(SEARCH("SCHNAPP",C379)),"Liqueurs",
 ISNUMBER(SEARCH("GIN",C379)),"Gin",
 TRUE,"Other")</f>
        <v>Liqueurs</v>
      </c>
      <c r="E379" s="5">
        <v>8227</v>
      </c>
      <c r="F379" s="5">
        <v>151893.47000000117</v>
      </c>
      <c r="G379" s="5">
        <v>7033.9099999999953</v>
      </c>
      <c r="H379" s="5">
        <v>1026</v>
      </c>
    </row>
    <row r="380" spans="1:8">
      <c r="A380" s="5">
        <v>2021</v>
      </c>
      <c r="B380" s="6">
        <v>44256</v>
      </c>
      <c r="C380" s="5" t="s">
        <v>21</v>
      </c>
      <c r="D380" s="3" t="str" cm="1">
        <f t="array" ref="D380">_xlfn.IFS(
 ISNUMBER(SEARCH("WHISK",C380)),"Whiskey",
 ISNUMBER(SEARCH("BOURBON",C380)),"Whiskey",
 ISNUMBER(SEARCH("SCOTCH",C380)),"Whiskey",
 ISNUMBER(SEARCH("RYE",C380)),"Whiskey",
 ISNUMBER(SEARCH("VODKA",C380)),"Vodka",
 ISNUMBER(SEARCH("TEQUILA",C380)),"Tequila/Mezcal",
 ISNUMBER(SEARCH("MEZCAL",C380)),"Tequila/Mezcal",
 ISNUMBER(SEARCH("RUM",C380)),"Rum",
 ISNUMBER(SEARCH("BRAND",C380)),"Brandy",
 ISNUMBER(SEARCH("COGNAC",C380)),"Brandy",
 ISNUMBER(SEARCH("LIQUEUR",C380)),"Liqueurs",
 ISNUMBER(SEARCH("CORDIAL",C380)),"Liqueurs",
 ISNUMBER(SEARCH("SCHNAPP",C380)),"Liqueurs",
 ISNUMBER(SEARCH("GIN",C380)),"Gin",
 TRUE,"Other")</f>
        <v>Whiskey</v>
      </c>
      <c r="E380" s="5">
        <v>868</v>
      </c>
      <c r="F380" s="5">
        <v>26716.429999999993</v>
      </c>
      <c r="G380" s="5">
        <v>651</v>
      </c>
      <c r="H380" s="5">
        <v>123</v>
      </c>
    </row>
    <row r="381" spans="1:8">
      <c r="A381" s="5">
        <v>2021</v>
      </c>
      <c r="B381" s="6">
        <v>44256</v>
      </c>
      <c r="C381" s="5" t="s">
        <v>22</v>
      </c>
      <c r="D381" s="3" t="str" cm="1">
        <f t="array" ref="D381">_xlfn.IFS(
 ISNUMBER(SEARCH("WHISK",C381)),"Whiskey",
 ISNUMBER(SEARCH("BOURBON",C381)),"Whiskey",
 ISNUMBER(SEARCH("SCOTCH",C381)),"Whiskey",
 ISNUMBER(SEARCH("RYE",C381)),"Whiskey",
 ISNUMBER(SEARCH("VODKA",C381)),"Vodka",
 ISNUMBER(SEARCH("TEQUILA",C381)),"Tequila/Mezcal",
 ISNUMBER(SEARCH("MEZCAL",C381)),"Tequila/Mezcal",
 ISNUMBER(SEARCH("RUM",C381)),"Rum",
 ISNUMBER(SEARCH("BRAND",C381)),"Brandy",
 ISNUMBER(SEARCH("COGNAC",C381)),"Brandy",
 ISNUMBER(SEARCH("LIQUEUR",C381)),"Liqueurs",
 ISNUMBER(SEARCH("CORDIAL",C381)),"Liqueurs",
 ISNUMBER(SEARCH("SCHNAPP",C381)),"Liqueurs",
 ISNUMBER(SEARCH("GIN",C381)),"Gin",
 TRUE,"Other")</f>
        <v>Liqueurs</v>
      </c>
      <c r="E381" s="5">
        <v>36051</v>
      </c>
      <c r="F381" s="5">
        <v>712736.77999999747</v>
      </c>
      <c r="G381" s="5">
        <v>29238.339999999625</v>
      </c>
      <c r="H381" s="5">
        <v>4940</v>
      </c>
    </row>
    <row r="382" spans="1:8">
      <c r="A382" s="5">
        <v>2021</v>
      </c>
      <c r="B382" s="6">
        <v>44256</v>
      </c>
      <c r="C382" s="5" t="s">
        <v>24</v>
      </c>
      <c r="D382" s="3" t="str" cm="1">
        <f t="array" ref="D382">_xlfn.IFS(
 ISNUMBER(SEARCH("WHISK",C382)),"Whiskey",
 ISNUMBER(SEARCH("BOURBON",C382)),"Whiskey",
 ISNUMBER(SEARCH("SCOTCH",C382)),"Whiskey",
 ISNUMBER(SEARCH("RYE",C382)),"Whiskey",
 ISNUMBER(SEARCH("VODKA",C382)),"Vodka",
 ISNUMBER(SEARCH("TEQUILA",C382)),"Tequila/Mezcal",
 ISNUMBER(SEARCH("MEZCAL",C382)),"Tequila/Mezcal",
 ISNUMBER(SEARCH("RUM",C382)),"Rum",
 ISNUMBER(SEARCH("BRAND",C382)),"Brandy",
 ISNUMBER(SEARCH("COGNAC",C382)),"Brandy",
 ISNUMBER(SEARCH("LIQUEUR",C382)),"Liqueurs",
 ISNUMBER(SEARCH("CORDIAL",C382)),"Liqueurs",
 ISNUMBER(SEARCH("SCHNAPP",C382)),"Liqueurs",
 ISNUMBER(SEARCH("GIN",C382)),"Gin",
 TRUE,"Other")</f>
        <v>Rum</v>
      </c>
      <c r="E382" s="5">
        <v>54112</v>
      </c>
      <c r="F382" s="5">
        <v>749898.99000000383</v>
      </c>
      <c r="G382" s="5">
        <v>48939.060000000005</v>
      </c>
      <c r="H382" s="5">
        <v>5687</v>
      </c>
    </row>
    <row r="383" spans="1:8">
      <c r="A383" s="5">
        <v>2021</v>
      </c>
      <c r="B383" s="6">
        <v>44256</v>
      </c>
      <c r="C383" s="5" t="s">
        <v>60</v>
      </c>
      <c r="D383" s="3" t="str" cm="1">
        <f t="array" ref="D383">_xlfn.IFS(
 ISNUMBER(SEARCH("WHISK",C383)),"Whiskey",
 ISNUMBER(SEARCH("BOURBON",C383)),"Whiskey",
 ISNUMBER(SEARCH("SCOTCH",C383)),"Whiskey",
 ISNUMBER(SEARCH("RYE",C383)),"Whiskey",
 ISNUMBER(SEARCH("VODKA",C383)),"Vodka",
 ISNUMBER(SEARCH("TEQUILA",C383)),"Tequila/Mezcal",
 ISNUMBER(SEARCH("MEZCAL",C383)),"Tequila/Mezcal",
 ISNUMBER(SEARCH("RUM",C383)),"Rum",
 ISNUMBER(SEARCH("BRAND",C383)),"Brandy",
 ISNUMBER(SEARCH("COGNAC",C383)),"Brandy",
 ISNUMBER(SEARCH("LIQUEUR",C383)),"Liqueurs",
 ISNUMBER(SEARCH("CORDIAL",C383)),"Liqueurs",
 ISNUMBER(SEARCH("SCHNAPP",C383)),"Liqueurs",
 ISNUMBER(SEARCH("GIN",C383)),"Gin",
 TRUE,"Other")</f>
        <v>Liqueurs</v>
      </c>
      <c r="E383" s="5">
        <v>47501</v>
      </c>
      <c r="F383" s="5">
        <v>1010919.7799999948</v>
      </c>
      <c r="G383" s="5">
        <v>33098.619999999792</v>
      </c>
      <c r="H383" s="5">
        <v>5535</v>
      </c>
    </row>
    <row r="384" spans="1:8">
      <c r="A384" s="5">
        <v>2021</v>
      </c>
      <c r="B384" s="6">
        <v>44256</v>
      </c>
      <c r="C384" s="5" t="s">
        <v>29</v>
      </c>
      <c r="D384" s="3" t="str" cm="1">
        <f t="array" ref="D384">_xlfn.IFS(
 ISNUMBER(SEARCH("WHISK",C384)),"Whiskey",
 ISNUMBER(SEARCH("BOURBON",C384)),"Whiskey",
 ISNUMBER(SEARCH("SCOTCH",C384)),"Whiskey",
 ISNUMBER(SEARCH("RYE",C384)),"Whiskey",
 ISNUMBER(SEARCH("VODKA",C384)),"Vodka",
 ISNUMBER(SEARCH("TEQUILA",C384)),"Tequila/Mezcal",
 ISNUMBER(SEARCH("MEZCAL",C384)),"Tequila/Mezcal",
 ISNUMBER(SEARCH("RUM",C384)),"Rum",
 ISNUMBER(SEARCH("BRAND",C384)),"Brandy",
 ISNUMBER(SEARCH("COGNAC",C384)),"Brandy",
 ISNUMBER(SEARCH("LIQUEUR",C384)),"Liqueurs",
 ISNUMBER(SEARCH("CORDIAL",C384)),"Liqueurs",
 ISNUMBER(SEARCH("SCHNAPP",C384)),"Liqueurs",
 ISNUMBER(SEARCH("GIN",C384)),"Gin",
 TRUE,"Other")</f>
        <v>Gin</v>
      </c>
      <c r="E384" s="5">
        <v>18092</v>
      </c>
      <c r="F384" s="5">
        <v>464124.89999999932</v>
      </c>
      <c r="G384" s="5">
        <v>18445.91</v>
      </c>
      <c r="H384" s="5">
        <v>2321</v>
      </c>
    </row>
    <row r="385" spans="1:8">
      <c r="A385" s="5">
        <v>2021</v>
      </c>
      <c r="B385" s="6">
        <v>44256</v>
      </c>
      <c r="C385" s="5" t="s">
        <v>31</v>
      </c>
      <c r="D385" s="3" t="str" cm="1">
        <f t="array" ref="D385">_xlfn.IFS(
 ISNUMBER(SEARCH("WHISK",C385)),"Whiskey",
 ISNUMBER(SEARCH("BOURBON",C385)),"Whiskey",
 ISNUMBER(SEARCH("SCOTCH",C385)),"Whiskey",
 ISNUMBER(SEARCH("RYE",C385)),"Whiskey",
 ISNUMBER(SEARCH("VODKA",C385)),"Vodka",
 ISNUMBER(SEARCH("TEQUILA",C385)),"Tequila/Mezcal",
 ISNUMBER(SEARCH("MEZCAL",C385)),"Tequila/Mezcal",
 ISNUMBER(SEARCH("RUM",C385)),"Rum",
 ISNUMBER(SEARCH("BRAND",C385)),"Brandy",
 ISNUMBER(SEARCH("COGNAC",C385)),"Brandy",
 ISNUMBER(SEARCH("LIQUEUR",C385)),"Liqueurs",
 ISNUMBER(SEARCH("CORDIAL",C385)),"Liqueurs",
 ISNUMBER(SEARCH("SCHNAPP",C385)),"Liqueurs",
 ISNUMBER(SEARCH("GIN",C385)),"Gin",
 TRUE,"Other")</f>
        <v>Liqueurs</v>
      </c>
      <c r="E385" s="5">
        <v>31932</v>
      </c>
      <c r="F385" s="5">
        <v>547988.16999999678</v>
      </c>
      <c r="G385" s="5">
        <v>28681.579999999689</v>
      </c>
      <c r="H385" s="5">
        <v>3455</v>
      </c>
    </row>
    <row r="386" spans="1:8">
      <c r="A386" s="5">
        <v>2021</v>
      </c>
      <c r="B386" s="6">
        <v>44256</v>
      </c>
      <c r="C386" s="5" t="s">
        <v>33</v>
      </c>
      <c r="D386" s="3" t="str" cm="1">
        <f t="array" ref="D386">_xlfn.IFS(
 ISNUMBER(SEARCH("WHISK",C386)),"Whiskey",
 ISNUMBER(SEARCH("BOURBON",C386)),"Whiskey",
 ISNUMBER(SEARCH("SCOTCH",C386)),"Whiskey",
 ISNUMBER(SEARCH("RYE",C386)),"Whiskey",
 ISNUMBER(SEARCH("VODKA",C386)),"Vodka",
 ISNUMBER(SEARCH("TEQUILA",C386)),"Tequila/Mezcal",
 ISNUMBER(SEARCH("MEZCAL",C386)),"Tequila/Mezcal",
 ISNUMBER(SEARCH("RUM",C386)),"Rum",
 ISNUMBER(SEARCH("BRAND",C386)),"Brandy",
 ISNUMBER(SEARCH("COGNAC",C386)),"Brandy",
 ISNUMBER(SEARCH("LIQUEUR",C386)),"Liqueurs",
 ISNUMBER(SEARCH("CORDIAL",C386)),"Liqueurs",
 ISNUMBER(SEARCH("SCHNAPP",C386)),"Liqueurs",
 ISNUMBER(SEARCH("GIN",C386)),"Gin",
 TRUE,"Other")</f>
        <v>Whiskey</v>
      </c>
      <c r="E386" s="5">
        <v>38343</v>
      </c>
      <c r="F386" s="5">
        <v>972448.67999997584</v>
      </c>
      <c r="G386" s="5">
        <v>31723.799999999785</v>
      </c>
      <c r="H386" s="5">
        <v>3571</v>
      </c>
    </row>
    <row r="387" spans="1:8">
      <c r="A387" s="5">
        <v>2021</v>
      </c>
      <c r="B387" s="6">
        <v>44256</v>
      </c>
      <c r="C387" s="5" t="s">
        <v>37</v>
      </c>
      <c r="D387" s="3" t="str" cm="1">
        <f t="array" ref="D387">_xlfn.IFS(
 ISNUMBER(SEARCH("WHISK",C387)),"Whiskey",
 ISNUMBER(SEARCH("BOURBON",C387)),"Whiskey",
 ISNUMBER(SEARCH("SCOTCH",C387)),"Whiskey",
 ISNUMBER(SEARCH("RYE",C387)),"Whiskey",
 ISNUMBER(SEARCH("VODKA",C387)),"Vodka",
 ISNUMBER(SEARCH("TEQUILA",C387)),"Tequila/Mezcal",
 ISNUMBER(SEARCH("MEZCAL",C387)),"Tequila/Mezcal",
 ISNUMBER(SEARCH("RUM",C387)),"Rum",
 ISNUMBER(SEARCH("BRAND",C387)),"Brandy",
 ISNUMBER(SEARCH("COGNAC",C387)),"Brandy",
 ISNUMBER(SEARCH("LIQUEUR",C387)),"Liqueurs",
 ISNUMBER(SEARCH("CORDIAL",C387)),"Liqueurs",
 ISNUMBER(SEARCH("SCHNAPP",C387)),"Liqueurs",
 ISNUMBER(SEARCH("GIN",C387)),"Gin",
 TRUE,"Other")</f>
        <v>Other</v>
      </c>
      <c r="E387" s="5">
        <v>6787</v>
      </c>
      <c r="F387" s="5">
        <v>107438.64999999988</v>
      </c>
      <c r="G387" s="5">
        <v>4194.2500000000091</v>
      </c>
      <c r="H387" s="5">
        <v>1212</v>
      </c>
    </row>
    <row r="388" spans="1:8">
      <c r="A388" s="5">
        <v>2021</v>
      </c>
      <c r="B388" s="6">
        <v>44256</v>
      </c>
      <c r="C388" s="5" t="s">
        <v>42</v>
      </c>
      <c r="D388" s="3" t="str" cm="1">
        <f t="array" ref="D388">_xlfn.IFS(
 ISNUMBER(SEARCH("WHISK",C388)),"Whiskey",
 ISNUMBER(SEARCH("BOURBON",C388)),"Whiskey",
 ISNUMBER(SEARCH("SCOTCH",C388)),"Whiskey",
 ISNUMBER(SEARCH("RYE",C388)),"Whiskey",
 ISNUMBER(SEARCH("VODKA",C388)),"Vodka",
 ISNUMBER(SEARCH("TEQUILA",C388)),"Tequila/Mezcal",
 ISNUMBER(SEARCH("MEZCAL",C388)),"Tequila/Mezcal",
 ISNUMBER(SEARCH("RUM",C388)),"Rum",
 ISNUMBER(SEARCH("BRAND",C388)),"Brandy",
 ISNUMBER(SEARCH("COGNAC",C388)),"Brandy",
 ISNUMBER(SEARCH("LIQUEUR",C388)),"Liqueurs",
 ISNUMBER(SEARCH("CORDIAL",C388)),"Liqueurs",
 ISNUMBER(SEARCH("SCHNAPP",C388)),"Liqueurs",
 ISNUMBER(SEARCH("GIN",C388)),"Gin",
 TRUE,"Other")</f>
        <v>Rum</v>
      </c>
      <c r="E388" s="5">
        <v>133537</v>
      </c>
      <c r="F388" s="5">
        <v>2168623.77999999</v>
      </c>
      <c r="G388" s="5">
        <v>141331.55000000098</v>
      </c>
      <c r="H388" s="5">
        <v>9805</v>
      </c>
    </row>
    <row r="389" spans="1:8">
      <c r="A389" s="5">
        <v>2021</v>
      </c>
      <c r="B389" s="6">
        <v>44256</v>
      </c>
      <c r="C389" s="5" t="s">
        <v>43</v>
      </c>
      <c r="D389" s="3" t="str" cm="1">
        <f t="array" ref="D389">_xlfn.IFS(
 ISNUMBER(SEARCH("WHISK",C389)),"Whiskey",
 ISNUMBER(SEARCH("BOURBON",C389)),"Whiskey",
 ISNUMBER(SEARCH("SCOTCH",C389)),"Whiskey",
 ISNUMBER(SEARCH("RYE",C389)),"Whiskey",
 ISNUMBER(SEARCH("VODKA",C389)),"Vodka",
 ISNUMBER(SEARCH("TEQUILA",C389)),"Tequila/Mezcal",
 ISNUMBER(SEARCH("MEZCAL",C389)),"Tequila/Mezcal",
 ISNUMBER(SEARCH("RUM",C389)),"Rum",
 ISNUMBER(SEARCH("BRAND",C389)),"Brandy",
 ISNUMBER(SEARCH("COGNAC",C389)),"Brandy",
 ISNUMBER(SEARCH("LIQUEUR",C389)),"Liqueurs",
 ISNUMBER(SEARCH("CORDIAL",C389)),"Liqueurs",
 ISNUMBER(SEARCH("SCHNAPP",C389)),"Liqueurs",
 ISNUMBER(SEARCH("GIN",C389)),"Gin",
 TRUE,"Other")</f>
        <v>Whiskey</v>
      </c>
      <c r="E389" s="5">
        <v>152976</v>
      </c>
      <c r="F389" s="5">
        <v>3080234.3700000439</v>
      </c>
      <c r="G389" s="5">
        <v>124748.98000000227</v>
      </c>
      <c r="H389" s="5">
        <v>16873</v>
      </c>
    </row>
    <row r="390" spans="1:8">
      <c r="A390" s="5">
        <v>2021</v>
      </c>
      <c r="B390" s="6">
        <v>44256</v>
      </c>
      <c r="C390" s="5" t="s">
        <v>44</v>
      </c>
      <c r="D390" s="3" t="str" cm="1">
        <f t="array" ref="D390">_xlfn.IFS(
 ISNUMBER(SEARCH("WHISK",C390)),"Whiskey",
 ISNUMBER(SEARCH("BOURBON",C390)),"Whiskey",
 ISNUMBER(SEARCH("SCOTCH",C390)),"Whiskey",
 ISNUMBER(SEARCH("RYE",C390)),"Whiskey",
 ISNUMBER(SEARCH("VODKA",C390)),"Vodka",
 ISNUMBER(SEARCH("TEQUILA",C390)),"Tequila/Mezcal",
 ISNUMBER(SEARCH("MEZCAL",C390)),"Tequila/Mezcal",
 ISNUMBER(SEARCH("RUM",C390)),"Rum",
 ISNUMBER(SEARCH("BRAND",C390)),"Brandy",
 ISNUMBER(SEARCH("COGNAC",C390)),"Brandy",
 ISNUMBER(SEARCH("LIQUEUR",C390)),"Liqueurs",
 ISNUMBER(SEARCH("CORDIAL",C390)),"Liqueurs",
 ISNUMBER(SEARCH("SCHNAPP",C390)),"Liqueurs",
 ISNUMBER(SEARCH("GIN",C390)),"Gin",
 TRUE,"Other")</f>
        <v>Whiskey</v>
      </c>
      <c r="E390" s="5">
        <v>15473</v>
      </c>
      <c r="F390" s="5">
        <v>455481.16000000428</v>
      </c>
      <c r="G390" s="5">
        <v>11743.87</v>
      </c>
      <c r="H390" s="5">
        <v>1935</v>
      </c>
    </row>
    <row r="391" spans="1:8">
      <c r="A391" s="5">
        <v>2021</v>
      </c>
      <c r="B391" s="6">
        <v>44256</v>
      </c>
      <c r="C391" s="5" t="s">
        <v>45</v>
      </c>
      <c r="D391" s="3" t="str" cm="1">
        <f t="array" ref="D391">_xlfn.IFS(
 ISNUMBER(SEARCH("WHISK",C391)),"Whiskey",
 ISNUMBER(SEARCH("BOURBON",C391)),"Whiskey",
 ISNUMBER(SEARCH("SCOTCH",C391)),"Whiskey",
 ISNUMBER(SEARCH("RYE",C391)),"Whiskey",
 ISNUMBER(SEARCH("VODKA",C391)),"Vodka",
 ISNUMBER(SEARCH("TEQUILA",C391)),"Tequila/Mezcal",
 ISNUMBER(SEARCH("MEZCAL",C391)),"Tequila/Mezcal",
 ISNUMBER(SEARCH("RUM",C391)),"Rum",
 ISNUMBER(SEARCH("BRAND",C391)),"Brandy",
 ISNUMBER(SEARCH("COGNAC",C391)),"Brandy",
 ISNUMBER(SEARCH("LIQUEUR",C391)),"Liqueurs",
 ISNUMBER(SEARCH("CORDIAL",C391)),"Liqueurs",
 ISNUMBER(SEARCH("SCHNAPP",C391)),"Liqueurs",
 ISNUMBER(SEARCH("GIN",C391)),"Gin",
 TRUE,"Other")</f>
        <v>Other</v>
      </c>
      <c r="E391" s="5">
        <v>22959</v>
      </c>
      <c r="F391" s="5">
        <v>630847.16000000353</v>
      </c>
      <c r="G391" s="5">
        <v>27154.499999999858</v>
      </c>
      <c r="H391" s="5">
        <v>2753</v>
      </c>
    </row>
    <row r="392" spans="1:8">
      <c r="A392" s="5">
        <v>2021</v>
      </c>
      <c r="B392" s="6">
        <v>44256</v>
      </c>
      <c r="C392" s="5" t="s">
        <v>46</v>
      </c>
      <c r="D392" s="3" t="str" cm="1">
        <f t="array" ref="D392">_xlfn.IFS(
 ISNUMBER(SEARCH("WHISK",C392)),"Whiskey",
 ISNUMBER(SEARCH("BOURBON",C392)),"Whiskey",
 ISNUMBER(SEARCH("SCOTCH",C392)),"Whiskey",
 ISNUMBER(SEARCH("RYE",C392)),"Whiskey",
 ISNUMBER(SEARCH("VODKA",C392)),"Vodka",
 ISNUMBER(SEARCH("TEQUILA",C392)),"Tequila/Mezcal",
 ISNUMBER(SEARCH("MEZCAL",C392)),"Tequila/Mezcal",
 ISNUMBER(SEARCH("RUM",C392)),"Rum",
 ISNUMBER(SEARCH("BRAND",C392)),"Brandy",
 ISNUMBER(SEARCH("COGNAC",C392)),"Brandy",
 ISNUMBER(SEARCH("LIQUEUR",C392)),"Liqueurs",
 ISNUMBER(SEARCH("CORDIAL",C392)),"Liqueurs",
 ISNUMBER(SEARCH("SCHNAPP",C392)),"Liqueurs",
 ISNUMBER(SEARCH("GIN",C392)),"Gin",
 TRUE,"Other")</f>
        <v>Whiskey</v>
      </c>
      <c r="E392" s="5">
        <v>67772</v>
      </c>
      <c r="F392" s="5">
        <v>1506987.8400000355</v>
      </c>
      <c r="G392" s="5">
        <v>49015.11000000011</v>
      </c>
      <c r="H392" s="5">
        <v>6776</v>
      </c>
    </row>
    <row r="393" spans="1:8">
      <c r="A393" s="5">
        <v>2021</v>
      </c>
      <c r="B393" s="6">
        <v>44256</v>
      </c>
      <c r="C393" s="5" t="s">
        <v>48</v>
      </c>
      <c r="D393" s="3" t="str" cm="1">
        <f t="array" ref="D393">_xlfn.IFS(
 ISNUMBER(SEARCH("WHISK",C393)),"Whiskey",
 ISNUMBER(SEARCH("BOURBON",C393)),"Whiskey",
 ISNUMBER(SEARCH("SCOTCH",C393)),"Whiskey",
 ISNUMBER(SEARCH("RYE",C393)),"Whiskey",
 ISNUMBER(SEARCH("VODKA",C393)),"Vodka",
 ISNUMBER(SEARCH("TEQUILA",C393)),"Tequila/Mezcal",
 ISNUMBER(SEARCH("MEZCAL",C393)),"Tequila/Mezcal",
 ISNUMBER(SEARCH("RUM",C393)),"Rum",
 ISNUMBER(SEARCH("BRAND",C393)),"Brandy",
 ISNUMBER(SEARCH("COGNAC",C393)),"Brandy",
 ISNUMBER(SEARCH("LIQUEUR",C393)),"Liqueurs",
 ISNUMBER(SEARCH("CORDIAL",C393)),"Liqueurs",
 ISNUMBER(SEARCH("SCHNAPP",C393)),"Liqueurs",
 ISNUMBER(SEARCH("GIN",C393)),"Gin",
 TRUE,"Other")</f>
        <v>Whiskey</v>
      </c>
      <c r="E393" s="5">
        <v>343229</v>
      </c>
      <c r="F393" s="5">
        <v>2113961.7799999751</v>
      </c>
      <c r="G393" s="5">
        <v>100170.68000000343</v>
      </c>
      <c r="H393" s="5">
        <v>12489</v>
      </c>
    </row>
    <row r="394" spans="1:8">
      <c r="A394" s="5">
        <v>2021</v>
      </c>
      <c r="B394" s="6">
        <v>44256</v>
      </c>
      <c r="C394" s="5" t="s">
        <v>28</v>
      </c>
      <c r="D394" s="3" t="str" cm="1">
        <f t="array" ref="D394">_xlfn.IFS(
 ISNUMBER(SEARCH("WHISK",C394)),"Whiskey",
 ISNUMBER(SEARCH("BOURBON",C394)),"Whiskey",
 ISNUMBER(SEARCH("SCOTCH",C394)),"Whiskey",
 ISNUMBER(SEARCH("RYE",C394)),"Whiskey",
 ISNUMBER(SEARCH("VODKA",C394)),"Vodka",
 ISNUMBER(SEARCH("TEQUILA",C394)),"Tequila/Mezcal",
 ISNUMBER(SEARCH("MEZCAL",C394)),"Tequila/Mezcal",
 ISNUMBER(SEARCH("RUM",C394)),"Rum",
 ISNUMBER(SEARCH("BRAND",C394)),"Brandy",
 ISNUMBER(SEARCH("COGNAC",C394)),"Brandy",
 ISNUMBER(SEARCH("LIQUEUR",C394)),"Liqueurs",
 ISNUMBER(SEARCH("CORDIAL",C394)),"Liqueurs",
 ISNUMBER(SEARCH("SCHNAPP",C394)),"Liqueurs",
 ISNUMBER(SEARCH("GIN",C394)),"Gin",
 TRUE,"Other")</f>
        <v>Other</v>
      </c>
      <c r="E394" s="5">
        <v>21789</v>
      </c>
      <c r="F394" s="5">
        <v>172867.42000000013</v>
      </c>
      <c r="G394" s="5">
        <v>20931.349999999995</v>
      </c>
      <c r="H394" s="5">
        <v>384</v>
      </c>
    </row>
    <row r="395" spans="1:8">
      <c r="A395" s="5">
        <v>2021</v>
      </c>
      <c r="B395" s="6">
        <v>44256</v>
      </c>
      <c r="C395" s="5" t="s">
        <v>49</v>
      </c>
      <c r="D395" s="3" t="str" cm="1">
        <f t="array" ref="D395">_xlfn.IFS(
 ISNUMBER(SEARCH("WHISK",C395)),"Whiskey",
 ISNUMBER(SEARCH("BOURBON",C395)),"Whiskey",
 ISNUMBER(SEARCH("SCOTCH",C395)),"Whiskey",
 ISNUMBER(SEARCH("RYE",C395)),"Whiskey",
 ISNUMBER(SEARCH("VODKA",C395)),"Vodka",
 ISNUMBER(SEARCH("TEQUILA",C395)),"Tequila/Mezcal",
 ISNUMBER(SEARCH("MEZCAL",C395)),"Tequila/Mezcal",
 ISNUMBER(SEARCH("RUM",C395)),"Rum",
 ISNUMBER(SEARCH("BRAND",C395)),"Brandy",
 ISNUMBER(SEARCH("COGNAC",C395)),"Brandy",
 ISNUMBER(SEARCH("LIQUEUR",C395)),"Liqueurs",
 ISNUMBER(SEARCH("CORDIAL",C395)),"Liqueurs",
 ISNUMBER(SEARCH("SCHNAPP",C395)),"Liqueurs",
 ISNUMBER(SEARCH("GIN",C395)),"Gin",
 TRUE,"Other")</f>
        <v>Rum</v>
      </c>
      <c r="E395" s="5">
        <v>48229</v>
      </c>
      <c r="F395" s="5">
        <v>533505.58999999717</v>
      </c>
      <c r="G395" s="5">
        <v>50158.350000000079</v>
      </c>
      <c r="H395" s="5">
        <v>4710</v>
      </c>
    </row>
    <row r="396" spans="1:8">
      <c r="A396" s="5">
        <v>2021</v>
      </c>
      <c r="B396" s="6">
        <v>44256</v>
      </c>
      <c r="C396" s="5" t="s">
        <v>10</v>
      </c>
      <c r="D396" s="3" t="str" cm="1">
        <f t="array" ref="D396">_xlfn.IFS(
 ISNUMBER(SEARCH("WHISK",C396)),"Whiskey",
 ISNUMBER(SEARCH("BOURBON",C396)),"Whiskey",
 ISNUMBER(SEARCH("SCOTCH",C396)),"Whiskey",
 ISNUMBER(SEARCH("RYE",C396)),"Whiskey",
 ISNUMBER(SEARCH("VODKA",C396)),"Vodka",
 ISNUMBER(SEARCH("TEQUILA",C396)),"Tequila/Mezcal",
 ISNUMBER(SEARCH("MEZCAL",C396)),"Tequila/Mezcal",
 ISNUMBER(SEARCH("RUM",C396)),"Rum",
 ISNUMBER(SEARCH("BRAND",C396)),"Brandy",
 ISNUMBER(SEARCH("COGNAC",C396)),"Brandy",
 ISNUMBER(SEARCH("LIQUEUR",C396)),"Liqueurs",
 ISNUMBER(SEARCH("CORDIAL",C396)),"Liqueurs",
 ISNUMBER(SEARCH("SCHNAPP",C396)),"Liqueurs",
 ISNUMBER(SEARCH("GIN",C396)),"Gin",
 TRUE,"Other")</f>
        <v>Other</v>
      </c>
      <c r="E396" s="5">
        <v>5760</v>
      </c>
      <c r="F396" s="5">
        <v>106993.15</v>
      </c>
      <c r="G396" s="5">
        <v>4231.1000000000004</v>
      </c>
      <c r="H396" s="5">
        <v>816</v>
      </c>
    </row>
    <row r="397" spans="1:8">
      <c r="A397" s="5">
        <v>2021</v>
      </c>
      <c r="B397" s="6">
        <v>44256</v>
      </c>
      <c r="C397" s="5" t="s">
        <v>11</v>
      </c>
      <c r="D397" s="3" t="str" cm="1">
        <f t="array" ref="D397">_xlfn.IFS(
 ISNUMBER(SEARCH("WHISK",C397)),"Whiskey",
 ISNUMBER(SEARCH("BOURBON",C397)),"Whiskey",
 ISNUMBER(SEARCH("SCOTCH",C397)),"Whiskey",
 ISNUMBER(SEARCH("RYE",C397)),"Whiskey",
 ISNUMBER(SEARCH("VODKA",C397)),"Vodka",
 ISNUMBER(SEARCH("TEQUILA",C397)),"Tequila/Mezcal",
 ISNUMBER(SEARCH("MEZCAL",C397)),"Tequila/Mezcal",
 ISNUMBER(SEARCH("RUM",C397)),"Rum",
 ISNUMBER(SEARCH("BRAND",C397)),"Brandy",
 ISNUMBER(SEARCH("COGNAC",C397)),"Brandy",
 ISNUMBER(SEARCH("LIQUEUR",C397)),"Liqueurs",
 ISNUMBER(SEARCH("CORDIAL",C397)),"Liqueurs",
 ISNUMBER(SEARCH("SCHNAPP",C397)),"Liqueurs",
 ISNUMBER(SEARCH("GIN",C397)),"Gin",
 TRUE,"Other")</f>
        <v>Gin</v>
      </c>
      <c r="E397" s="5">
        <v>37047</v>
      </c>
      <c r="F397" s="5">
        <v>291147.40000000212</v>
      </c>
      <c r="G397" s="5">
        <v>28000.529999999933</v>
      </c>
      <c r="H397" s="5">
        <v>3473</v>
      </c>
    </row>
    <row r="398" spans="1:8">
      <c r="A398" s="5">
        <v>2021</v>
      </c>
      <c r="B398" s="6">
        <v>44256</v>
      </c>
      <c r="C398" s="5" t="s">
        <v>50</v>
      </c>
      <c r="D398" s="3" t="str" cm="1">
        <f t="array" ref="D398">_xlfn.IFS(
 ISNUMBER(SEARCH("WHISK",C398)),"Whiskey",
 ISNUMBER(SEARCH("BOURBON",C398)),"Whiskey",
 ISNUMBER(SEARCH("SCOTCH",C398)),"Whiskey",
 ISNUMBER(SEARCH("RYE",C398)),"Whiskey",
 ISNUMBER(SEARCH("VODKA",C398)),"Vodka",
 ISNUMBER(SEARCH("TEQUILA",C398)),"Tequila/Mezcal",
 ISNUMBER(SEARCH("MEZCAL",C398)),"Tequila/Mezcal",
 ISNUMBER(SEARCH("RUM",C398)),"Rum",
 ISNUMBER(SEARCH("BRAND",C398)),"Brandy",
 ISNUMBER(SEARCH("COGNAC",C398)),"Brandy",
 ISNUMBER(SEARCH("LIQUEUR",C398)),"Liqueurs",
 ISNUMBER(SEARCH("CORDIAL",C398)),"Liqueurs",
 ISNUMBER(SEARCH("SCHNAPP",C398)),"Liqueurs",
 ISNUMBER(SEARCH("GIN",C398)),"Gin",
 TRUE,"Other")</f>
        <v>Tequila/Mezcal</v>
      </c>
      <c r="E398" s="5">
        <v>69238</v>
      </c>
      <c r="F398" s="5">
        <v>1934969.47</v>
      </c>
      <c r="G398" s="5">
        <v>48776.150000000074</v>
      </c>
      <c r="H398" s="5">
        <v>7801</v>
      </c>
    </row>
    <row r="399" spans="1:8">
      <c r="A399" s="5">
        <v>2021</v>
      </c>
      <c r="B399" s="6">
        <v>44256</v>
      </c>
      <c r="C399" s="5" t="s">
        <v>7</v>
      </c>
      <c r="D399" s="3" t="str" cm="1">
        <f t="array" ref="D399">_xlfn.IFS(
 ISNUMBER(SEARCH("WHISK",C399)),"Whiskey",
 ISNUMBER(SEARCH("BOURBON",C399)),"Whiskey",
 ISNUMBER(SEARCH("SCOTCH",C399)),"Whiskey",
 ISNUMBER(SEARCH("RYE",C399)),"Whiskey",
 ISNUMBER(SEARCH("VODKA",C399)),"Vodka",
 ISNUMBER(SEARCH("TEQUILA",C399)),"Tequila/Mezcal",
 ISNUMBER(SEARCH("MEZCAL",C399)),"Tequila/Mezcal",
 ISNUMBER(SEARCH("RUM",C399)),"Rum",
 ISNUMBER(SEARCH("BRAND",C399)),"Brandy",
 ISNUMBER(SEARCH("COGNAC",C399)),"Brandy",
 ISNUMBER(SEARCH("LIQUEUR",C399)),"Liqueurs",
 ISNUMBER(SEARCH("CORDIAL",C399)),"Liqueurs",
 ISNUMBER(SEARCH("SCHNAPP",C399)),"Liqueurs",
 ISNUMBER(SEARCH("GIN",C399)),"Gin",
 TRUE,"Other")</f>
        <v>Rum</v>
      </c>
      <c r="E399" s="5">
        <v>4380</v>
      </c>
      <c r="F399" s="5">
        <v>86877.490000000107</v>
      </c>
      <c r="G399" s="5">
        <v>3547.05</v>
      </c>
      <c r="H399" s="5">
        <v>677</v>
      </c>
    </row>
    <row r="400" spans="1:8">
      <c r="A400" s="5">
        <v>2021</v>
      </c>
      <c r="B400" s="6">
        <v>44256</v>
      </c>
      <c r="C400" s="5" t="s">
        <v>14</v>
      </c>
      <c r="D400" s="3" t="str" cm="1">
        <f t="array" ref="D400">_xlfn.IFS(
 ISNUMBER(SEARCH("WHISK",C400)),"Whiskey",
 ISNUMBER(SEARCH("BOURBON",C400)),"Whiskey",
 ISNUMBER(SEARCH("SCOTCH",C400)),"Whiskey",
 ISNUMBER(SEARCH("RYE",C400)),"Whiskey",
 ISNUMBER(SEARCH("VODKA",C400)),"Vodka",
 ISNUMBER(SEARCH("TEQUILA",C400)),"Tequila/Mezcal",
 ISNUMBER(SEARCH("MEZCAL",C400)),"Tequila/Mezcal",
 ISNUMBER(SEARCH("RUM",C400)),"Rum",
 ISNUMBER(SEARCH("BRAND",C400)),"Brandy",
 ISNUMBER(SEARCH("COGNAC",C400)),"Brandy",
 ISNUMBER(SEARCH("LIQUEUR",C400)),"Liqueurs",
 ISNUMBER(SEARCH("CORDIAL",C400)),"Liqueurs",
 ISNUMBER(SEARCH("SCHNAPP",C400)),"Liqueurs",
 ISNUMBER(SEARCH("GIN",C400)),"Gin",
 TRUE,"Other")</f>
        <v>Gin</v>
      </c>
      <c r="E400" s="5">
        <v>400</v>
      </c>
      <c r="F400" s="5">
        <v>3252.0000000000014</v>
      </c>
      <c r="G400" s="5">
        <v>400</v>
      </c>
      <c r="H400" s="5">
        <v>92</v>
      </c>
    </row>
    <row r="401" spans="1:8">
      <c r="A401" s="5">
        <v>2021</v>
      </c>
      <c r="B401" s="6">
        <v>44256</v>
      </c>
      <c r="C401" s="5" t="s">
        <v>25</v>
      </c>
      <c r="D401" s="3" t="str" cm="1">
        <f t="array" ref="D401">_xlfn.IFS(
 ISNUMBER(SEARCH("WHISK",C401)),"Whiskey",
 ISNUMBER(SEARCH("BOURBON",C401)),"Whiskey",
 ISNUMBER(SEARCH("SCOTCH",C401)),"Whiskey",
 ISNUMBER(SEARCH("RYE",C401)),"Whiskey",
 ISNUMBER(SEARCH("VODKA",C401)),"Vodka",
 ISNUMBER(SEARCH("TEQUILA",C401)),"Tequila/Mezcal",
 ISNUMBER(SEARCH("MEZCAL",C401)),"Tequila/Mezcal",
 ISNUMBER(SEARCH("RUM",C401)),"Rum",
 ISNUMBER(SEARCH("BRAND",C401)),"Brandy",
 ISNUMBER(SEARCH("COGNAC",C401)),"Brandy",
 ISNUMBER(SEARCH("LIQUEUR",C401)),"Liqueurs",
 ISNUMBER(SEARCH("CORDIAL",C401)),"Liqueurs",
 ISNUMBER(SEARCH("SCHNAPP",C401)),"Liqueurs",
 ISNUMBER(SEARCH("GIN",C401)),"Gin",
 TRUE,"Other")</f>
        <v>Rum</v>
      </c>
      <c r="E401" s="5">
        <v>7071</v>
      </c>
      <c r="F401" s="5">
        <v>88594.979999999749</v>
      </c>
      <c r="G401" s="5">
        <v>7887.2900000000054</v>
      </c>
      <c r="H401" s="5">
        <v>1147</v>
      </c>
    </row>
    <row r="402" spans="1:8">
      <c r="A402" s="5">
        <v>2021</v>
      </c>
      <c r="B402" s="6">
        <v>44256</v>
      </c>
      <c r="C402" s="5" t="s">
        <v>26</v>
      </c>
      <c r="D402" s="3" t="str" cm="1">
        <f t="array" ref="D402">_xlfn.IFS(
 ISNUMBER(SEARCH("WHISK",C402)),"Whiskey",
 ISNUMBER(SEARCH("BOURBON",C402)),"Whiskey",
 ISNUMBER(SEARCH("SCOTCH",C402)),"Whiskey",
 ISNUMBER(SEARCH("RYE",C402)),"Whiskey",
 ISNUMBER(SEARCH("VODKA",C402)),"Vodka",
 ISNUMBER(SEARCH("TEQUILA",C402)),"Tequila/Mezcal",
 ISNUMBER(SEARCH("MEZCAL",C402)),"Tequila/Mezcal",
 ISNUMBER(SEARCH("RUM",C402)),"Rum",
 ISNUMBER(SEARCH("BRAND",C402)),"Brandy",
 ISNUMBER(SEARCH("COGNAC",C402)),"Brandy",
 ISNUMBER(SEARCH("LIQUEUR",C402)),"Liqueurs",
 ISNUMBER(SEARCH("CORDIAL",C402)),"Liqueurs",
 ISNUMBER(SEARCH("SCHNAPP",C402)),"Liqueurs",
 ISNUMBER(SEARCH("GIN",C402)),"Gin",
 TRUE,"Other")</f>
        <v>Brandy</v>
      </c>
      <c r="E402" s="5">
        <v>72963</v>
      </c>
      <c r="F402" s="5">
        <v>1601987.8599999147</v>
      </c>
      <c r="G402" s="5">
        <v>33430.709999999694</v>
      </c>
      <c r="H402" s="5">
        <v>5393</v>
      </c>
    </row>
    <row r="403" spans="1:8">
      <c r="A403" s="5">
        <v>2021</v>
      </c>
      <c r="B403" s="6">
        <v>44256</v>
      </c>
      <c r="C403" s="5" t="s">
        <v>30</v>
      </c>
      <c r="D403" s="3" t="str" cm="1">
        <f t="array" ref="D403">_xlfn.IFS(
 ISNUMBER(SEARCH("WHISK",C403)),"Whiskey",
 ISNUMBER(SEARCH("BOURBON",C403)),"Whiskey",
 ISNUMBER(SEARCH("SCOTCH",C403)),"Whiskey",
 ISNUMBER(SEARCH("RYE",C403)),"Whiskey",
 ISNUMBER(SEARCH("VODKA",C403)),"Vodka",
 ISNUMBER(SEARCH("TEQUILA",C403)),"Tequila/Mezcal",
 ISNUMBER(SEARCH("MEZCAL",C403)),"Tequila/Mezcal",
 ISNUMBER(SEARCH("RUM",C403)),"Rum",
 ISNUMBER(SEARCH("BRAND",C403)),"Brandy",
 ISNUMBER(SEARCH("COGNAC",C403)),"Brandy",
 ISNUMBER(SEARCH("LIQUEUR",C403)),"Liqueurs",
 ISNUMBER(SEARCH("CORDIAL",C403)),"Liqueurs",
 ISNUMBER(SEARCH("SCHNAPP",C403)),"Liqueurs",
 ISNUMBER(SEARCH("GIN",C403)),"Gin",
 TRUE,"Other")</f>
        <v>Vodka</v>
      </c>
      <c r="E403" s="5">
        <v>30241</v>
      </c>
      <c r="F403" s="5">
        <v>514171.20000000129</v>
      </c>
      <c r="G403" s="5">
        <v>23542.72999999996</v>
      </c>
      <c r="H403" s="5">
        <v>4083</v>
      </c>
    </row>
    <row r="404" spans="1:8">
      <c r="A404" s="5">
        <v>2021</v>
      </c>
      <c r="B404" s="6">
        <v>44256</v>
      </c>
      <c r="C404" s="5" t="s">
        <v>32</v>
      </c>
      <c r="D404" s="3" t="str" cm="1">
        <f t="array" ref="D404">_xlfn.IFS(
 ISNUMBER(SEARCH("WHISK",C404)),"Whiskey",
 ISNUMBER(SEARCH("BOURBON",C404)),"Whiskey",
 ISNUMBER(SEARCH("SCOTCH",C404)),"Whiskey",
 ISNUMBER(SEARCH("RYE",C404)),"Whiskey",
 ISNUMBER(SEARCH("VODKA",C404)),"Vodka",
 ISNUMBER(SEARCH("TEQUILA",C404)),"Tequila/Mezcal",
 ISNUMBER(SEARCH("MEZCAL",C404)),"Tequila/Mezcal",
 ISNUMBER(SEARCH("RUM",C404)),"Rum",
 ISNUMBER(SEARCH("BRAND",C404)),"Brandy",
 ISNUMBER(SEARCH("COGNAC",C404)),"Brandy",
 ISNUMBER(SEARCH("LIQUEUR",C404)),"Liqueurs",
 ISNUMBER(SEARCH("CORDIAL",C404)),"Liqueurs",
 ISNUMBER(SEARCH("SCHNAPP",C404)),"Liqueurs",
 ISNUMBER(SEARCH("GIN",C404)),"Gin",
 TRUE,"Other")</f>
        <v>Vodka</v>
      </c>
      <c r="E404" s="5">
        <v>63072</v>
      </c>
      <c r="F404" s="5">
        <v>1187133.6999999722</v>
      </c>
      <c r="G404" s="5">
        <v>62048.410000000637</v>
      </c>
      <c r="H404" s="5">
        <v>6755</v>
      </c>
    </row>
    <row r="405" spans="1:8">
      <c r="A405" s="5">
        <v>2021</v>
      </c>
      <c r="B405" s="6">
        <v>44256</v>
      </c>
      <c r="C405" s="5" t="s">
        <v>35</v>
      </c>
      <c r="D405" s="3" t="str" cm="1">
        <f t="array" ref="D405">_xlfn.IFS(
 ISNUMBER(SEARCH("WHISK",C405)),"Whiskey",
 ISNUMBER(SEARCH("BOURBON",C405)),"Whiskey",
 ISNUMBER(SEARCH("SCOTCH",C405)),"Whiskey",
 ISNUMBER(SEARCH("RYE",C405)),"Whiskey",
 ISNUMBER(SEARCH("VODKA",C405)),"Vodka",
 ISNUMBER(SEARCH("TEQUILA",C405)),"Tequila/Mezcal",
 ISNUMBER(SEARCH("MEZCAL",C405)),"Tequila/Mezcal",
 ISNUMBER(SEARCH("RUM",C405)),"Rum",
 ISNUMBER(SEARCH("BRAND",C405)),"Brandy",
 ISNUMBER(SEARCH("COGNAC",C405)),"Brandy",
 ISNUMBER(SEARCH("LIQUEUR",C405)),"Liqueurs",
 ISNUMBER(SEARCH("CORDIAL",C405)),"Liqueurs",
 ISNUMBER(SEARCH("SCHNAPP",C405)),"Liqueurs",
 ISNUMBER(SEARCH("GIN",C405)),"Gin",
 TRUE,"Other")</f>
        <v>Tequila/Mezcal</v>
      </c>
      <c r="E405" s="5">
        <v>59782</v>
      </c>
      <c r="F405" s="5">
        <v>788395.55999998411</v>
      </c>
      <c r="G405" s="5">
        <v>49768.669999999875</v>
      </c>
      <c r="H405" s="5">
        <v>4627</v>
      </c>
    </row>
    <row r="406" spans="1:8">
      <c r="A406" s="5">
        <v>2021</v>
      </c>
      <c r="B406" s="6">
        <v>44256</v>
      </c>
      <c r="C406" s="5" t="s">
        <v>36</v>
      </c>
      <c r="D406" s="3" t="str" cm="1">
        <f t="array" ref="D406">_xlfn.IFS(
 ISNUMBER(SEARCH("WHISK",C406)),"Whiskey",
 ISNUMBER(SEARCH("BOURBON",C406)),"Whiskey",
 ISNUMBER(SEARCH("SCOTCH",C406)),"Whiskey",
 ISNUMBER(SEARCH("RYE",C406)),"Whiskey",
 ISNUMBER(SEARCH("VODKA",C406)),"Vodka",
 ISNUMBER(SEARCH("TEQUILA",C406)),"Tequila/Mezcal",
 ISNUMBER(SEARCH("MEZCAL",C406)),"Tequila/Mezcal",
 ISNUMBER(SEARCH("RUM",C406)),"Rum",
 ISNUMBER(SEARCH("BRAND",C406)),"Brandy",
 ISNUMBER(SEARCH("COGNAC",C406)),"Brandy",
 ISNUMBER(SEARCH("LIQUEUR",C406)),"Liqueurs",
 ISNUMBER(SEARCH("CORDIAL",C406)),"Liqueurs",
 ISNUMBER(SEARCH("SCHNAPP",C406)),"Liqueurs",
 ISNUMBER(SEARCH("GIN",C406)),"Gin",
 TRUE,"Other")</f>
        <v>Other</v>
      </c>
      <c r="E406" s="5">
        <v>3521</v>
      </c>
      <c r="F406" s="5">
        <v>45170.83</v>
      </c>
      <c r="G406" s="5">
        <v>2719.4699999999993</v>
      </c>
      <c r="H406" s="5">
        <v>429</v>
      </c>
    </row>
    <row r="407" spans="1:8">
      <c r="A407" s="5">
        <v>2021</v>
      </c>
      <c r="B407" s="6">
        <v>44256</v>
      </c>
      <c r="C407" s="5" t="s">
        <v>38</v>
      </c>
      <c r="D407" s="3" t="str" cm="1">
        <f t="array" ref="D407">_xlfn.IFS(
 ISNUMBER(SEARCH("WHISK",C407)),"Whiskey",
 ISNUMBER(SEARCH("BOURBON",C407)),"Whiskey",
 ISNUMBER(SEARCH("SCOTCH",C407)),"Whiskey",
 ISNUMBER(SEARCH("RYE",C407)),"Whiskey",
 ISNUMBER(SEARCH("VODKA",C407)),"Vodka",
 ISNUMBER(SEARCH("TEQUILA",C407)),"Tequila/Mezcal",
 ISNUMBER(SEARCH("MEZCAL",C407)),"Tequila/Mezcal",
 ISNUMBER(SEARCH("RUM",C407)),"Rum",
 ISNUMBER(SEARCH("BRAND",C407)),"Brandy",
 ISNUMBER(SEARCH("COGNAC",C407)),"Brandy",
 ISNUMBER(SEARCH("LIQUEUR",C407)),"Liqueurs",
 ISNUMBER(SEARCH("CORDIAL",C407)),"Liqueurs",
 ISNUMBER(SEARCH("SCHNAPP",C407)),"Liqueurs",
 ISNUMBER(SEARCH("GIN",C407)),"Gin",
 TRUE,"Other")</f>
        <v>Whiskey</v>
      </c>
      <c r="E407" s="5">
        <v>16903</v>
      </c>
      <c r="F407" s="5">
        <v>439232.23999999993</v>
      </c>
      <c r="G407" s="5">
        <v>18250.650000000001</v>
      </c>
      <c r="H407" s="5">
        <v>3085</v>
      </c>
    </row>
    <row r="408" spans="1:8">
      <c r="A408" s="5">
        <v>2021</v>
      </c>
      <c r="B408" s="6">
        <v>44256</v>
      </c>
      <c r="C408" s="5" t="s">
        <v>40</v>
      </c>
      <c r="D408" s="3" t="str" cm="1">
        <f t="array" ref="D408">_xlfn.IFS(
 ISNUMBER(SEARCH("WHISK",C408)),"Whiskey",
 ISNUMBER(SEARCH("BOURBON",C408)),"Whiskey",
 ISNUMBER(SEARCH("SCOTCH",C408)),"Whiskey",
 ISNUMBER(SEARCH("RYE",C408)),"Whiskey",
 ISNUMBER(SEARCH("VODKA",C408)),"Vodka",
 ISNUMBER(SEARCH("TEQUILA",C408)),"Tequila/Mezcal",
 ISNUMBER(SEARCH("MEZCAL",C408)),"Tequila/Mezcal",
 ISNUMBER(SEARCH("RUM",C408)),"Rum",
 ISNUMBER(SEARCH("BRAND",C408)),"Brandy",
 ISNUMBER(SEARCH("COGNAC",C408)),"Brandy",
 ISNUMBER(SEARCH("LIQUEUR",C408)),"Liqueurs",
 ISNUMBER(SEARCH("CORDIAL",C408)),"Liqueurs",
 ISNUMBER(SEARCH("SCHNAPP",C408)),"Liqueurs",
 ISNUMBER(SEARCH("GIN",C408)),"Gin",
 TRUE,"Other")</f>
        <v>Whiskey</v>
      </c>
      <c r="E408" s="5">
        <v>8535</v>
      </c>
      <c r="F408" s="5">
        <v>406558.61999999877</v>
      </c>
      <c r="G408" s="5">
        <v>6669.7000000000025</v>
      </c>
      <c r="H408" s="5">
        <v>2081</v>
      </c>
    </row>
    <row r="409" spans="1:8">
      <c r="A409" s="5">
        <v>2021</v>
      </c>
      <c r="B409" s="6">
        <v>44256</v>
      </c>
      <c r="C409" s="5" t="s">
        <v>41</v>
      </c>
      <c r="D409" s="3" t="str" cm="1">
        <f t="array" ref="D409">_xlfn.IFS(
 ISNUMBER(SEARCH("WHISK",C409)),"Whiskey",
 ISNUMBER(SEARCH("BOURBON",C409)),"Whiskey",
 ISNUMBER(SEARCH("SCOTCH",C409)),"Whiskey",
 ISNUMBER(SEARCH("RYE",C409)),"Whiskey",
 ISNUMBER(SEARCH("VODKA",C409)),"Vodka",
 ISNUMBER(SEARCH("TEQUILA",C409)),"Tequila/Mezcal",
 ISNUMBER(SEARCH("MEZCAL",C409)),"Tequila/Mezcal",
 ISNUMBER(SEARCH("RUM",C409)),"Rum",
 ISNUMBER(SEARCH("BRAND",C409)),"Brandy",
 ISNUMBER(SEARCH("COGNAC",C409)),"Brandy",
 ISNUMBER(SEARCH("LIQUEUR",C409)),"Liqueurs",
 ISNUMBER(SEARCH("CORDIAL",C409)),"Liqueurs",
 ISNUMBER(SEARCH("SCHNAPP",C409)),"Liqueurs",
 ISNUMBER(SEARCH("GIN",C409)),"Gin",
 TRUE,"Other")</f>
        <v>Other</v>
      </c>
      <c r="E409" s="5">
        <v>11513</v>
      </c>
      <c r="F409" s="5">
        <v>181123.48000000027</v>
      </c>
      <c r="G409" s="5">
        <v>14540.529999999993</v>
      </c>
      <c r="H409" s="5">
        <v>624</v>
      </c>
    </row>
    <row r="410" spans="1:8">
      <c r="A410" s="5">
        <v>2021</v>
      </c>
      <c r="B410" s="6">
        <v>44256</v>
      </c>
      <c r="C410" s="5" t="s">
        <v>47</v>
      </c>
      <c r="D410" s="3" t="str" cm="1">
        <f t="array" ref="D410">_xlfn.IFS(
 ISNUMBER(SEARCH("WHISK",C410)),"Whiskey",
 ISNUMBER(SEARCH("BOURBON",C410)),"Whiskey",
 ISNUMBER(SEARCH("SCOTCH",C410)),"Whiskey",
 ISNUMBER(SEARCH("RYE",C410)),"Whiskey",
 ISNUMBER(SEARCH("VODKA",C410)),"Vodka",
 ISNUMBER(SEARCH("TEQUILA",C410)),"Tequila/Mezcal",
 ISNUMBER(SEARCH("MEZCAL",C410)),"Tequila/Mezcal",
 ISNUMBER(SEARCH("RUM",C410)),"Rum",
 ISNUMBER(SEARCH("BRAND",C410)),"Brandy",
 ISNUMBER(SEARCH("COGNAC",C410)),"Brandy",
 ISNUMBER(SEARCH("LIQUEUR",C410)),"Liqueurs",
 ISNUMBER(SEARCH("CORDIAL",C410)),"Liqueurs",
 ISNUMBER(SEARCH("SCHNAPP",C410)),"Liqueurs",
 ISNUMBER(SEARCH("GIN",C410)),"Gin",
 TRUE,"Other")</f>
        <v>Other</v>
      </c>
      <c r="E410" s="5">
        <v>18831</v>
      </c>
      <c r="F410" s="5">
        <v>74468.409999999814</v>
      </c>
      <c r="G410" s="5">
        <v>18581.75</v>
      </c>
      <c r="H410" s="5">
        <v>821</v>
      </c>
    </row>
    <row r="411" spans="1:8">
      <c r="A411" s="5">
        <v>2021</v>
      </c>
      <c r="B411" s="6">
        <v>44256</v>
      </c>
      <c r="C411" s="5" t="s">
        <v>34</v>
      </c>
      <c r="D411" s="3" t="str" cm="1">
        <f t="array" ref="D411">_xlfn.IFS(
 ISNUMBER(SEARCH("WHISK",C411)),"Whiskey",
 ISNUMBER(SEARCH("BOURBON",C411)),"Whiskey",
 ISNUMBER(SEARCH("SCOTCH",C411)),"Whiskey",
 ISNUMBER(SEARCH("RYE",C411)),"Whiskey",
 ISNUMBER(SEARCH("VODKA",C411)),"Vodka",
 ISNUMBER(SEARCH("TEQUILA",C411)),"Tequila/Mezcal",
 ISNUMBER(SEARCH("MEZCAL",C411)),"Tequila/Mezcal",
 ISNUMBER(SEARCH("RUM",C411)),"Rum",
 ISNUMBER(SEARCH("BRAND",C411)),"Brandy",
 ISNUMBER(SEARCH("COGNAC",C411)),"Brandy",
 ISNUMBER(SEARCH("LIQUEUR",C411)),"Liqueurs",
 ISNUMBER(SEARCH("CORDIAL",C411)),"Liqueurs",
 ISNUMBER(SEARCH("SCHNAPP",C411)),"Liqueurs",
 ISNUMBER(SEARCH("GIN",C411)),"Gin",
 TRUE,"Other")</f>
        <v>Tequila/Mezcal</v>
      </c>
      <c r="E411" s="5">
        <v>1008</v>
      </c>
      <c r="F411" s="5">
        <v>29924.199999999972</v>
      </c>
      <c r="G411" s="5">
        <v>764</v>
      </c>
      <c r="H411" s="5">
        <v>177</v>
      </c>
    </row>
    <row r="412" spans="1:8">
      <c r="A412" s="5">
        <v>2021</v>
      </c>
      <c r="B412" s="6">
        <v>44256</v>
      </c>
      <c r="C412" s="5" t="s">
        <v>39</v>
      </c>
      <c r="D412" s="3" t="str" cm="1">
        <f t="array" ref="D412">_xlfn.IFS(
 ISNUMBER(SEARCH("WHISK",C412)),"Whiskey",
 ISNUMBER(SEARCH("BOURBON",C412)),"Whiskey",
 ISNUMBER(SEARCH("SCOTCH",C412)),"Whiskey",
 ISNUMBER(SEARCH("RYE",C412)),"Whiskey",
 ISNUMBER(SEARCH("VODKA",C412)),"Vodka",
 ISNUMBER(SEARCH("TEQUILA",C412)),"Tequila/Mezcal",
 ISNUMBER(SEARCH("MEZCAL",C412)),"Tequila/Mezcal",
 ISNUMBER(SEARCH("RUM",C412)),"Rum",
 ISNUMBER(SEARCH("BRAND",C412)),"Brandy",
 ISNUMBER(SEARCH("COGNAC",C412)),"Brandy",
 ISNUMBER(SEARCH("LIQUEUR",C412)),"Liqueurs",
 ISNUMBER(SEARCH("CORDIAL",C412)),"Liqueurs",
 ISNUMBER(SEARCH("SCHNAPP",C412)),"Liqueurs",
 ISNUMBER(SEARCH("GIN",C412)),"Gin",
 TRUE,"Other")</f>
        <v>Whiskey</v>
      </c>
      <c r="E412" s="5">
        <v>1884</v>
      </c>
      <c r="F412" s="5">
        <v>57221.360000000182</v>
      </c>
      <c r="G412" s="5">
        <v>1413</v>
      </c>
      <c r="H412" s="5">
        <v>288</v>
      </c>
    </row>
    <row r="413" spans="1:8">
      <c r="A413" s="5">
        <v>2021</v>
      </c>
      <c r="B413" s="6">
        <v>44256</v>
      </c>
      <c r="C413" s="5" t="s">
        <v>23</v>
      </c>
      <c r="D413" s="3" t="str" cm="1">
        <f t="array" ref="D413">_xlfn.IFS(
 ISNUMBER(SEARCH("WHISK",C413)),"Whiskey",
 ISNUMBER(SEARCH("BOURBON",C413)),"Whiskey",
 ISNUMBER(SEARCH("SCOTCH",C413)),"Whiskey",
 ISNUMBER(SEARCH("RYE",C413)),"Whiskey",
 ISNUMBER(SEARCH("VODKA",C413)),"Vodka",
 ISNUMBER(SEARCH("TEQUILA",C413)),"Tequila/Mezcal",
 ISNUMBER(SEARCH("MEZCAL",C413)),"Tequila/Mezcal",
 ISNUMBER(SEARCH("RUM",C413)),"Rum",
 ISNUMBER(SEARCH("BRAND",C413)),"Brandy",
 ISNUMBER(SEARCH("COGNAC",C413)),"Brandy",
 ISNUMBER(SEARCH("LIQUEUR",C413)),"Liqueurs",
 ISNUMBER(SEARCH("CORDIAL",C413)),"Liqueurs",
 ISNUMBER(SEARCH("SCHNAPP",C413)),"Liqueurs",
 ISNUMBER(SEARCH("GIN",C413)),"Gin",
 TRUE,"Other")</f>
        <v>Gin</v>
      </c>
      <c r="E413" s="5">
        <v>1607</v>
      </c>
      <c r="F413" s="5">
        <v>31235.960000000006</v>
      </c>
      <c r="G413" s="5">
        <v>1111.4499999999996</v>
      </c>
      <c r="H413" s="5">
        <v>258</v>
      </c>
    </row>
    <row r="414" spans="1:8">
      <c r="A414" s="5">
        <v>2021</v>
      </c>
      <c r="B414" s="6">
        <v>44256</v>
      </c>
      <c r="C414" s="5" t="s">
        <v>51</v>
      </c>
      <c r="D414" s="3" t="str" cm="1">
        <f t="array" ref="D414">_xlfn.IFS(
 ISNUMBER(SEARCH("WHISK",C414)),"Whiskey",
 ISNUMBER(SEARCH("BOURBON",C414)),"Whiskey",
 ISNUMBER(SEARCH("SCOTCH",C414)),"Whiskey",
 ISNUMBER(SEARCH("RYE",C414)),"Whiskey",
 ISNUMBER(SEARCH("VODKA",C414)),"Vodka",
 ISNUMBER(SEARCH("TEQUILA",C414)),"Tequila/Mezcal",
 ISNUMBER(SEARCH("MEZCAL",C414)),"Tequila/Mezcal",
 ISNUMBER(SEARCH("RUM",C414)),"Rum",
 ISNUMBER(SEARCH("BRAND",C414)),"Brandy",
 ISNUMBER(SEARCH("COGNAC",C414)),"Brandy",
 ISNUMBER(SEARCH("LIQUEUR",C414)),"Liqueurs",
 ISNUMBER(SEARCH("CORDIAL",C414)),"Liqueurs",
 ISNUMBER(SEARCH("SCHNAPP",C414)),"Liqueurs",
 ISNUMBER(SEARCH("GIN",C414)),"Gin",
 TRUE,"Other")</f>
        <v>Other</v>
      </c>
      <c r="E414" s="5">
        <v>65</v>
      </c>
      <c r="F414" s="5">
        <v>2275</v>
      </c>
      <c r="G414" s="5">
        <v>48.75</v>
      </c>
      <c r="H414" s="5">
        <v>15</v>
      </c>
    </row>
    <row r="415" spans="1:8">
      <c r="A415" s="5">
        <v>2021</v>
      </c>
      <c r="B415" s="6">
        <v>44256</v>
      </c>
      <c r="C415" s="5" t="s">
        <v>52</v>
      </c>
      <c r="D415" s="3" t="str" cm="1">
        <f t="array" ref="D415">_xlfn.IFS(
 ISNUMBER(SEARCH("WHISK",C415)),"Whiskey",
 ISNUMBER(SEARCH("BOURBON",C415)),"Whiskey",
 ISNUMBER(SEARCH("SCOTCH",C415)),"Whiskey",
 ISNUMBER(SEARCH("RYE",C415)),"Whiskey",
 ISNUMBER(SEARCH("VODKA",C415)),"Vodka",
 ISNUMBER(SEARCH("TEQUILA",C415)),"Tequila/Mezcal",
 ISNUMBER(SEARCH("MEZCAL",C415)),"Tequila/Mezcal",
 ISNUMBER(SEARCH("RUM",C415)),"Rum",
 ISNUMBER(SEARCH("BRAND",C415)),"Brandy",
 ISNUMBER(SEARCH("COGNAC",C415)),"Brandy",
 ISNUMBER(SEARCH("LIQUEUR",C415)),"Liqueurs",
 ISNUMBER(SEARCH("CORDIAL",C415)),"Liqueurs",
 ISNUMBER(SEARCH("SCHNAPP",C415)),"Liqueurs",
 ISNUMBER(SEARCH("GIN",C415)),"Gin",
 TRUE,"Other")</f>
        <v>Gin</v>
      </c>
      <c r="E415" s="5">
        <v>12</v>
      </c>
      <c r="F415" s="5">
        <v>265.56</v>
      </c>
      <c r="G415" s="5">
        <v>9</v>
      </c>
      <c r="H415" s="5">
        <v>1</v>
      </c>
    </row>
    <row r="416" spans="1:8">
      <c r="A416" s="5">
        <v>2021</v>
      </c>
      <c r="B416" s="6">
        <v>44287</v>
      </c>
      <c r="C416" s="5" t="s">
        <v>50</v>
      </c>
      <c r="D416" s="3" t="str" cm="1">
        <f t="array" ref="D416">_xlfn.IFS(
 ISNUMBER(SEARCH("WHISK",C416)),"Whiskey",
 ISNUMBER(SEARCH("BOURBON",C416)),"Whiskey",
 ISNUMBER(SEARCH("SCOTCH",C416)),"Whiskey",
 ISNUMBER(SEARCH("RYE",C416)),"Whiskey",
 ISNUMBER(SEARCH("VODKA",C416)),"Vodka",
 ISNUMBER(SEARCH("TEQUILA",C416)),"Tequila/Mezcal",
 ISNUMBER(SEARCH("MEZCAL",C416)),"Tequila/Mezcal",
 ISNUMBER(SEARCH("RUM",C416)),"Rum",
 ISNUMBER(SEARCH("BRAND",C416)),"Brandy",
 ISNUMBER(SEARCH("COGNAC",C416)),"Brandy",
 ISNUMBER(SEARCH("LIQUEUR",C416)),"Liqueurs",
 ISNUMBER(SEARCH("CORDIAL",C416)),"Liqueurs",
 ISNUMBER(SEARCH("SCHNAPP",C416)),"Liqueurs",
 ISNUMBER(SEARCH("GIN",C416)),"Gin",
 TRUE,"Other")</f>
        <v>Tequila/Mezcal</v>
      </c>
      <c r="E416" s="5">
        <v>71428</v>
      </c>
      <c r="F416" s="5">
        <v>1890620.4799999904</v>
      </c>
      <c r="G416" s="5">
        <v>50691.290000000125</v>
      </c>
      <c r="H416" s="5">
        <v>7161</v>
      </c>
    </row>
    <row r="417" spans="1:8">
      <c r="A417" s="5">
        <v>2021</v>
      </c>
      <c r="B417" s="6">
        <v>44287</v>
      </c>
      <c r="C417" s="5" t="s">
        <v>7</v>
      </c>
      <c r="D417" s="3" t="str" cm="1">
        <f t="array" ref="D417">_xlfn.IFS(
 ISNUMBER(SEARCH("WHISK",C417)),"Whiskey",
 ISNUMBER(SEARCH("BOURBON",C417)),"Whiskey",
 ISNUMBER(SEARCH("SCOTCH",C417)),"Whiskey",
 ISNUMBER(SEARCH("RYE",C417)),"Whiskey",
 ISNUMBER(SEARCH("VODKA",C417)),"Vodka",
 ISNUMBER(SEARCH("TEQUILA",C417)),"Tequila/Mezcal",
 ISNUMBER(SEARCH("MEZCAL",C417)),"Tequila/Mezcal",
 ISNUMBER(SEARCH("RUM",C417)),"Rum",
 ISNUMBER(SEARCH("BRAND",C417)),"Brandy",
 ISNUMBER(SEARCH("COGNAC",C417)),"Brandy",
 ISNUMBER(SEARCH("LIQUEUR",C417)),"Liqueurs",
 ISNUMBER(SEARCH("CORDIAL",C417)),"Liqueurs",
 ISNUMBER(SEARCH("SCHNAPP",C417)),"Liqueurs",
 ISNUMBER(SEARCH("GIN",C417)),"Gin",
 TRUE,"Other")</f>
        <v>Rum</v>
      </c>
      <c r="E417" s="5">
        <v>4292</v>
      </c>
      <c r="F417" s="5">
        <v>84947.080000000147</v>
      </c>
      <c r="G417" s="5">
        <v>3490.2</v>
      </c>
      <c r="H417" s="5">
        <v>717</v>
      </c>
    </row>
    <row r="418" spans="1:8">
      <c r="A418" s="5">
        <v>2021</v>
      </c>
      <c r="B418" s="6">
        <v>44287</v>
      </c>
      <c r="C418" s="5" t="s">
        <v>8</v>
      </c>
      <c r="D418" s="3" t="str" cm="1">
        <f t="array" ref="D418">_xlfn.IFS(
 ISNUMBER(SEARCH("WHISK",C418)),"Whiskey",
 ISNUMBER(SEARCH("BOURBON",C418)),"Whiskey",
 ISNUMBER(SEARCH("SCOTCH",C418)),"Whiskey",
 ISNUMBER(SEARCH("RYE",C418)),"Whiskey",
 ISNUMBER(SEARCH("VODKA",C418)),"Vodka",
 ISNUMBER(SEARCH("TEQUILA",C418)),"Tequila/Mezcal",
 ISNUMBER(SEARCH("MEZCAL",C418)),"Tequila/Mezcal",
 ISNUMBER(SEARCH("RUM",C418)),"Rum",
 ISNUMBER(SEARCH("BRAND",C418)),"Brandy",
 ISNUMBER(SEARCH("COGNAC",C418)),"Brandy",
 ISNUMBER(SEARCH("LIQUEUR",C418)),"Liqueurs",
 ISNUMBER(SEARCH("CORDIAL",C418)),"Liqueurs",
 ISNUMBER(SEARCH("SCHNAPP",C418)),"Liqueurs",
 ISNUMBER(SEARCH("GIN",C418)),"Gin",
 TRUE,"Other")</f>
        <v>Brandy</v>
      </c>
      <c r="E418" s="5">
        <v>58892</v>
      </c>
      <c r="F418" s="5">
        <v>399101.83000000025</v>
      </c>
      <c r="G418" s="5">
        <v>31935.229999999639</v>
      </c>
      <c r="H418" s="5">
        <v>5584</v>
      </c>
    </row>
    <row r="419" spans="1:8">
      <c r="A419" s="5">
        <v>2021</v>
      </c>
      <c r="B419" s="6">
        <v>44287</v>
      </c>
      <c r="C419" s="5" t="s">
        <v>59</v>
      </c>
      <c r="D419" s="3" t="str" cm="1">
        <f t="array" ref="D419">_xlfn.IFS(
 ISNUMBER(SEARCH("WHISK",C419)),"Whiskey",
 ISNUMBER(SEARCH("BOURBON",C419)),"Whiskey",
 ISNUMBER(SEARCH("SCOTCH",C419)),"Whiskey",
 ISNUMBER(SEARCH("RYE",C419)),"Whiskey",
 ISNUMBER(SEARCH("VODKA",C419)),"Vodka",
 ISNUMBER(SEARCH("TEQUILA",C419)),"Tequila/Mezcal",
 ISNUMBER(SEARCH("MEZCAL",C419)),"Tequila/Mezcal",
 ISNUMBER(SEARCH("RUM",C419)),"Rum",
 ISNUMBER(SEARCH("BRAND",C419)),"Brandy",
 ISNUMBER(SEARCH("COGNAC",C419)),"Brandy",
 ISNUMBER(SEARCH("LIQUEUR",C419)),"Liqueurs",
 ISNUMBER(SEARCH("CORDIAL",C419)),"Liqueurs",
 ISNUMBER(SEARCH("SCHNAPP",C419)),"Liqueurs",
 ISNUMBER(SEARCH("GIN",C419)),"Gin",
 TRUE,"Other")</f>
        <v>Liqueurs</v>
      </c>
      <c r="E419" s="5">
        <v>42553</v>
      </c>
      <c r="F419" s="5">
        <v>368532.74000000634</v>
      </c>
      <c r="G419" s="5">
        <v>21426.739999999427</v>
      </c>
      <c r="H419" s="5">
        <v>5728</v>
      </c>
    </row>
    <row r="420" spans="1:8">
      <c r="A420" s="5">
        <v>2021</v>
      </c>
      <c r="B420" s="6">
        <v>44287</v>
      </c>
      <c r="C420" s="5" t="s">
        <v>10</v>
      </c>
      <c r="D420" s="3" t="str" cm="1">
        <f t="array" ref="D420">_xlfn.IFS(
 ISNUMBER(SEARCH("WHISK",C420)),"Whiskey",
 ISNUMBER(SEARCH("BOURBON",C420)),"Whiskey",
 ISNUMBER(SEARCH("SCOTCH",C420)),"Whiskey",
 ISNUMBER(SEARCH("RYE",C420)),"Whiskey",
 ISNUMBER(SEARCH("VODKA",C420)),"Vodka",
 ISNUMBER(SEARCH("TEQUILA",C420)),"Tequila/Mezcal",
 ISNUMBER(SEARCH("MEZCAL",C420)),"Tequila/Mezcal",
 ISNUMBER(SEARCH("RUM",C420)),"Rum",
 ISNUMBER(SEARCH("BRAND",C420)),"Brandy",
 ISNUMBER(SEARCH("COGNAC",C420)),"Brandy",
 ISNUMBER(SEARCH("LIQUEUR",C420)),"Liqueurs",
 ISNUMBER(SEARCH("CORDIAL",C420)),"Liqueurs",
 ISNUMBER(SEARCH("SCHNAPP",C420)),"Liqueurs",
 ISNUMBER(SEARCH("GIN",C420)),"Gin",
 TRUE,"Other")</f>
        <v>Other</v>
      </c>
      <c r="E420" s="5">
        <v>6184</v>
      </c>
      <c r="F420" s="5">
        <v>110197.9299999998</v>
      </c>
      <c r="G420" s="5">
        <v>4604.350000000004</v>
      </c>
      <c r="H420" s="5">
        <v>890</v>
      </c>
    </row>
    <row r="421" spans="1:8">
      <c r="A421" s="5">
        <v>2021</v>
      </c>
      <c r="B421" s="6">
        <v>44287</v>
      </c>
      <c r="C421" s="5" t="s">
        <v>11</v>
      </c>
      <c r="D421" s="3" t="str" cm="1">
        <f t="array" ref="D421">_xlfn.IFS(
 ISNUMBER(SEARCH("WHISK",C421)),"Whiskey",
 ISNUMBER(SEARCH("BOURBON",C421)),"Whiskey",
 ISNUMBER(SEARCH("SCOTCH",C421)),"Whiskey",
 ISNUMBER(SEARCH("RYE",C421)),"Whiskey",
 ISNUMBER(SEARCH("VODKA",C421)),"Vodka",
 ISNUMBER(SEARCH("TEQUILA",C421)),"Tequila/Mezcal",
 ISNUMBER(SEARCH("MEZCAL",C421)),"Tequila/Mezcal",
 ISNUMBER(SEARCH("RUM",C421)),"Rum",
 ISNUMBER(SEARCH("BRAND",C421)),"Brandy",
 ISNUMBER(SEARCH("COGNAC",C421)),"Brandy",
 ISNUMBER(SEARCH("LIQUEUR",C421)),"Liqueurs",
 ISNUMBER(SEARCH("CORDIAL",C421)),"Liqueurs",
 ISNUMBER(SEARCH("SCHNAPP",C421)),"Liqueurs",
 ISNUMBER(SEARCH("GIN",C421)),"Gin",
 TRUE,"Other")</f>
        <v>Gin</v>
      </c>
      <c r="E421" s="5">
        <v>43091</v>
      </c>
      <c r="F421" s="5">
        <v>311998.23000000295</v>
      </c>
      <c r="G421" s="5">
        <v>28115.399999999845</v>
      </c>
      <c r="H421" s="5">
        <v>3871</v>
      </c>
    </row>
    <row r="422" spans="1:8">
      <c r="A422" s="5">
        <v>2021</v>
      </c>
      <c r="B422" s="6">
        <v>44287</v>
      </c>
      <c r="C422" s="5" t="s">
        <v>12</v>
      </c>
      <c r="D422" s="3" t="str" cm="1">
        <f t="array" ref="D422">_xlfn.IFS(
 ISNUMBER(SEARCH("WHISK",C422)),"Whiskey",
 ISNUMBER(SEARCH("BOURBON",C422)),"Whiskey",
 ISNUMBER(SEARCH("SCOTCH",C422)),"Whiskey",
 ISNUMBER(SEARCH("RYE",C422)),"Whiskey",
 ISNUMBER(SEARCH("VODKA",C422)),"Vodka",
 ISNUMBER(SEARCH("TEQUILA",C422)),"Tequila/Mezcal",
 ISNUMBER(SEARCH("MEZCAL",C422)),"Tequila/Mezcal",
 ISNUMBER(SEARCH("RUM",C422)),"Rum",
 ISNUMBER(SEARCH("BRAND",C422)),"Brandy",
 ISNUMBER(SEARCH("COGNAC",C422)),"Brandy",
 ISNUMBER(SEARCH("LIQUEUR",C422)),"Liqueurs",
 ISNUMBER(SEARCH("CORDIAL",C422)),"Liqueurs",
 ISNUMBER(SEARCH("SCHNAPP",C422)),"Liqueurs",
 ISNUMBER(SEARCH("GIN",C422)),"Gin",
 TRUE,"Other")</f>
        <v>Vodka</v>
      </c>
      <c r="E422" s="5">
        <v>84408</v>
      </c>
      <c r="F422" s="5">
        <v>915657.72000004328</v>
      </c>
      <c r="G422" s="5">
        <v>61639.14000000037</v>
      </c>
      <c r="H422" s="5">
        <v>10107</v>
      </c>
    </row>
    <row r="423" spans="1:8">
      <c r="A423" s="5">
        <v>2021</v>
      </c>
      <c r="B423" s="6">
        <v>44287</v>
      </c>
      <c r="C423" s="5" t="s">
        <v>13</v>
      </c>
      <c r="D423" s="3" t="str" cm="1">
        <f t="array" ref="D423">_xlfn.IFS(
 ISNUMBER(SEARCH("WHISK",C423)),"Whiskey",
 ISNUMBER(SEARCH("BOURBON",C423)),"Whiskey",
 ISNUMBER(SEARCH("SCOTCH",C423)),"Whiskey",
 ISNUMBER(SEARCH("RYE",C423)),"Whiskey",
 ISNUMBER(SEARCH("VODKA",C423)),"Vodka",
 ISNUMBER(SEARCH("TEQUILA",C423)),"Tequila/Mezcal",
 ISNUMBER(SEARCH("MEZCAL",C423)),"Tequila/Mezcal",
 ISNUMBER(SEARCH("RUM",C423)),"Rum",
 ISNUMBER(SEARCH("BRAND",C423)),"Brandy",
 ISNUMBER(SEARCH("COGNAC",C423)),"Brandy",
 ISNUMBER(SEARCH("LIQUEUR",C423)),"Liqueurs",
 ISNUMBER(SEARCH("CORDIAL",C423)),"Liqueurs",
 ISNUMBER(SEARCH("SCHNAPP",C423)),"Liqueurs",
 ISNUMBER(SEARCH("GIN",C423)),"Gin",
 TRUE,"Other")</f>
        <v>Liqueurs</v>
      </c>
      <c r="E423" s="5">
        <v>72379</v>
      </c>
      <c r="F423" s="5">
        <v>621752.82999998482</v>
      </c>
      <c r="G423" s="5">
        <v>49968.730000000091</v>
      </c>
      <c r="H423" s="5">
        <v>7106</v>
      </c>
    </row>
    <row r="424" spans="1:8">
      <c r="A424" s="5">
        <v>2021</v>
      </c>
      <c r="B424" s="6">
        <v>44287</v>
      </c>
      <c r="C424" s="5" t="s">
        <v>14</v>
      </c>
      <c r="D424" s="3" t="str" cm="1">
        <f t="array" ref="D424">_xlfn.IFS(
 ISNUMBER(SEARCH("WHISK",C424)),"Whiskey",
 ISNUMBER(SEARCH("BOURBON",C424)),"Whiskey",
 ISNUMBER(SEARCH("SCOTCH",C424)),"Whiskey",
 ISNUMBER(SEARCH("RYE",C424)),"Whiskey",
 ISNUMBER(SEARCH("VODKA",C424)),"Vodka",
 ISNUMBER(SEARCH("TEQUILA",C424)),"Tequila/Mezcal",
 ISNUMBER(SEARCH("MEZCAL",C424)),"Tequila/Mezcal",
 ISNUMBER(SEARCH("RUM",C424)),"Rum",
 ISNUMBER(SEARCH("BRAND",C424)),"Brandy",
 ISNUMBER(SEARCH("COGNAC",C424)),"Brandy",
 ISNUMBER(SEARCH("LIQUEUR",C424)),"Liqueurs",
 ISNUMBER(SEARCH("CORDIAL",C424)),"Liqueurs",
 ISNUMBER(SEARCH("SCHNAPP",C424)),"Liqueurs",
 ISNUMBER(SEARCH("GIN",C424)),"Gin",
 TRUE,"Other")</f>
        <v>Gin</v>
      </c>
      <c r="E424" s="5">
        <v>257</v>
      </c>
      <c r="F424" s="5">
        <v>2089.4100000000008</v>
      </c>
      <c r="G424" s="5">
        <v>257</v>
      </c>
      <c r="H424" s="5">
        <v>69</v>
      </c>
    </row>
    <row r="425" spans="1:8">
      <c r="A425" s="5">
        <v>2021</v>
      </c>
      <c r="B425" s="6">
        <v>44287</v>
      </c>
      <c r="C425" s="5" t="s">
        <v>15</v>
      </c>
      <c r="D425" s="3" t="str" cm="1">
        <f t="array" ref="D425">_xlfn.IFS(
 ISNUMBER(SEARCH("WHISK",C425)),"Whiskey",
 ISNUMBER(SEARCH("BOURBON",C425)),"Whiskey",
 ISNUMBER(SEARCH("SCOTCH",C425)),"Whiskey",
 ISNUMBER(SEARCH("RYE",C425)),"Whiskey",
 ISNUMBER(SEARCH("VODKA",C425)),"Vodka",
 ISNUMBER(SEARCH("TEQUILA",C425)),"Tequila/Mezcal",
 ISNUMBER(SEARCH("MEZCAL",C425)),"Tequila/Mezcal",
 ISNUMBER(SEARCH("RUM",C425)),"Rum",
 ISNUMBER(SEARCH("BRAND",C425)),"Brandy",
 ISNUMBER(SEARCH("COGNAC",C425)),"Brandy",
 ISNUMBER(SEARCH("LIQUEUR",C425)),"Liqueurs",
 ISNUMBER(SEARCH("CORDIAL",C425)),"Liqueurs",
 ISNUMBER(SEARCH("SCHNAPP",C425)),"Liqueurs",
 ISNUMBER(SEARCH("GIN",C425)),"Gin",
 TRUE,"Other")</f>
        <v>Vodka</v>
      </c>
      <c r="E425" s="5">
        <v>497228</v>
      </c>
      <c r="F425" s="5">
        <v>4788326.5499997931</v>
      </c>
      <c r="G425" s="5">
        <v>442450.00999998045</v>
      </c>
      <c r="H425" s="5">
        <v>33252</v>
      </c>
    </row>
    <row r="426" spans="1:8">
      <c r="A426" s="5">
        <v>2021</v>
      </c>
      <c r="B426" s="6">
        <v>44287</v>
      </c>
      <c r="C426" s="5" t="s">
        <v>16</v>
      </c>
      <c r="D426" s="3" t="str" cm="1">
        <f t="array" ref="D426">_xlfn.IFS(
 ISNUMBER(SEARCH("WHISK",C426)),"Whiskey",
 ISNUMBER(SEARCH("BOURBON",C426)),"Whiskey",
 ISNUMBER(SEARCH("SCOTCH",C426)),"Whiskey",
 ISNUMBER(SEARCH("RYE",C426)),"Whiskey",
 ISNUMBER(SEARCH("VODKA",C426)),"Vodka",
 ISNUMBER(SEARCH("TEQUILA",C426)),"Tequila/Mezcal",
 ISNUMBER(SEARCH("MEZCAL",C426)),"Tequila/Mezcal",
 ISNUMBER(SEARCH("RUM",C426)),"Rum",
 ISNUMBER(SEARCH("BRAND",C426)),"Brandy",
 ISNUMBER(SEARCH("COGNAC",C426)),"Brandy",
 ISNUMBER(SEARCH("LIQUEUR",C426)),"Liqueurs",
 ISNUMBER(SEARCH("CORDIAL",C426)),"Liqueurs",
 ISNUMBER(SEARCH("SCHNAPP",C426)),"Liqueurs",
 ISNUMBER(SEARCH("GIN",C426)),"Gin",
 TRUE,"Other")</f>
        <v>Whiskey</v>
      </c>
      <c r="E426" s="5">
        <v>85384</v>
      </c>
      <c r="F426" s="5">
        <v>1076494.5799999973</v>
      </c>
      <c r="G426" s="5">
        <v>72597.020000000426</v>
      </c>
      <c r="H426" s="5">
        <v>9683</v>
      </c>
    </row>
    <row r="427" spans="1:8">
      <c r="A427" s="5">
        <v>2021</v>
      </c>
      <c r="B427" s="6">
        <v>44287</v>
      </c>
      <c r="C427" s="5" t="s">
        <v>17</v>
      </c>
      <c r="D427" s="3" t="str" cm="1">
        <f t="array" ref="D427">_xlfn.IFS(
 ISNUMBER(SEARCH("WHISK",C427)),"Whiskey",
 ISNUMBER(SEARCH("BOURBON",C427)),"Whiskey",
 ISNUMBER(SEARCH("SCOTCH",C427)),"Whiskey",
 ISNUMBER(SEARCH("RYE",C427)),"Whiskey",
 ISNUMBER(SEARCH("VODKA",C427)),"Vodka",
 ISNUMBER(SEARCH("TEQUILA",C427)),"Tequila/Mezcal",
 ISNUMBER(SEARCH("MEZCAL",C427)),"Tequila/Mezcal",
 ISNUMBER(SEARCH("RUM",C427)),"Rum",
 ISNUMBER(SEARCH("BRAND",C427)),"Brandy",
 ISNUMBER(SEARCH("COGNAC",C427)),"Brandy",
 ISNUMBER(SEARCH("LIQUEUR",C427)),"Liqueurs",
 ISNUMBER(SEARCH("CORDIAL",C427)),"Liqueurs",
 ISNUMBER(SEARCH("SCHNAPP",C427)),"Liqueurs",
 ISNUMBER(SEARCH("GIN",C427)),"Gin",
 TRUE,"Other")</f>
        <v>Whiskey</v>
      </c>
      <c r="E427" s="5">
        <v>1851</v>
      </c>
      <c r="F427" s="5">
        <v>44665.99</v>
      </c>
      <c r="G427" s="5">
        <v>1388.25</v>
      </c>
      <c r="H427" s="5">
        <v>293</v>
      </c>
    </row>
    <row r="428" spans="1:8">
      <c r="A428" s="5">
        <v>2021</v>
      </c>
      <c r="B428" s="6">
        <v>44287</v>
      </c>
      <c r="C428" s="5" t="s">
        <v>18</v>
      </c>
      <c r="D428" s="3" t="str" cm="1">
        <f t="array" ref="D428">_xlfn.IFS(
 ISNUMBER(SEARCH("WHISK",C428)),"Whiskey",
 ISNUMBER(SEARCH("BOURBON",C428)),"Whiskey",
 ISNUMBER(SEARCH("SCOTCH",C428)),"Whiskey",
 ISNUMBER(SEARCH("RYE",C428)),"Whiskey",
 ISNUMBER(SEARCH("VODKA",C428)),"Vodka",
 ISNUMBER(SEARCH("TEQUILA",C428)),"Tequila/Mezcal",
 ISNUMBER(SEARCH("MEZCAL",C428)),"Tequila/Mezcal",
 ISNUMBER(SEARCH("RUM",C428)),"Rum",
 ISNUMBER(SEARCH("BRAND",C428)),"Brandy",
 ISNUMBER(SEARCH("COGNAC",C428)),"Brandy",
 ISNUMBER(SEARCH("LIQUEUR",C428)),"Liqueurs",
 ISNUMBER(SEARCH("CORDIAL",C428)),"Liqueurs",
 ISNUMBER(SEARCH("SCHNAPP",C428)),"Liqueurs",
 ISNUMBER(SEARCH("GIN",C428)),"Gin",
 TRUE,"Other")</f>
        <v>Whiskey</v>
      </c>
      <c r="E428" s="5">
        <v>250400</v>
      </c>
      <c r="F428" s="5">
        <v>3702530.9900001292</v>
      </c>
      <c r="G428" s="5">
        <v>224805.01999999653</v>
      </c>
      <c r="H428" s="5">
        <v>21659</v>
      </c>
    </row>
    <row r="429" spans="1:8">
      <c r="A429" s="5">
        <v>2021</v>
      </c>
      <c r="B429" s="6">
        <v>44287</v>
      </c>
      <c r="C429" s="5" t="s">
        <v>19</v>
      </c>
      <c r="D429" s="3" t="str" cm="1">
        <f t="array" ref="D429">_xlfn.IFS(
 ISNUMBER(SEARCH("WHISK",C429)),"Whiskey",
 ISNUMBER(SEARCH("BOURBON",C429)),"Whiskey",
 ISNUMBER(SEARCH("SCOTCH",C429)),"Whiskey",
 ISNUMBER(SEARCH("RYE",C429)),"Whiskey",
 ISNUMBER(SEARCH("VODKA",C429)),"Vodka",
 ISNUMBER(SEARCH("TEQUILA",C429)),"Tequila/Mezcal",
 ISNUMBER(SEARCH("MEZCAL",C429)),"Tequila/Mezcal",
 ISNUMBER(SEARCH("RUM",C429)),"Rum",
 ISNUMBER(SEARCH("BRAND",C429)),"Brandy",
 ISNUMBER(SEARCH("COGNAC",C429)),"Brandy",
 ISNUMBER(SEARCH("LIQUEUR",C429)),"Liqueurs",
 ISNUMBER(SEARCH("CORDIAL",C429)),"Liqueurs",
 ISNUMBER(SEARCH("SCHNAPP",C429)),"Liqueurs",
 ISNUMBER(SEARCH("GIN",C429)),"Gin",
 TRUE,"Other")</f>
        <v>Other</v>
      </c>
      <c r="E429" s="5">
        <v>101079</v>
      </c>
      <c r="F429" s="5">
        <v>1184475.7500000088</v>
      </c>
      <c r="G429" s="5">
        <v>150566.59999999974</v>
      </c>
      <c r="H429" s="5">
        <v>8014</v>
      </c>
    </row>
    <row r="430" spans="1:8">
      <c r="A430" s="5">
        <v>2021</v>
      </c>
      <c r="B430" s="6">
        <v>44287</v>
      </c>
      <c r="C430" s="5" t="s">
        <v>20</v>
      </c>
      <c r="D430" s="3" t="str" cm="1">
        <f t="array" ref="D430">_xlfn.IFS(
 ISNUMBER(SEARCH("WHISK",C430)),"Whiskey",
 ISNUMBER(SEARCH("BOURBON",C430)),"Whiskey",
 ISNUMBER(SEARCH("SCOTCH",C430)),"Whiskey",
 ISNUMBER(SEARCH("RYE",C430)),"Whiskey",
 ISNUMBER(SEARCH("VODKA",C430)),"Vodka",
 ISNUMBER(SEARCH("TEQUILA",C430)),"Tequila/Mezcal",
 ISNUMBER(SEARCH("MEZCAL",C430)),"Tequila/Mezcal",
 ISNUMBER(SEARCH("RUM",C430)),"Rum",
 ISNUMBER(SEARCH("BRAND",C430)),"Brandy",
 ISNUMBER(SEARCH("COGNAC",C430)),"Brandy",
 ISNUMBER(SEARCH("LIQUEUR",C430)),"Liqueurs",
 ISNUMBER(SEARCH("CORDIAL",C430)),"Liqueurs",
 ISNUMBER(SEARCH("SCHNAPP",C430)),"Liqueurs",
 ISNUMBER(SEARCH("GIN",C430)),"Gin",
 TRUE,"Other")</f>
        <v>Liqueurs</v>
      </c>
      <c r="E430" s="5">
        <v>8135</v>
      </c>
      <c r="F430" s="5">
        <v>146372.28000000081</v>
      </c>
      <c r="G430" s="5">
        <v>6589.0100000000066</v>
      </c>
      <c r="H430" s="5">
        <v>1102</v>
      </c>
    </row>
    <row r="431" spans="1:8">
      <c r="A431" s="5">
        <v>2021</v>
      </c>
      <c r="B431" s="6">
        <v>44287</v>
      </c>
      <c r="C431" s="5" t="s">
        <v>21</v>
      </c>
      <c r="D431" s="3" t="str" cm="1">
        <f t="array" ref="D431">_xlfn.IFS(
 ISNUMBER(SEARCH("WHISK",C431)),"Whiskey",
 ISNUMBER(SEARCH("BOURBON",C431)),"Whiskey",
 ISNUMBER(SEARCH("SCOTCH",C431)),"Whiskey",
 ISNUMBER(SEARCH("RYE",C431)),"Whiskey",
 ISNUMBER(SEARCH("VODKA",C431)),"Vodka",
 ISNUMBER(SEARCH("TEQUILA",C431)),"Tequila/Mezcal",
 ISNUMBER(SEARCH("MEZCAL",C431)),"Tequila/Mezcal",
 ISNUMBER(SEARCH("RUM",C431)),"Rum",
 ISNUMBER(SEARCH("BRAND",C431)),"Brandy",
 ISNUMBER(SEARCH("COGNAC",C431)),"Brandy",
 ISNUMBER(SEARCH("LIQUEUR",C431)),"Liqueurs",
 ISNUMBER(SEARCH("CORDIAL",C431)),"Liqueurs",
 ISNUMBER(SEARCH("SCHNAPP",C431)),"Liqueurs",
 ISNUMBER(SEARCH("GIN",C431)),"Gin",
 TRUE,"Other")</f>
        <v>Whiskey</v>
      </c>
      <c r="E431" s="5">
        <v>1182</v>
      </c>
      <c r="F431" s="5">
        <v>47316.26</v>
      </c>
      <c r="G431" s="5">
        <v>886.5</v>
      </c>
      <c r="H431" s="5">
        <v>100</v>
      </c>
    </row>
    <row r="432" spans="1:8">
      <c r="A432" s="5">
        <v>2021</v>
      </c>
      <c r="B432" s="6">
        <v>44287</v>
      </c>
      <c r="C432" s="5" t="s">
        <v>22</v>
      </c>
      <c r="D432" s="3" t="str" cm="1">
        <f t="array" ref="D432">_xlfn.IFS(
 ISNUMBER(SEARCH("WHISK",C432)),"Whiskey",
 ISNUMBER(SEARCH("BOURBON",C432)),"Whiskey",
 ISNUMBER(SEARCH("SCOTCH",C432)),"Whiskey",
 ISNUMBER(SEARCH("RYE",C432)),"Whiskey",
 ISNUMBER(SEARCH("VODKA",C432)),"Vodka",
 ISNUMBER(SEARCH("TEQUILA",C432)),"Tequila/Mezcal",
 ISNUMBER(SEARCH("MEZCAL",C432)),"Tequila/Mezcal",
 ISNUMBER(SEARCH("RUM",C432)),"Rum",
 ISNUMBER(SEARCH("BRAND",C432)),"Brandy",
 ISNUMBER(SEARCH("COGNAC",C432)),"Brandy",
 ISNUMBER(SEARCH("LIQUEUR",C432)),"Liqueurs",
 ISNUMBER(SEARCH("CORDIAL",C432)),"Liqueurs",
 ISNUMBER(SEARCH("SCHNAPP",C432)),"Liqueurs",
 ISNUMBER(SEARCH("GIN",C432)),"Gin",
 TRUE,"Other")</f>
        <v>Liqueurs</v>
      </c>
      <c r="E432" s="5">
        <v>23717</v>
      </c>
      <c r="F432" s="5">
        <v>468071.41999999806</v>
      </c>
      <c r="G432" s="5">
        <v>19709.939999999868</v>
      </c>
      <c r="H432" s="5">
        <v>3871</v>
      </c>
    </row>
    <row r="433" spans="1:8">
      <c r="A433" s="5">
        <v>2021</v>
      </c>
      <c r="B433" s="6">
        <v>44287</v>
      </c>
      <c r="C433" s="5" t="s">
        <v>23</v>
      </c>
      <c r="D433" s="3" t="str" cm="1">
        <f t="array" ref="D433">_xlfn.IFS(
 ISNUMBER(SEARCH("WHISK",C433)),"Whiskey",
 ISNUMBER(SEARCH("BOURBON",C433)),"Whiskey",
 ISNUMBER(SEARCH("SCOTCH",C433)),"Whiskey",
 ISNUMBER(SEARCH("RYE",C433)),"Whiskey",
 ISNUMBER(SEARCH("VODKA",C433)),"Vodka",
 ISNUMBER(SEARCH("TEQUILA",C433)),"Tequila/Mezcal",
 ISNUMBER(SEARCH("MEZCAL",C433)),"Tequila/Mezcal",
 ISNUMBER(SEARCH("RUM",C433)),"Rum",
 ISNUMBER(SEARCH("BRAND",C433)),"Brandy",
 ISNUMBER(SEARCH("COGNAC",C433)),"Brandy",
 ISNUMBER(SEARCH("LIQUEUR",C433)),"Liqueurs",
 ISNUMBER(SEARCH("CORDIAL",C433)),"Liqueurs",
 ISNUMBER(SEARCH("SCHNAPP",C433)),"Liqueurs",
 ISNUMBER(SEARCH("GIN",C433)),"Gin",
 TRUE,"Other")</f>
        <v>Gin</v>
      </c>
      <c r="E433" s="5">
        <v>912</v>
      </c>
      <c r="F433" s="5">
        <v>22220.259999999995</v>
      </c>
      <c r="G433" s="5">
        <v>611.89999999999964</v>
      </c>
      <c r="H433" s="5">
        <v>162</v>
      </c>
    </row>
    <row r="434" spans="1:8">
      <c r="A434" s="5">
        <v>2021</v>
      </c>
      <c r="B434" s="6">
        <v>44287</v>
      </c>
      <c r="C434" s="5" t="s">
        <v>24</v>
      </c>
      <c r="D434" s="3" t="str" cm="1">
        <f t="array" ref="D434">_xlfn.IFS(
 ISNUMBER(SEARCH("WHISK",C434)),"Whiskey",
 ISNUMBER(SEARCH("BOURBON",C434)),"Whiskey",
 ISNUMBER(SEARCH("SCOTCH",C434)),"Whiskey",
 ISNUMBER(SEARCH("RYE",C434)),"Whiskey",
 ISNUMBER(SEARCH("VODKA",C434)),"Vodka",
 ISNUMBER(SEARCH("TEQUILA",C434)),"Tequila/Mezcal",
 ISNUMBER(SEARCH("MEZCAL",C434)),"Tequila/Mezcal",
 ISNUMBER(SEARCH("RUM",C434)),"Rum",
 ISNUMBER(SEARCH("BRAND",C434)),"Brandy",
 ISNUMBER(SEARCH("COGNAC",C434)),"Brandy",
 ISNUMBER(SEARCH("LIQUEUR",C434)),"Liqueurs",
 ISNUMBER(SEARCH("CORDIAL",C434)),"Liqueurs",
 ISNUMBER(SEARCH("SCHNAPP",C434)),"Liqueurs",
 ISNUMBER(SEARCH("GIN",C434)),"Gin",
 TRUE,"Other")</f>
        <v>Rum</v>
      </c>
      <c r="E434" s="5">
        <v>58392</v>
      </c>
      <c r="F434" s="5">
        <v>799763.16999999853</v>
      </c>
      <c r="G434" s="5">
        <v>51717.710000000028</v>
      </c>
      <c r="H434" s="5">
        <v>5915</v>
      </c>
    </row>
    <row r="435" spans="1:8">
      <c r="A435" s="5">
        <v>2021</v>
      </c>
      <c r="B435" s="6">
        <v>44287</v>
      </c>
      <c r="C435" s="5" t="s">
        <v>25</v>
      </c>
      <c r="D435" s="3" t="str" cm="1">
        <f t="array" ref="D435">_xlfn.IFS(
 ISNUMBER(SEARCH("WHISK",C435)),"Whiskey",
 ISNUMBER(SEARCH("BOURBON",C435)),"Whiskey",
 ISNUMBER(SEARCH("SCOTCH",C435)),"Whiskey",
 ISNUMBER(SEARCH("RYE",C435)),"Whiskey",
 ISNUMBER(SEARCH("VODKA",C435)),"Vodka",
 ISNUMBER(SEARCH("TEQUILA",C435)),"Tequila/Mezcal",
 ISNUMBER(SEARCH("MEZCAL",C435)),"Tequila/Mezcal",
 ISNUMBER(SEARCH("RUM",C435)),"Rum",
 ISNUMBER(SEARCH("BRAND",C435)),"Brandy",
 ISNUMBER(SEARCH("COGNAC",C435)),"Brandy",
 ISNUMBER(SEARCH("LIQUEUR",C435)),"Liqueurs",
 ISNUMBER(SEARCH("CORDIAL",C435)),"Liqueurs",
 ISNUMBER(SEARCH("SCHNAPP",C435)),"Liqueurs",
 ISNUMBER(SEARCH("GIN",C435)),"Gin",
 TRUE,"Other")</f>
        <v>Rum</v>
      </c>
      <c r="E435" s="5">
        <v>7878</v>
      </c>
      <c r="F435" s="5">
        <v>103052.4599999996</v>
      </c>
      <c r="G435" s="5">
        <v>8985.9700000000066</v>
      </c>
      <c r="H435" s="5">
        <v>1146</v>
      </c>
    </row>
    <row r="436" spans="1:8">
      <c r="A436" s="5">
        <v>2021</v>
      </c>
      <c r="B436" s="6">
        <v>44287</v>
      </c>
      <c r="C436" s="5" t="s">
        <v>26</v>
      </c>
      <c r="D436" s="3" t="str" cm="1">
        <f t="array" ref="D436">_xlfn.IFS(
 ISNUMBER(SEARCH("WHISK",C436)),"Whiskey",
 ISNUMBER(SEARCH("BOURBON",C436)),"Whiskey",
 ISNUMBER(SEARCH("SCOTCH",C436)),"Whiskey",
 ISNUMBER(SEARCH("RYE",C436)),"Whiskey",
 ISNUMBER(SEARCH("VODKA",C436)),"Vodka",
 ISNUMBER(SEARCH("TEQUILA",C436)),"Tequila/Mezcal",
 ISNUMBER(SEARCH("MEZCAL",C436)),"Tequila/Mezcal",
 ISNUMBER(SEARCH("RUM",C436)),"Rum",
 ISNUMBER(SEARCH("BRAND",C436)),"Brandy",
 ISNUMBER(SEARCH("COGNAC",C436)),"Brandy",
 ISNUMBER(SEARCH("LIQUEUR",C436)),"Liqueurs",
 ISNUMBER(SEARCH("CORDIAL",C436)),"Liqueurs",
 ISNUMBER(SEARCH("SCHNAPP",C436)),"Liqueurs",
 ISNUMBER(SEARCH("GIN",C436)),"Gin",
 TRUE,"Other")</f>
        <v>Brandy</v>
      </c>
      <c r="E436" s="5">
        <v>97555</v>
      </c>
      <c r="F436" s="5">
        <v>1714161.9799999183</v>
      </c>
      <c r="G436" s="5">
        <v>36215.140000000116</v>
      </c>
      <c r="H436" s="5">
        <v>4795</v>
      </c>
    </row>
    <row r="437" spans="1:8">
      <c r="A437" s="5">
        <v>2021</v>
      </c>
      <c r="B437" s="6">
        <v>44287</v>
      </c>
      <c r="C437" s="5" t="s">
        <v>60</v>
      </c>
      <c r="D437" s="3" t="str" cm="1">
        <f t="array" ref="D437">_xlfn.IFS(
 ISNUMBER(SEARCH("WHISK",C437)),"Whiskey",
 ISNUMBER(SEARCH("BOURBON",C437)),"Whiskey",
 ISNUMBER(SEARCH("SCOTCH",C437)),"Whiskey",
 ISNUMBER(SEARCH("RYE",C437)),"Whiskey",
 ISNUMBER(SEARCH("VODKA",C437)),"Vodka",
 ISNUMBER(SEARCH("TEQUILA",C437)),"Tequila/Mezcal",
 ISNUMBER(SEARCH("MEZCAL",C437)),"Tequila/Mezcal",
 ISNUMBER(SEARCH("RUM",C437)),"Rum",
 ISNUMBER(SEARCH("BRAND",C437)),"Brandy",
 ISNUMBER(SEARCH("COGNAC",C437)),"Brandy",
 ISNUMBER(SEARCH("LIQUEUR",C437)),"Liqueurs",
 ISNUMBER(SEARCH("CORDIAL",C437)),"Liqueurs",
 ISNUMBER(SEARCH("SCHNAPP",C437)),"Liqueurs",
 ISNUMBER(SEARCH("GIN",C437)),"Gin",
 TRUE,"Other")</f>
        <v>Liqueurs</v>
      </c>
      <c r="E437" s="5">
        <v>43803</v>
      </c>
      <c r="F437" s="5">
        <v>930814.60000000091</v>
      </c>
      <c r="G437" s="5">
        <v>30464.699999999808</v>
      </c>
      <c r="H437" s="5">
        <v>5426</v>
      </c>
    </row>
    <row r="438" spans="1:8">
      <c r="A438" s="5">
        <v>2021</v>
      </c>
      <c r="B438" s="6">
        <v>44287</v>
      </c>
      <c r="C438" s="5" t="s">
        <v>29</v>
      </c>
      <c r="D438" s="3" t="str" cm="1">
        <f t="array" ref="D438">_xlfn.IFS(
 ISNUMBER(SEARCH("WHISK",C438)),"Whiskey",
 ISNUMBER(SEARCH("BOURBON",C438)),"Whiskey",
 ISNUMBER(SEARCH("SCOTCH",C438)),"Whiskey",
 ISNUMBER(SEARCH("RYE",C438)),"Whiskey",
 ISNUMBER(SEARCH("VODKA",C438)),"Vodka",
 ISNUMBER(SEARCH("TEQUILA",C438)),"Tequila/Mezcal",
 ISNUMBER(SEARCH("MEZCAL",C438)),"Tequila/Mezcal",
 ISNUMBER(SEARCH("RUM",C438)),"Rum",
 ISNUMBER(SEARCH("BRAND",C438)),"Brandy",
 ISNUMBER(SEARCH("COGNAC",C438)),"Brandy",
 ISNUMBER(SEARCH("LIQUEUR",C438)),"Liqueurs",
 ISNUMBER(SEARCH("CORDIAL",C438)),"Liqueurs",
 ISNUMBER(SEARCH("SCHNAPP",C438)),"Liqueurs",
 ISNUMBER(SEARCH("GIN",C438)),"Gin",
 TRUE,"Other")</f>
        <v>Gin</v>
      </c>
      <c r="E438" s="5">
        <v>18654</v>
      </c>
      <c r="F438" s="5">
        <v>449216.29999999929</v>
      </c>
      <c r="G438" s="5">
        <v>17263.299999999981</v>
      </c>
      <c r="H438" s="5">
        <v>2667</v>
      </c>
    </row>
    <row r="439" spans="1:8">
      <c r="A439" s="5">
        <v>2021</v>
      </c>
      <c r="B439" s="6">
        <v>44287</v>
      </c>
      <c r="C439" s="5" t="s">
        <v>30</v>
      </c>
      <c r="D439" s="3" t="str" cm="1">
        <f t="array" ref="D439">_xlfn.IFS(
 ISNUMBER(SEARCH("WHISK",C439)),"Whiskey",
 ISNUMBER(SEARCH("BOURBON",C439)),"Whiskey",
 ISNUMBER(SEARCH("SCOTCH",C439)),"Whiskey",
 ISNUMBER(SEARCH("RYE",C439)),"Whiskey",
 ISNUMBER(SEARCH("VODKA",C439)),"Vodka",
 ISNUMBER(SEARCH("TEQUILA",C439)),"Tequila/Mezcal",
 ISNUMBER(SEARCH("MEZCAL",C439)),"Tequila/Mezcal",
 ISNUMBER(SEARCH("RUM",C439)),"Rum",
 ISNUMBER(SEARCH("BRAND",C439)),"Brandy",
 ISNUMBER(SEARCH("COGNAC",C439)),"Brandy",
 ISNUMBER(SEARCH("LIQUEUR",C439)),"Liqueurs",
 ISNUMBER(SEARCH("CORDIAL",C439)),"Liqueurs",
 ISNUMBER(SEARCH("SCHNAPP",C439)),"Liqueurs",
 ISNUMBER(SEARCH("GIN",C439)),"Gin",
 TRUE,"Other")</f>
        <v>Vodka</v>
      </c>
      <c r="E439" s="5">
        <v>30368</v>
      </c>
      <c r="F439" s="5">
        <v>519994.1999999999</v>
      </c>
      <c r="G439" s="5">
        <v>23217.179999999989</v>
      </c>
      <c r="H439" s="5">
        <v>4251</v>
      </c>
    </row>
    <row r="440" spans="1:8">
      <c r="A440" s="5">
        <v>2021</v>
      </c>
      <c r="B440" s="6">
        <v>44287</v>
      </c>
      <c r="C440" s="5" t="s">
        <v>31</v>
      </c>
      <c r="D440" s="3" t="str" cm="1">
        <f t="array" ref="D440">_xlfn.IFS(
 ISNUMBER(SEARCH("WHISK",C440)),"Whiskey",
 ISNUMBER(SEARCH("BOURBON",C440)),"Whiskey",
 ISNUMBER(SEARCH("SCOTCH",C440)),"Whiskey",
 ISNUMBER(SEARCH("RYE",C440)),"Whiskey",
 ISNUMBER(SEARCH("VODKA",C440)),"Vodka",
 ISNUMBER(SEARCH("TEQUILA",C440)),"Tequila/Mezcal",
 ISNUMBER(SEARCH("MEZCAL",C440)),"Tequila/Mezcal",
 ISNUMBER(SEARCH("RUM",C440)),"Rum",
 ISNUMBER(SEARCH("BRAND",C440)),"Brandy",
 ISNUMBER(SEARCH("COGNAC",C440)),"Brandy",
 ISNUMBER(SEARCH("LIQUEUR",C440)),"Liqueurs",
 ISNUMBER(SEARCH("CORDIAL",C440)),"Liqueurs",
 ISNUMBER(SEARCH("SCHNAPP",C440)),"Liqueurs",
 ISNUMBER(SEARCH("GIN",C440)),"Gin",
 TRUE,"Other")</f>
        <v>Liqueurs</v>
      </c>
      <c r="E440" s="5">
        <v>33544</v>
      </c>
      <c r="F440" s="5">
        <v>570061.7599999971</v>
      </c>
      <c r="G440" s="5">
        <v>30254.789999999732</v>
      </c>
      <c r="H440" s="5">
        <v>3394</v>
      </c>
    </row>
    <row r="441" spans="1:8">
      <c r="A441" s="5">
        <v>2021</v>
      </c>
      <c r="B441" s="6">
        <v>44287</v>
      </c>
      <c r="C441" s="5" t="s">
        <v>32</v>
      </c>
      <c r="D441" s="3" t="str" cm="1">
        <f t="array" ref="D441">_xlfn.IFS(
 ISNUMBER(SEARCH("WHISK",C441)),"Whiskey",
 ISNUMBER(SEARCH("BOURBON",C441)),"Whiskey",
 ISNUMBER(SEARCH("SCOTCH",C441)),"Whiskey",
 ISNUMBER(SEARCH("RYE",C441)),"Whiskey",
 ISNUMBER(SEARCH("VODKA",C441)),"Vodka",
 ISNUMBER(SEARCH("TEQUILA",C441)),"Tequila/Mezcal",
 ISNUMBER(SEARCH("MEZCAL",C441)),"Tequila/Mezcal",
 ISNUMBER(SEARCH("RUM",C441)),"Rum",
 ISNUMBER(SEARCH("BRAND",C441)),"Brandy",
 ISNUMBER(SEARCH("COGNAC",C441)),"Brandy",
 ISNUMBER(SEARCH("LIQUEUR",C441)),"Liqueurs",
 ISNUMBER(SEARCH("CORDIAL",C441)),"Liqueurs",
 ISNUMBER(SEARCH("SCHNAPP",C441)),"Liqueurs",
 ISNUMBER(SEARCH("GIN",C441)),"Gin",
 TRUE,"Other")</f>
        <v>Vodka</v>
      </c>
      <c r="E441" s="5">
        <v>68253</v>
      </c>
      <c r="F441" s="5">
        <v>1224106.2199999639</v>
      </c>
      <c r="G441" s="5">
        <v>68087.660000000717</v>
      </c>
      <c r="H441" s="5">
        <v>7210</v>
      </c>
    </row>
    <row r="442" spans="1:8">
      <c r="A442" s="5">
        <v>2021</v>
      </c>
      <c r="B442" s="6">
        <v>44287</v>
      </c>
      <c r="C442" s="5" t="s">
        <v>33</v>
      </c>
      <c r="D442" s="3" t="str" cm="1">
        <f t="array" ref="D442">_xlfn.IFS(
 ISNUMBER(SEARCH("WHISK",C442)),"Whiskey",
 ISNUMBER(SEARCH("BOURBON",C442)),"Whiskey",
 ISNUMBER(SEARCH("SCOTCH",C442)),"Whiskey",
 ISNUMBER(SEARCH("RYE",C442)),"Whiskey",
 ISNUMBER(SEARCH("VODKA",C442)),"Vodka",
 ISNUMBER(SEARCH("TEQUILA",C442)),"Tequila/Mezcal",
 ISNUMBER(SEARCH("MEZCAL",C442)),"Tequila/Mezcal",
 ISNUMBER(SEARCH("RUM",C442)),"Rum",
 ISNUMBER(SEARCH("BRAND",C442)),"Brandy",
 ISNUMBER(SEARCH("COGNAC",C442)),"Brandy",
 ISNUMBER(SEARCH("LIQUEUR",C442)),"Liqueurs",
 ISNUMBER(SEARCH("CORDIAL",C442)),"Liqueurs",
 ISNUMBER(SEARCH("SCHNAPP",C442)),"Liqueurs",
 ISNUMBER(SEARCH("GIN",C442)),"Gin",
 TRUE,"Other")</f>
        <v>Whiskey</v>
      </c>
      <c r="E442" s="5">
        <v>27473</v>
      </c>
      <c r="F442" s="5">
        <v>703560.60999999277</v>
      </c>
      <c r="G442" s="5">
        <v>23321.259999999955</v>
      </c>
      <c r="H442" s="5">
        <v>2797</v>
      </c>
    </row>
    <row r="443" spans="1:8">
      <c r="A443" s="5">
        <v>2021</v>
      </c>
      <c r="B443" s="6">
        <v>44287</v>
      </c>
      <c r="C443" s="5" t="s">
        <v>34</v>
      </c>
      <c r="D443" s="3" t="str" cm="1">
        <f t="array" ref="D443">_xlfn.IFS(
 ISNUMBER(SEARCH("WHISK",C443)),"Whiskey",
 ISNUMBER(SEARCH("BOURBON",C443)),"Whiskey",
 ISNUMBER(SEARCH("SCOTCH",C443)),"Whiskey",
 ISNUMBER(SEARCH("RYE",C443)),"Whiskey",
 ISNUMBER(SEARCH("VODKA",C443)),"Vodka",
 ISNUMBER(SEARCH("TEQUILA",C443)),"Tequila/Mezcal",
 ISNUMBER(SEARCH("MEZCAL",C443)),"Tequila/Mezcal",
 ISNUMBER(SEARCH("RUM",C443)),"Rum",
 ISNUMBER(SEARCH("BRAND",C443)),"Brandy",
 ISNUMBER(SEARCH("COGNAC",C443)),"Brandy",
 ISNUMBER(SEARCH("LIQUEUR",C443)),"Liqueurs",
 ISNUMBER(SEARCH("CORDIAL",C443)),"Liqueurs",
 ISNUMBER(SEARCH("SCHNAPP",C443)),"Liqueurs",
 ISNUMBER(SEARCH("GIN",C443)),"Gin",
 TRUE,"Other")</f>
        <v>Tequila/Mezcal</v>
      </c>
      <c r="E443" s="5">
        <v>1126</v>
      </c>
      <c r="F443" s="5">
        <v>34517.229999999967</v>
      </c>
      <c r="G443" s="5">
        <v>862.5</v>
      </c>
      <c r="H443" s="5">
        <v>212</v>
      </c>
    </row>
    <row r="444" spans="1:8">
      <c r="A444" s="5">
        <v>2021</v>
      </c>
      <c r="B444" s="6">
        <v>44287</v>
      </c>
      <c r="C444" s="5" t="s">
        <v>35</v>
      </c>
      <c r="D444" s="3" t="str" cm="1">
        <f t="array" ref="D444">_xlfn.IFS(
 ISNUMBER(SEARCH("WHISK",C444)),"Whiskey",
 ISNUMBER(SEARCH("BOURBON",C444)),"Whiskey",
 ISNUMBER(SEARCH("SCOTCH",C444)),"Whiskey",
 ISNUMBER(SEARCH("RYE",C444)),"Whiskey",
 ISNUMBER(SEARCH("VODKA",C444)),"Vodka",
 ISNUMBER(SEARCH("TEQUILA",C444)),"Tequila/Mezcal",
 ISNUMBER(SEARCH("MEZCAL",C444)),"Tequila/Mezcal",
 ISNUMBER(SEARCH("RUM",C444)),"Rum",
 ISNUMBER(SEARCH("BRAND",C444)),"Brandy",
 ISNUMBER(SEARCH("COGNAC",C444)),"Brandy",
 ISNUMBER(SEARCH("LIQUEUR",C444)),"Liqueurs",
 ISNUMBER(SEARCH("CORDIAL",C444)),"Liqueurs",
 ISNUMBER(SEARCH("SCHNAPP",C444)),"Liqueurs",
 ISNUMBER(SEARCH("GIN",C444)),"Gin",
 TRUE,"Other")</f>
        <v>Tequila/Mezcal</v>
      </c>
      <c r="E444" s="5">
        <v>74567</v>
      </c>
      <c r="F444" s="5">
        <v>1030458.9699999803</v>
      </c>
      <c r="G444" s="5">
        <v>62186.569999999891</v>
      </c>
      <c r="H444" s="5">
        <v>4657</v>
      </c>
    </row>
    <row r="445" spans="1:8">
      <c r="A445" s="5">
        <v>2021</v>
      </c>
      <c r="B445" s="6">
        <v>44287</v>
      </c>
      <c r="C445" s="5" t="s">
        <v>36</v>
      </c>
      <c r="D445" s="3" t="str" cm="1">
        <f t="array" ref="D445">_xlfn.IFS(
 ISNUMBER(SEARCH("WHISK",C445)),"Whiskey",
 ISNUMBER(SEARCH("BOURBON",C445)),"Whiskey",
 ISNUMBER(SEARCH("SCOTCH",C445)),"Whiskey",
 ISNUMBER(SEARCH("RYE",C445)),"Whiskey",
 ISNUMBER(SEARCH("VODKA",C445)),"Vodka",
 ISNUMBER(SEARCH("TEQUILA",C445)),"Tequila/Mezcal",
 ISNUMBER(SEARCH("MEZCAL",C445)),"Tequila/Mezcal",
 ISNUMBER(SEARCH("RUM",C445)),"Rum",
 ISNUMBER(SEARCH("BRAND",C445)),"Brandy",
 ISNUMBER(SEARCH("COGNAC",C445)),"Brandy",
 ISNUMBER(SEARCH("LIQUEUR",C445)),"Liqueurs",
 ISNUMBER(SEARCH("CORDIAL",C445)),"Liqueurs",
 ISNUMBER(SEARCH("SCHNAPP",C445)),"Liqueurs",
 ISNUMBER(SEARCH("GIN",C445)),"Gin",
 TRUE,"Other")</f>
        <v>Other</v>
      </c>
      <c r="E445" s="5">
        <v>3070</v>
      </c>
      <c r="F445" s="5">
        <v>38422.720000000001</v>
      </c>
      <c r="G445" s="5">
        <v>2402.7199999999993</v>
      </c>
      <c r="H445" s="5">
        <v>360</v>
      </c>
    </row>
    <row r="446" spans="1:8">
      <c r="A446" s="5">
        <v>2021</v>
      </c>
      <c r="B446" s="6">
        <v>44287</v>
      </c>
      <c r="C446" s="5" t="s">
        <v>37</v>
      </c>
      <c r="D446" s="3" t="str" cm="1">
        <f t="array" ref="D446">_xlfn.IFS(
 ISNUMBER(SEARCH("WHISK",C446)),"Whiskey",
 ISNUMBER(SEARCH("BOURBON",C446)),"Whiskey",
 ISNUMBER(SEARCH("SCOTCH",C446)),"Whiskey",
 ISNUMBER(SEARCH("RYE",C446)),"Whiskey",
 ISNUMBER(SEARCH("VODKA",C446)),"Vodka",
 ISNUMBER(SEARCH("TEQUILA",C446)),"Tequila/Mezcal",
 ISNUMBER(SEARCH("MEZCAL",C446)),"Tequila/Mezcal",
 ISNUMBER(SEARCH("RUM",C446)),"Rum",
 ISNUMBER(SEARCH("BRAND",C446)),"Brandy",
 ISNUMBER(SEARCH("COGNAC",C446)),"Brandy",
 ISNUMBER(SEARCH("LIQUEUR",C446)),"Liqueurs",
 ISNUMBER(SEARCH("CORDIAL",C446)),"Liqueurs",
 ISNUMBER(SEARCH("SCHNAPP",C446)),"Liqueurs",
 ISNUMBER(SEARCH("GIN",C446)),"Gin",
 TRUE,"Other")</f>
        <v>Other</v>
      </c>
      <c r="E446" s="5">
        <v>7742</v>
      </c>
      <c r="F446" s="5">
        <v>123093.63999999968</v>
      </c>
      <c r="G446" s="5">
        <v>4719.4000000000024</v>
      </c>
      <c r="H446" s="5">
        <v>1338</v>
      </c>
    </row>
    <row r="447" spans="1:8">
      <c r="A447" s="5">
        <v>2021</v>
      </c>
      <c r="B447" s="6">
        <v>44287</v>
      </c>
      <c r="C447" s="5" t="s">
        <v>38</v>
      </c>
      <c r="D447" s="3" t="str" cm="1">
        <f t="array" ref="D447">_xlfn.IFS(
 ISNUMBER(SEARCH("WHISK",C447)),"Whiskey",
 ISNUMBER(SEARCH("BOURBON",C447)),"Whiskey",
 ISNUMBER(SEARCH("SCOTCH",C447)),"Whiskey",
 ISNUMBER(SEARCH("RYE",C447)),"Whiskey",
 ISNUMBER(SEARCH("VODKA",C447)),"Vodka",
 ISNUMBER(SEARCH("TEQUILA",C447)),"Tequila/Mezcal",
 ISNUMBER(SEARCH("MEZCAL",C447)),"Tequila/Mezcal",
 ISNUMBER(SEARCH("RUM",C447)),"Rum",
 ISNUMBER(SEARCH("BRAND",C447)),"Brandy",
 ISNUMBER(SEARCH("COGNAC",C447)),"Brandy",
 ISNUMBER(SEARCH("LIQUEUR",C447)),"Liqueurs",
 ISNUMBER(SEARCH("CORDIAL",C447)),"Liqueurs",
 ISNUMBER(SEARCH("SCHNAPP",C447)),"Liqueurs",
 ISNUMBER(SEARCH("GIN",C447)),"Gin",
 TRUE,"Other")</f>
        <v>Whiskey</v>
      </c>
      <c r="E447" s="5">
        <v>18845</v>
      </c>
      <c r="F447" s="5">
        <v>490999.94999999867</v>
      </c>
      <c r="G447" s="5">
        <v>21164.669999999991</v>
      </c>
      <c r="H447" s="5">
        <v>3207</v>
      </c>
    </row>
    <row r="448" spans="1:8">
      <c r="A448" s="5">
        <v>2021</v>
      </c>
      <c r="B448" s="6">
        <v>44287</v>
      </c>
      <c r="C448" s="5" t="s">
        <v>39</v>
      </c>
      <c r="D448" s="3" t="str" cm="1">
        <f t="array" ref="D448">_xlfn.IFS(
 ISNUMBER(SEARCH("WHISK",C448)),"Whiskey",
 ISNUMBER(SEARCH("BOURBON",C448)),"Whiskey",
 ISNUMBER(SEARCH("SCOTCH",C448)),"Whiskey",
 ISNUMBER(SEARCH("RYE",C448)),"Whiskey",
 ISNUMBER(SEARCH("VODKA",C448)),"Vodka",
 ISNUMBER(SEARCH("TEQUILA",C448)),"Tequila/Mezcal",
 ISNUMBER(SEARCH("MEZCAL",C448)),"Tequila/Mezcal",
 ISNUMBER(SEARCH("RUM",C448)),"Rum",
 ISNUMBER(SEARCH("BRAND",C448)),"Brandy",
 ISNUMBER(SEARCH("COGNAC",C448)),"Brandy",
 ISNUMBER(SEARCH("LIQUEUR",C448)),"Liqueurs",
 ISNUMBER(SEARCH("CORDIAL",C448)),"Liqueurs",
 ISNUMBER(SEARCH("SCHNAPP",C448)),"Liqueurs",
 ISNUMBER(SEARCH("GIN",C448)),"Gin",
 TRUE,"Other")</f>
        <v>Whiskey</v>
      </c>
      <c r="E448" s="5">
        <v>1612</v>
      </c>
      <c r="F448" s="5">
        <v>56676.960000000036</v>
      </c>
      <c r="G448" s="5">
        <v>1209</v>
      </c>
      <c r="H448" s="5">
        <v>143</v>
      </c>
    </row>
    <row r="449" spans="1:8">
      <c r="A449" s="5">
        <v>2021</v>
      </c>
      <c r="B449" s="6">
        <v>44287</v>
      </c>
      <c r="C449" s="5" t="s">
        <v>40</v>
      </c>
      <c r="D449" s="3" t="str" cm="1">
        <f t="array" ref="D449">_xlfn.IFS(
 ISNUMBER(SEARCH("WHISK",C449)),"Whiskey",
 ISNUMBER(SEARCH("BOURBON",C449)),"Whiskey",
 ISNUMBER(SEARCH("SCOTCH",C449)),"Whiskey",
 ISNUMBER(SEARCH("RYE",C449)),"Whiskey",
 ISNUMBER(SEARCH("VODKA",C449)),"Vodka",
 ISNUMBER(SEARCH("TEQUILA",C449)),"Tequila/Mezcal",
 ISNUMBER(SEARCH("MEZCAL",C449)),"Tequila/Mezcal",
 ISNUMBER(SEARCH("RUM",C449)),"Rum",
 ISNUMBER(SEARCH("BRAND",C449)),"Brandy",
 ISNUMBER(SEARCH("COGNAC",C449)),"Brandy",
 ISNUMBER(SEARCH("LIQUEUR",C449)),"Liqueurs",
 ISNUMBER(SEARCH("CORDIAL",C449)),"Liqueurs",
 ISNUMBER(SEARCH("SCHNAPP",C449)),"Liqueurs",
 ISNUMBER(SEARCH("GIN",C449)),"Gin",
 TRUE,"Other")</f>
        <v>Whiskey</v>
      </c>
      <c r="E449" s="5">
        <v>7557</v>
      </c>
      <c r="F449" s="5">
        <v>354884.25</v>
      </c>
      <c r="G449" s="5">
        <v>5890.1500000000005</v>
      </c>
      <c r="H449" s="5">
        <v>1887</v>
      </c>
    </row>
    <row r="450" spans="1:8">
      <c r="A450" s="5">
        <v>2021</v>
      </c>
      <c r="B450" s="6">
        <v>44287</v>
      </c>
      <c r="C450" s="5" t="s">
        <v>41</v>
      </c>
      <c r="D450" s="3" t="str" cm="1">
        <f t="array" ref="D450">_xlfn.IFS(
 ISNUMBER(SEARCH("WHISK",C450)),"Whiskey",
 ISNUMBER(SEARCH("BOURBON",C450)),"Whiskey",
 ISNUMBER(SEARCH("SCOTCH",C450)),"Whiskey",
 ISNUMBER(SEARCH("RYE",C450)),"Whiskey",
 ISNUMBER(SEARCH("VODKA",C450)),"Vodka",
 ISNUMBER(SEARCH("TEQUILA",C450)),"Tequila/Mezcal",
 ISNUMBER(SEARCH("MEZCAL",C450)),"Tequila/Mezcal",
 ISNUMBER(SEARCH("RUM",C450)),"Rum",
 ISNUMBER(SEARCH("BRAND",C450)),"Brandy",
 ISNUMBER(SEARCH("COGNAC",C450)),"Brandy",
 ISNUMBER(SEARCH("LIQUEUR",C450)),"Liqueurs",
 ISNUMBER(SEARCH("CORDIAL",C450)),"Liqueurs",
 ISNUMBER(SEARCH("SCHNAPP",C450)),"Liqueurs",
 ISNUMBER(SEARCH("GIN",C450)),"Gin",
 TRUE,"Other")</f>
        <v>Other</v>
      </c>
      <c r="E450" s="5">
        <v>4584</v>
      </c>
      <c r="F450" s="5">
        <v>87265.399999999951</v>
      </c>
      <c r="G450" s="5">
        <v>3552.1999999999994</v>
      </c>
      <c r="H450" s="5">
        <v>541</v>
      </c>
    </row>
    <row r="451" spans="1:8">
      <c r="A451" s="5">
        <v>2021</v>
      </c>
      <c r="B451" s="6">
        <v>44287</v>
      </c>
      <c r="C451" s="5" t="s">
        <v>42</v>
      </c>
      <c r="D451" s="3" t="str" cm="1">
        <f t="array" ref="D451">_xlfn.IFS(
 ISNUMBER(SEARCH("WHISK",C451)),"Whiskey",
 ISNUMBER(SEARCH("BOURBON",C451)),"Whiskey",
 ISNUMBER(SEARCH("SCOTCH",C451)),"Whiskey",
 ISNUMBER(SEARCH("RYE",C451)),"Whiskey",
 ISNUMBER(SEARCH("VODKA",C451)),"Vodka",
 ISNUMBER(SEARCH("TEQUILA",C451)),"Tequila/Mezcal",
 ISNUMBER(SEARCH("MEZCAL",C451)),"Tequila/Mezcal",
 ISNUMBER(SEARCH("RUM",C451)),"Rum",
 ISNUMBER(SEARCH("BRAND",C451)),"Brandy",
 ISNUMBER(SEARCH("COGNAC",C451)),"Brandy",
 ISNUMBER(SEARCH("LIQUEUR",C451)),"Liqueurs",
 ISNUMBER(SEARCH("CORDIAL",C451)),"Liqueurs",
 ISNUMBER(SEARCH("SCHNAPP",C451)),"Liqueurs",
 ISNUMBER(SEARCH("GIN",C451)),"Gin",
 TRUE,"Other")</f>
        <v>Rum</v>
      </c>
      <c r="E451" s="5">
        <v>113108</v>
      </c>
      <c r="F451" s="5">
        <v>1568751.8399999891</v>
      </c>
      <c r="G451" s="5">
        <v>97981.940000000919</v>
      </c>
      <c r="H451" s="5">
        <v>9508</v>
      </c>
    </row>
    <row r="452" spans="1:8">
      <c r="A452" s="5">
        <v>2021</v>
      </c>
      <c r="B452" s="6">
        <v>44287</v>
      </c>
      <c r="C452" s="5" t="s">
        <v>43</v>
      </c>
      <c r="D452" s="3" t="str" cm="1">
        <f t="array" ref="D452">_xlfn.IFS(
 ISNUMBER(SEARCH("WHISK",C452)),"Whiskey",
 ISNUMBER(SEARCH("BOURBON",C452)),"Whiskey",
 ISNUMBER(SEARCH("SCOTCH",C452)),"Whiskey",
 ISNUMBER(SEARCH("RYE",C452)),"Whiskey",
 ISNUMBER(SEARCH("VODKA",C452)),"Vodka",
 ISNUMBER(SEARCH("TEQUILA",C452)),"Tequila/Mezcal",
 ISNUMBER(SEARCH("MEZCAL",C452)),"Tequila/Mezcal",
 ISNUMBER(SEARCH("RUM",C452)),"Rum",
 ISNUMBER(SEARCH("BRAND",C452)),"Brandy",
 ISNUMBER(SEARCH("COGNAC",C452)),"Brandy",
 ISNUMBER(SEARCH("LIQUEUR",C452)),"Liqueurs",
 ISNUMBER(SEARCH("CORDIAL",C452)),"Liqueurs",
 ISNUMBER(SEARCH("SCHNAPP",C452)),"Liqueurs",
 ISNUMBER(SEARCH("GIN",C452)),"Gin",
 TRUE,"Other")</f>
        <v>Whiskey</v>
      </c>
      <c r="E452" s="5">
        <v>120566</v>
      </c>
      <c r="F452" s="5">
        <v>2361239.3699999992</v>
      </c>
      <c r="G452" s="5">
        <v>92380.280000001687</v>
      </c>
      <c r="H452" s="5">
        <v>15325</v>
      </c>
    </row>
    <row r="453" spans="1:8">
      <c r="A453" s="5">
        <v>2021</v>
      </c>
      <c r="B453" s="6">
        <v>44287</v>
      </c>
      <c r="C453" s="5" t="s">
        <v>44</v>
      </c>
      <c r="D453" s="3" t="str" cm="1">
        <f t="array" ref="D453">_xlfn.IFS(
 ISNUMBER(SEARCH("WHISK",C453)),"Whiskey",
 ISNUMBER(SEARCH("BOURBON",C453)),"Whiskey",
 ISNUMBER(SEARCH("SCOTCH",C453)),"Whiskey",
 ISNUMBER(SEARCH("RYE",C453)),"Whiskey",
 ISNUMBER(SEARCH("VODKA",C453)),"Vodka",
 ISNUMBER(SEARCH("TEQUILA",C453)),"Tequila/Mezcal",
 ISNUMBER(SEARCH("MEZCAL",C453)),"Tequila/Mezcal",
 ISNUMBER(SEARCH("RUM",C453)),"Rum",
 ISNUMBER(SEARCH("BRAND",C453)),"Brandy",
 ISNUMBER(SEARCH("COGNAC",C453)),"Brandy",
 ISNUMBER(SEARCH("LIQUEUR",C453)),"Liqueurs",
 ISNUMBER(SEARCH("CORDIAL",C453)),"Liqueurs",
 ISNUMBER(SEARCH("SCHNAPP",C453)),"Liqueurs",
 ISNUMBER(SEARCH("GIN",C453)),"Gin",
 TRUE,"Other")</f>
        <v>Whiskey</v>
      </c>
      <c r="E453" s="5">
        <v>9731</v>
      </c>
      <c r="F453" s="5">
        <v>308496.30000000179</v>
      </c>
      <c r="G453" s="5">
        <v>7404.4599999999991</v>
      </c>
      <c r="H453" s="5">
        <v>1703</v>
      </c>
    </row>
    <row r="454" spans="1:8">
      <c r="A454" s="5">
        <v>2021</v>
      </c>
      <c r="B454" s="6">
        <v>44287</v>
      </c>
      <c r="C454" s="5" t="s">
        <v>45</v>
      </c>
      <c r="D454" s="3" t="str" cm="1">
        <f t="array" ref="D454">_xlfn.IFS(
 ISNUMBER(SEARCH("WHISK",C454)),"Whiskey",
 ISNUMBER(SEARCH("BOURBON",C454)),"Whiskey",
 ISNUMBER(SEARCH("SCOTCH",C454)),"Whiskey",
 ISNUMBER(SEARCH("RYE",C454)),"Whiskey",
 ISNUMBER(SEARCH("VODKA",C454)),"Vodka",
 ISNUMBER(SEARCH("TEQUILA",C454)),"Tequila/Mezcal",
 ISNUMBER(SEARCH("MEZCAL",C454)),"Tequila/Mezcal",
 ISNUMBER(SEARCH("RUM",C454)),"Rum",
 ISNUMBER(SEARCH("BRAND",C454)),"Brandy",
 ISNUMBER(SEARCH("COGNAC",C454)),"Brandy",
 ISNUMBER(SEARCH("LIQUEUR",C454)),"Liqueurs",
 ISNUMBER(SEARCH("CORDIAL",C454)),"Liqueurs",
 ISNUMBER(SEARCH("SCHNAPP",C454)),"Liqueurs",
 ISNUMBER(SEARCH("GIN",C454)),"Gin",
 TRUE,"Other")</f>
        <v>Other</v>
      </c>
      <c r="E454" s="5">
        <v>33186</v>
      </c>
      <c r="F454" s="5">
        <v>616771.36000000814</v>
      </c>
      <c r="G454" s="5">
        <v>25086.739999999856</v>
      </c>
      <c r="H454" s="5">
        <v>3293</v>
      </c>
    </row>
    <row r="455" spans="1:8">
      <c r="A455" s="5">
        <v>2021</v>
      </c>
      <c r="B455" s="6">
        <v>44287</v>
      </c>
      <c r="C455" s="5" t="s">
        <v>46</v>
      </c>
      <c r="D455" s="3" t="str" cm="1">
        <f t="array" ref="D455">_xlfn.IFS(
 ISNUMBER(SEARCH("WHISK",C455)),"Whiskey",
 ISNUMBER(SEARCH("BOURBON",C455)),"Whiskey",
 ISNUMBER(SEARCH("SCOTCH",C455)),"Whiskey",
 ISNUMBER(SEARCH("RYE",C455)),"Whiskey",
 ISNUMBER(SEARCH("VODKA",C455)),"Vodka",
 ISNUMBER(SEARCH("TEQUILA",C455)),"Tequila/Mezcal",
 ISNUMBER(SEARCH("MEZCAL",C455)),"Tequila/Mezcal",
 ISNUMBER(SEARCH("RUM",C455)),"Rum",
 ISNUMBER(SEARCH("BRAND",C455)),"Brandy",
 ISNUMBER(SEARCH("COGNAC",C455)),"Brandy",
 ISNUMBER(SEARCH("LIQUEUR",C455)),"Liqueurs",
 ISNUMBER(SEARCH("CORDIAL",C455)),"Liqueurs",
 ISNUMBER(SEARCH("SCHNAPP",C455)),"Liqueurs",
 ISNUMBER(SEARCH("GIN",C455)),"Gin",
 TRUE,"Other")</f>
        <v>Whiskey</v>
      </c>
      <c r="E455" s="5">
        <v>67509</v>
      </c>
      <c r="F455" s="5">
        <v>1501057.6400000304</v>
      </c>
      <c r="G455" s="5">
        <v>47847.549999999923</v>
      </c>
      <c r="H455" s="5">
        <v>7143</v>
      </c>
    </row>
    <row r="456" spans="1:8">
      <c r="A456" s="5">
        <v>2021</v>
      </c>
      <c r="B456" s="6">
        <v>44287</v>
      </c>
      <c r="C456" s="5" t="s">
        <v>47</v>
      </c>
      <c r="D456" s="3" t="str" cm="1">
        <f t="array" ref="D456">_xlfn.IFS(
 ISNUMBER(SEARCH("WHISK",C456)),"Whiskey",
 ISNUMBER(SEARCH("BOURBON",C456)),"Whiskey",
 ISNUMBER(SEARCH("SCOTCH",C456)),"Whiskey",
 ISNUMBER(SEARCH("RYE",C456)),"Whiskey",
 ISNUMBER(SEARCH("VODKA",C456)),"Vodka",
 ISNUMBER(SEARCH("TEQUILA",C456)),"Tequila/Mezcal",
 ISNUMBER(SEARCH("MEZCAL",C456)),"Tequila/Mezcal",
 ISNUMBER(SEARCH("RUM",C456)),"Rum",
 ISNUMBER(SEARCH("BRAND",C456)),"Brandy",
 ISNUMBER(SEARCH("COGNAC",C456)),"Brandy",
 ISNUMBER(SEARCH("LIQUEUR",C456)),"Liqueurs",
 ISNUMBER(SEARCH("CORDIAL",C456)),"Liqueurs",
 ISNUMBER(SEARCH("SCHNAPP",C456)),"Liqueurs",
 ISNUMBER(SEARCH("GIN",C456)),"Gin",
 TRUE,"Other")</f>
        <v>Other</v>
      </c>
      <c r="E456" s="5">
        <v>20380</v>
      </c>
      <c r="F456" s="5">
        <v>81766.259999999864</v>
      </c>
      <c r="G456" s="5">
        <v>20090</v>
      </c>
      <c r="H456" s="5">
        <v>759</v>
      </c>
    </row>
    <row r="457" spans="1:8">
      <c r="A457" s="5">
        <v>2021</v>
      </c>
      <c r="B457" s="6">
        <v>44287</v>
      </c>
      <c r="C457" s="5" t="s">
        <v>48</v>
      </c>
      <c r="D457" s="3" t="str" cm="1">
        <f t="array" ref="D457">_xlfn.IFS(
 ISNUMBER(SEARCH("WHISK",C457)),"Whiskey",
 ISNUMBER(SEARCH("BOURBON",C457)),"Whiskey",
 ISNUMBER(SEARCH("SCOTCH",C457)),"Whiskey",
 ISNUMBER(SEARCH("RYE",C457)),"Whiskey",
 ISNUMBER(SEARCH("VODKA",C457)),"Vodka",
 ISNUMBER(SEARCH("TEQUILA",C457)),"Tequila/Mezcal",
 ISNUMBER(SEARCH("MEZCAL",C457)),"Tequila/Mezcal",
 ISNUMBER(SEARCH("RUM",C457)),"Rum",
 ISNUMBER(SEARCH("BRAND",C457)),"Brandy",
 ISNUMBER(SEARCH("COGNAC",C457)),"Brandy",
 ISNUMBER(SEARCH("LIQUEUR",C457)),"Liqueurs",
 ISNUMBER(SEARCH("CORDIAL",C457)),"Liqueurs",
 ISNUMBER(SEARCH("SCHNAPP",C457)),"Liqueurs",
 ISNUMBER(SEARCH("GIN",C457)),"Gin",
 TRUE,"Other")</f>
        <v>Whiskey</v>
      </c>
      <c r="E457" s="5">
        <v>336578</v>
      </c>
      <c r="F457" s="5">
        <v>2021253.7099999778</v>
      </c>
      <c r="G457" s="5">
        <v>94918.91000000335</v>
      </c>
      <c r="H457" s="5">
        <v>12530</v>
      </c>
    </row>
    <row r="458" spans="1:8">
      <c r="A458" s="5">
        <v>2021</v>
      </c>
      <c r="B458" s="6">
        <v>44287</v>
      </c>
      <c r="C458" s="5" t="s">
        <v>49</v>
      </c>
      <c r="D458" s="3" t="str" cm="1">
        <f t="array" ref="D458">_xlfn.IFS(
 ISNUMBER(SEARCH("WHISK",C458)),"Whiskey",
 ISNUMBER(SEARCH("BOURBON",C458)),"Whiskey",
 ISNUMBER(SEARCH("SCOTCH",C458)),"Whiskey",
 ISNUMBER(SEARCH("RYE",C458)),"Whiskey",
 ISNUMBER(SEARCH("VODKA",C458)),"Vodka",
 ISNUMBER(SEARCH("TEQUILA",C458)),"Tequila/Mezcal",
 ISNUMBER(SEARCH("MEZCAL",C458)),"Tequila/Mezcal",
 ISNUMBER(SEARCH("RUM",C458)),"Rum",
 ISNUMBER(SEARCH("BRAND",C458)),"Brandy",
 ISNUMBER(SEARCH("COGNAC",C458)),"Brandy",
 ISNUMBER(SEARCH("LIQUEUR",C458)),"Liqueurs",
 ISNUMBER(SEARCH("CORDIAL",C458)),"Liqueurs",
 ISNUMBER(SEARCH("SCHNAPP",C458)),"Liqueurs",
 ISNUMBER(SEARCH("GIN",C458)),"Gin",
 TRUE,"Other")</f>
        <v>Rum</v>
      </c>
      <c r="E458" s="5">
        <v>51805</v>
      </c>
      <c r="F458" s="5">
        <v>607728.3800000035</v>
      </c>
      <c r="G458" s="5">
        <v>55188.320000000087</v>
      </c>
      <c r="H458" s="5">
        <v>4676</v>
      </c>
    </row>
    <row r="459" spans="1:8">
      <c r="A459" s="5">
        <v>2021</v>
      </c>
      <c r="B459" s="6">
        <v>44287</v>
      </c>
      <c r="C459" s="5" t="s">
        <v>28</v>
      </c>
      <c r="D459" s="3" t="str" cm="1">
        <f t="array" ref="D459">_xlfn.IFS(
 ISNUMBER(SEARCH("WHISK",C459)),"Whiskey",
 ISNUMBER(SEARCH("BOURBON",C459)),"Whiskey",
 ISNUMBER(SEARCH("SCOTCH",C459)),"Whiskey",
 ISNUMBER(SEARCH("RYE",C459)),"Whiskey",
 ISNUMBER(SEARCH("VODKA",C459)),"Vodka",
 ISNUMBER(SEARCH("TEQUILA",C459)),"Tequila/Mezcal",
 ISNUMBER(SEARCH("MEZCAL",C459)),"Tequila/Mezcal",
 ISNUMBER(SEARCH("RUM",C459)),"Rum",
 ISNUMBER(SEARCH("BRAND",C459)),"Brandy",
 ISNUMBER(SEARCH("COGNAC",C459)),"Brandy",
 ISNUMBER(SEARCH("LIQUEUR",C459)),"Liqueurs",
 ISNUMBER(SEARCH("CORDIAL",C459)),"Liqueurs",
 ISNUMBER(SEARCH("SCHNAPP",C459)),"Liqueurs",
 ISNUMBER(SEARCH("GIN",C459)),"Gin",
 TRUE,"Other")</f>
        <v>Other</v>
      </c>
      <c r="E459" s="5">
        <v>31762</v>
      </c>
      <c r="F459" s="5">
        <v>248529.22000000009</v>
      </c>
      <c r="G459" s="5">
        <v>30686.97</v>
      </c>
      <c r="H459" s="5">
        <v>393</v>
      </c>
    </row>
    <row r="460" spans="1:8">
      <c r="A460" s="5">
        <v>2021</v>
      </c>
      <c r="B460" s="6">
        <v>44287</v>
      </c>
      <c r="C460" s="5" t="s">
        <v>51</v>
      </c>
      <c r="D460" s="3" t="str" cm="1">
        <f t="array" ref="D460">_xlfn.IFS(
 ISNUMBER(SEARCH("WHISK",C460)),"Whiskey",
 ISNUMBER(SEARCH("BOURBON",C460)),"Whiskey",
 ISNUMBER(SEARCH("SCOTCH",C460)),"Whiskey",
 ISNUMBER(SEARCH("RYE",C460)),"Whiskey",
 ISNUMBER(SEARCH("VODKA",C460)),"Vodka",
 ISNUMBER(SEARCH("TEQUILA",C460)),"Tequila/Mezcal",
 ISNUMBER(SEARCH("MEZCAL",C460)),"Tequila/Mezcal",
 ISNUMBER(SEARCH("RUM",C460)),"Rum",
 ISNUMBER(SEARCH("BRAND",C460)),"Brandy",
 ISNUMBER(SEARCH("COGNAC",C460)),"Brandy",
 ISNUMBER(SEARCH("LIQUEUR",C460)),"Liqueurs",
 ISNUMBER(SEARCH("CORDIAL",C460)),"Liqueurs",
 ISNUMBER(SEARCH("SCHNAPP",C460)),"Liqueurs",
 ISNUMBER(SEARCH("GIN",C460)),"Gin",
 TRUE,"Other")</f>
        <v>Other</v>
      </c>
      <c r="E460" s="5">
        <v>83</v>
      </c>
      <c r="F460" s="5">
        <v>2905</v>
      </c>
      <c r="G460" s="5">
        <v>62.25</v>
      </c>
      <c r="H460" s="5">
        <v>22</v>
      </c>
    </row>
    <row r="461" spans="1:8">
      <c r="A461" s="5">
        <v>2021</v>
      </c>
      <c r="B461" s="6">
        <v>44317</v>
      </c>
      <c r="C461" s="5" t="s">
        <v>50</v>
      </c>
      <c r="D461" s="3" t="str" cm="1">
        <f t="array" ref="D461">_xlfn.IFS(
 ISNUMBER(SEARCH("WHISK",C461)),"Whiskey",
 ISNUMBER(SEARCH("BOURBON",C461)),"Whiskey",
 ISNUMBER(SEARCH("SCOTCH",C461)),"Whiskey",
 ISNUMBER(SEARCH("RYE",C461)),"Whiskey",
 ISNUMBER(SEARCH("VODKA",C461)),"Vodka",
 ISNUMBER(SEARCH("TEQUILA",C461)),"Tequila/Mezcal",
 ISNUMBER(SEARCH("MEZCAL",C461)),"Tequila/Mezcal",
 ISNUMBER(SEARCH("RUM",C461)),"Rum",
 ISNUMBER(SEARCH("BRAND",C461)),"Brandy",
 ISNUMBER(SEARCH("COGNAC",C461)),"Brandy",
 ISNUMBER(SEARCH("LIQUEUR",C461)),"Liqueurs",
 ISNUMBER(SEARCH("CORDIAL",C461)),"Liqueurs",
 ISNUMBER(SEARCH("SCHNAPP",C461)),"Liqueurs",
 ISNUMBER(SEARCH("GIN",C461)),"Gin",
 TRUE,"Other")</f>
        <v>Tequila/Mezcal</v>
      </c>
      <c r="E461" s="5">
        <v>75717</v>
      </c>
      <c r="F461" s="5">
        <v>2129009.3799999771</v>
      </c>
      <c r="G461" s="5">
        <v>56268.91000000012</v>
      </c>
      <c r="H461" s="5">
        <v>7539</v>
      </c>
    </row>
    <row r="462" spans="1:8">
      <c r="A462" s="5">
        <v>2021</v>
      </c>
      <c r="B462" s="6">
        <v>44317</v>
      </c>
      <c r="C462" s="5" t="s">
        <v>40</v>
      </c>
      <c r="D462" s="3" t="str" cm="1">
        <f t="array" ref="D462">_xlfn.IFS(
 ISNUMBER(SEARCH("WHISK",C462)),"Whiskey",
 ISNUMBER(SEARCH("BOURBON",C462)),"Whiskey",
 ISNUMBER(SEARCH("SCOTCH",C462)),"Whiskey",
 ISNUMBER(SEARCH("RYE",C462)),"Whiskey",
 ISNUMBER(SEARCH("VODKA",C462)),"Vodka",
 ISNUMBER(SEARCH("TEQUILA",C462)),"Tequila/Mezcal",
 ISNUMBER(SEARCH("MEZCAL",C462)),"Tequila/Mezcal",
 ISNUMBER(SEARCH("RUM",C462)),"Rum",
 ISNUMBER(SEARCH("BRAND",C462)),"Brandy",
 ISNUMBER(SEARCH("COGNAC",C462)),"Brandy",
 ISNUMBER(SEARCH("LIQUEUR",C462)),"Liqueurs",
 ISNUMBER(SEARCH("CORDIAL",C462)),"Liqueurs",
 ISNUMBER(SEARCH("SCHNAPP",C462)),"Liqueurs",
 ISNUMBER(SEARCH("GIN",C462)),"Gin",
 TRUE,"Other")</f>
        <v>Whiskey</v>
      </c>
      <c r="E462" s="5">
        <v>8300</v>
      </c>
      <c r="F462" s="5">
        <v>394892.8799999996</v>
      </c>
      <c r="G462" s="5">
        <v>6449.7000000000016</v>
      </c>
      <c r="H462" s="5">
        <v>1939</v>
      </c>
    </row>
    <row r="463" spans="1:8">
      <c r="A463" s="5">
        <v>2021</v>
      </c>
      <c r="B463" s="6">
        <v>44317</v>
      </c>
      <c r="C463" s="5" t="s">
        <v>43</v>
      </c>
      <c r="D463" s="3" t="str" cm="1">
        <f t="array" ref="D463">_xlfn.IFS(
 ISNUMBER(SEARCH("WHISK",C463)),"Whiskey",
 ISNUMBER(SEARCH("BOURBON",C463)),"Whiskey",
 ISNUMBER(SEARCH("SCOTCH",C463)),"Whiskey",
 ISNUMBER(SEARCH("RYE",C463)),"Whiskey",
 ISNUMBER(SEARCH("VODKA",C463)),"Vodka",
 ISNUMBER(SEARCH("TEQUILA",C463)),"Tequila/Mezcal",
 ISNUMBER(SEARCH("MEZCAL",C463)),"Tequila/Mezcal",
 ISNUMBER(SEARCH("RUM",C463)),"Rum",
 ISNUMBER(SEARCH("BRAND",C463)),"Brandy",
 ISNUMBER(SEARCH("COGNAC",C463)),"Brandy",
 ISNUMBER(SEARCH("LIQUEUR",C463)),"Liqueurs",
 ISNUMBER(SEARCH("CORDIAL",C463)),"Liqueurs",
 ISNUMBER(SEARCH("SCHNAPP",C463)),"Liqueurs",
 ISNUMBER(SEARCH("GIN",C463)),"Gin",
 TRUE,"Other")</f>
        <v>Whiskey</v>
      </c>
      <c r="E463" s="5">
        <v>137376</v>
      </c>
      <c r="F463" s="5">
        <v>2746420.3800000208</v>
      </c>
      <c r="G463" s="5">
        <v>109891.37000000241</v>
      </c>
      <c r="H463" s="5">
        <v>16167</v>
      </c>
    </row>
    <row r="464" spans="1:8">
      <c r="A464" s="5">
        <v>2021</v>
      </c>
      <c r="B464" s="6">
        <v>44317</v>
      </c>
      <c r="C464" s="5" t="s">
        <v>45</v>
      </c>
      <c r="D464" s="3" t="str" cm="1">
        <f t="array" ref="D464">_xlfn.IFS(
 ISNUMBER(SEARCH("WHISK",C464)),"Whiskey",
 ISNUMBER(SEARCH("BOURBON",C464)),"Whiskey",
 ISNUMBER(SEARCH("SCOTCH",C464)),"Whiskey",
 ISNUMBER(SEARCH("RYE",C464)),"Whiskey",
 ISNUMBER(SEARCH("VODKA",C464)),"Vodka",
 ISNUMBER(SEARCH("TEQUILA",C464)),"Tequila/Mezcal",
 ISNUMBER(SEARCH("MEZCAL",C464)),"Tequila/Mezcal",
 ISNUMBER(SEARCH("RUM",C464)),"Rum",
 ISNUMBER(SEARCH("BRAND",C464)),"Brandy",
 ISNUMBER(SEARCH("COGNAC",C464)),"Brandy",
 ISNUMBER(SEARCH("LIQUEUR",C464)),"Liqueurs",
 ISNUMBER(SEARCH("CORDIAL",C464)),"Liqueurs",
 ISNUMBER(SEARCH("SCHNAPP",C464)),"Liqueurs",
 ISNUMBER(SEARCH("GIN",C464)),"Gin",
 TRUE,"Other")</f>
        <v>Other</v>
      </c>
      <c r="E464" s="5">
        <v>29091</v>
      </c>
      <c r="F464" s="5">
        <v>686832.2200000087</v>
      </c>
      <c r="G464" s="5">
        <v>27816.179999999815</v>
      </c>
      <c r="H464" s="5">
        <v>2946</v>
      </c>
    </row>
    <row r="465" spans="1:8">
      <c r="A465" s="5">
        <v>2021</v>
      </c>
      <c r="B465" s="6">
        <v>44317</v>
      </c>
      <c r="C465" s="5" t="s">
        <v>8</v>
      </c>
      <c r="D465" s="3" t="str" cm="1">
        <f t="array" ref="D465">_xlfn.IFS(
 ISNUMBER(SEARCH("WHISK",C465)),"Whiskey",
 ISNUMBER(SEARCH("BOURBON",C465)),"Whiskey",
 ISNUMBER(SEARCH("SCOTCH",C465)),"Whiskey",
 ISNUMBER(SEARCH("RYE",C465)),"Whiskey",
 ISNUMBER(SEARCH("VODKA",C465)),"Vodka",
 ISNUMBER(SEARCH("TEQUILA",C465)),"Tequila/Mezcal",
 ISNUMBER(SEARCH("MEZCAL",C465)),"Tequila/Mezcal",
 ISNUMBER(SEARCH("RUM",C465)),"Rum",
 ISNUMBER(SEARCH("BRAND",C465)),"Brandy",
 ISNUMBER(SEARCH("COGNAC",C465)),"Brandy",
 ISNUMBER(SEARCH("LIQUEUR",C465)),"Liqueurs",
 ISNUMBER(SEARCH("CORDIAL",C465)),"Liqueurs",
 ISNUMBER(SEARCH("SCHNAPP",C465)),"Liqueurs",
 ISNUMBER(SEARCH("GIN",C465)),"Gin",
 TRUE,"Other")</f>
        <v>Brandy</v>
      </c>
      <c r="E465" s="5">
        <v>58238</v>
      </c>
      <c r="F465" s="5">
        <v>391299.66999999946</v>
      </c>
      <c r="G465" s="5">
        <v>31358.219999999677</v>
      </c>
      <c r="H465" s="5">
        <v>5128</v>
      </c>
    </row>
    <row r="466" spans="1:8">
      <c r="A466" s="5">
        <v>2021</v>
      </c>
      <c r="B466" s="6">
        <v>44317</v>
      </c>
      <c r="C466" s="5" t="s">
        <v>59</v>
      </c>
      <c r="D466" s="3" t="str" cm="1">
        <f t="array" ref="D466">_xlfn.IFS(
 ISNUMBER(SEARCH("WHISK",C466)),"Whiskey",
 ISNUMBER(SEARCH("BOURBON",C466)),"Whiskey",
 ISNUMBER(SEARCH("SCOTCH",C466)),"Whiskey",
 ISNUMBER(SEARCH("RYE",C466)),"Whiskey",
 ISNUMBER(SEARCH("VODKA",C466)),"Vodka",
 ISNUMBER(SEARCH("TEQUILA",C466)),"Tequila/Mezcal",
 ISNUMBER(SEARCH("MEZCAL",C466)),"Tequila/Mezcal",
 ISNUMBER(SEARCH("RUM",C466)),"Rum",
 ISNUMBER(SEARCH("BRAND",C466)),"Brandy",
 ISNUMBER(SEARCH("COGNAC",C466)),"Brandy",
 ISNUMBER(SEARCH("LIQUEUR",C466)),"Liqueurs",
 ISNUMBER(SEARCH("CORDIAL",C466)),"Liqueurs",
 ISNUMBER(SEARCH("SCHNAPP",C466)),"Liqueurs",
 ISNUMBER(SEARCH("GIN",C466)),"Gin",
 TRUE,"Other")</f>
        <v>Liqueurs</v>
      </c>
      <c r="E466" s="5">
        <v>40753</v>
      </c>
      <c r="F466" s="5">
        <v>344479.91000000498</v>
      </c>
      <c r="G466" s="5">
        <v>20811.229999999527</v>
      </c>
      <c r="H466" s="5">
        <v>5260</v>
      </c>
    </row>
    <row r="467" spans="1:8">
      <c r="A467" s="5">
        <v>2021</v>
      </c>
      <c r="B467" s="6">
        <v>44317</v>
      </c>
      <c r="C467" s="5" t="s">
        <v>12</v>
      </c>
      <c r="D467" s="3" t="str" cm="1">
        <f t="array" ref="D467">_xlfn.IFS(
 ISNUMBER(SEARCH("WHISK",C467)),"Whiskey",
 ISNUMBER(SEARCH("BOURBON",C467)),"Whiskey",
 ISNUMBER(SEARCH("SCOTCH",C467)),"Whiskey",
 ISNUMBER(SEARCH("RYE",C467)),"Whiskey",
 ISNUMBER(SEARCH("VODKA",C467)),"Vodka",
 ISNUMBER(SEARCH("TEQUILA",C467)),"Tequila/Mezcal",
 ISNUMBER(SEARCH("MEZCAL",C467)),"Tequila/Mezcal",
 ISNUMBER(SEARCH("RUM",C467)),"Rum",
 ISNUMBER(SEARCH("BRAND",C467)),"Brandy",
 ISNUMBER(SEARCH("COGNAC",C467)),"Brandy",
 ISNUMBER(SEARCH("LIQUEUR",C467)),"Liqueurs",
 ISNUMBER(SEARCH("CORDIAL",C467)),"Liqueurs",
 ISNUMBER(SEARCH("SCHNAPP",C467)),"Liqueurs",
 ISNUMBER(SEARCH("GIN",C467)),"Gin",
 TRUE,"Other")</f>
        <v>Vodka</v>
      </c>
      <c r="E467" s="5">
        <v>76951</v>
      </c>
      <c r="F467" s="5">
        <v>828514.40000002598</v>
      </c>
      <c r="G467" s="5">
        <v>56319.860000000037</v>
      </c>
      <c r="H467" s="5">
        <v>9351</v>
      </c>
    </row>
    <row r="468" spans="1:8">
      <c r="A468" s="5">
        <v>2021</v>
      </c>
      <c r="B468" s="6">
        <v>44317</v>
      </c>
      <c r="C468" s="5" t="s">
        <v>13</v>
      </c>
      <c r="D468" s="3" t="str" cm="1">
        <f t="array" ref="D468">_xlfn.IFS(
 ISNUMBER(SEARCH("WHISK",C468)),"Whiskey",
 ISNUMBER(SEARCH("BOURBON",C468)),"Whiskey",
 ISNUMBER(SEARCH("SCOTCH",C468)),"Whiskey",
 ISNUMBER(SEARCH("RYE",C468)),"Whiskey",
 ISNUMBER(SEARCH("VODKA",C468)),"Vodka",
 ISNUMBER(SEARCH("TEQUILA",C468)),"Tequila/Mezcal",
 ISNUMBER(SEARCH("MEZCAL",C468)),"Tequila/Mezcal",
 ISNUMBER(SEARCH("RUM",C468)),"Rum",
 ISNUMBER(SEARCH("BRAND",C468)),"Brandy",
 ISNUMBER(SEARCH("COGNAC",C468)),"Brandy",
 ISNUMBER(SEARCH("LIQUEUR",C468)),"Liqueurs",
 ISNUMBER(SEARCH("CORDIAL",C468)),"Liqueurs",
 ISNUMBER(SEARCH("SCHNAPP",C468)),"Liqueurs",
 ISNUMBER(SEARCH("GIN",C468)),"Gin",
 TRUE,"Other")</f>
        <v>Liqueurs</v>
      </c>
      <c r="E468" s="5">
        <v>66089</v>
      </c>
      <c r="F468" s="5">
        <v>564609.68999998877</v>
      </c>
      <c r="G468" s="5">
        <v>45652.390000000065</v>
      </c>
      <c r="H468" s="5">
        <v>6709</v>
      </c>
    </row>
    <row r="469" spans="1:8">
      <c r="A469" s="5">
        <v>2021</v>
      </c>
      <c r="B469" s="6">
        <v>44317</v>
      </c>
      <c r="C469" s="5" t="s">
        <v>15</v>
      </c>
      <c r="D469" s="3" t="str" cm="1">
        <f t="array" ref="D469">_xlfn.IFS(
 ISNUMBER(SEARCH("WHISK",C469)),"Whiskey",
 ISNUMBER(SEARCH("BOURBON",C469)),"Whiskey",
 ISNUMBER(SEARCH("SCOTCH",C469)),"Whiskey",
 ISNUMBER(SEARCH("RYE",C469)),"Whiskey",
 ISNUMBER(SEARCH("VODKA",C469)),"Vodka",
 ISNUMBER(SEARCH("TEQUILA",C469)),"Tequila/Mezcal",
 ISNUMBER(SEARCH("MEZCAL",C469)),"Tequila/Mezcal",
 ISNUMBER(SEARCH("RUM",C469)),"Rum",
 ISNUMBER(SEARCH("BRAND",C469)),"Brandy",
 ISNUMBER(SEARCH("COGNAC",C469)),"Brandy",
 ISNUMBER(SEARCH("LIQUEUR",C469)),"Liqueurs",
 ISNUMBER(SEARCH("CORDIAL",C469)),"Liqueurs",
 ISNUMBER(SEARCH("SCHNAPP",C469)),"Liqueurs",
 ISNUMBER(SEARCH("GIN",C469)),"Gin",
 TRUE,"Other")</f>
        <v>Vodka</v>
      </c>
      <c r="E469" s="5">
        <v>483474</v>
      </c>
      <c r="F469" s="5">
        <v>4993921.3899997436</v>
      </c>
      <c r="G469" s="5">
        <v>456957.07999998267</v>
      </c>
      <c r="H469" s="5">
        <v>30265</v>
      </c>
    </row>
    <row r="470" spans="1:8">
      <c r="A470" s="5">
        <v>2021</v>
      </c>
      <c r="B470" s="6">
        <v>44317</v>
      </c>
      <c r="C470" s="5" t="s">
        <v>16</v>
      </c>
      <c r="D470" s="3" t="str" cm="1">
        <f t="array" ref="D470">_xlfn.IFS(
 ISNUMBER(SEARCH("WHISK",C470)),"Whiskey",
 ISNUMBER(SEARCH("BOURBON",C470)),"Whiskey",
 ISNUMBER(SEARCH("SCOTCH",C470)),"Whiskey",
 ISNUMBER(SEARCH("RYE",C470)),"Whiskey",
 ISNUMBER(SEARCH("VODKA",C470)),"Vodka",
 ISNUMBER(SEARCH("TEQUILA",C470)),"Tequila/Mezcal",
 ISNUMBER(SEARCH("MEZCAL",C470)),"Tequila/Mezcal",
 ISNUMBER(SEARCH("RUM",C470)),"Rum",
 ISNUMBER(SEARCH("BRAND",C470)),"Brandy",
 ISNUMBER(SEARCH("COGNAC",C470)),"Brandy",
 ISNUMBER(SEARCH("LIQUEUR",C470)),"Liqueurs",
 ISNUMBER(SEARCH("CORDIAL",C470)),"Liqueurs",
 ISNUMBER(SEARCH("SCHNAPP",C470)),"Liqueurs",
 ISNUMBER(SEARCH("GIN",C470)),"Gin",
 TRUE,"Other")</f>
        <v>Whiskey</v>
      </c>
      <c r="E470" s="5">
        <v>75082</v>
      </c>
      <c r="F470" s="5">
        <v>925051.2999999969</v>
      </c>
      <c r="G470" s="5">
        <v>63492.120000000403</v>
      </c>
      <c r="H470" s="5">
        <v>8957</v>
      </c>
    </row>
    <row r="471" spans="1:8">
      <c r="A471" s="5">
        <v>2021</v>
      </c>
      <c r="B471" s="6">
        <v>44317</v>
      </c>
      <c r="C471" s="5" t="s">
        <v>18</v>
      </c>
      <c r="D471" s="3" t="str" cm="1">
        <f t="array" ref="D471">_xlfn.IFS(
 ISNUMBER(SEARCH("WHISK",C471)),"Whiskey",
 ISNUMBER(SEARCH("BOURBON",C471)),"Whiskey",
 ISNUMBER(SEARCH("SCOTCH",C471)),"Whiskey",
 ISNUMBER(SEARCH("RYE",C471)),"Whiskey",
 ISNUMBER(SEARCH("VODKA",C471)),"Vodka",
 ISNUMBER(SEARCH("TEQUILA",C471)),"Tequila/Mezcal",
 ISNUMBER(SEARCH("MEZCAL",C471)),"Tequila/Mezcal",
 ISNUMBER(SEARCH("RUM",C471)),"Rum",
 ISNUMBER(SEARCH("BRAND",C471)),"Brandy",
 ISNUMBER(SEARCH("COGNAC",C471)),"Brandy",
 ISNUMBER(SEARCH("LIQUEUR",C471)),"Liqueurs",
 ISNUMBER(SEARCH("CORDIAL",C471)),"Liqueurs",
 ISNUMBER(SEARCH("SCHNAPP",C471)),"Liqueurs",
 ISNUMBER(SEARCH("GIN",C471)),"Gin",
 TRUE,"Other")</f>
        <v>Whiskey</v>
      </c>
      <c r="E471" s="5">
        <v>262515</v>
      </c>
      <c r="F471" s="5">
        <v>3961642.9200001331</v>
      </c>
      <c r="G471" s="5">
        <v>278536.24999999459</v>
      </c>
      <c r="H471" s="5">
        <v>19326</v>
      </c>
    </row>
    <row r="472" spans="1:8">
      <c r="A472" s="5">
        <v>2021</v>
      </c>
      <c r="B472" s="6">
        <v>44317</v>
      </c>
      <c r="C472" s="5" t="s">
        <v>19</v>
      </c>
      <c r="D472" s="3" t="str" cm="1">
        <f t="array" ref="D472">_xlfn.IFS(
 ISNUMBER(SEARCH("WHISK",C472)),"Whiskey",
 ISNUMBER(SEARCH("BOURBON",C472)),"Whiskey",
 ISNUMBER(SEARCH("SCOTCH",C472)),"Whiskey",
 ISNUMBER(SEARCH("RYE",C472)),"Whiskey",
 ISNUMBER(SEARCH("VODKA",C472)),"Vodka",
 ISNUMBER(SEARCH("TEQUILA",C472)),"Tequila/Mezcal",
 ISNUMBER(SEARCH("MEZCAL",C472)),"Tequila/Mezcal",
 ISNUMBER(SEARCH("RUM",C472)),"Rum",
 ISNUMBER(SEARCH("BRAND",C472)),"Brandy",
 ISNUMBER(SEARCH("COGNAC",C472)),"Brandy",
 ISNUMBER(SEARCH("LIQUEUR",C472)),"Liqueurs",
 ISNUMBER(SEARCH("CORDIAL",C472)),"Liqueurs",
 ISNUMBER(SEARCH("SCHNAPP",C472)),"Liqueurs",
 ISNUMBER(SEARCH("GIN",C472)),"Gin",
 TRUE,"Other")</f>
        <v>Other</v>
      </c>
      <c r="E472" s="5">
        <v>76188</v>
      </c>
      <c r="F472" s="5">
        <v>761877.13999999117</v>
      </c>
      <c r="G472" s="5">
        <v>101156.20999999979</v>
      </c>
      <c r="H472" s="5">
        <v>7884</v>
      </c>
    </row>
    <row r="473" spans="1:8">
      <c r="A473" s="5">
        <v>2021</v>
      </c>
      <c r="B473" s="6">
        <v>44317</v>
      </c>
      <c r="C473" s="5" t="s">
        <v>20</v>
      </c>
      <c r="D473" s="3" t="str" cm="1">
        <f t="array" ref="D473">_xlfn.IFS(
 ISNUMBER(SEARCH("WHISK",C473)),"Whiskey",
 ISNUMBER(SEARCH("BOURBON",C473)),"Whiskey",
 ISNUMBER(SEARCH("SCOTCH",C473)),"Whiskey",
 ISNUMBER(SEARCH("RYE",C473)),"Whiskey",
 ISNUMBER(SEARCH("VODKA",C473)),"Vodka",
 ISNUMBER(SEARCH("TEQUILA",C473)),"Tequila/Mezcal",
 ISNUMBER(SEARCH("MEZCAL",C473)),"Tequila/Mezcal",
 ISNUMBER(SEARCH("RUM",C473)),"Rum",
 ISNUMBER(SEARCH("BRAND",C473)),"Brandy",
 ISNUMBER(SEARCH("COGNAC",C473)),"Brandy",
 ISNUMBER(SEARCH("LIQUEUR",C473)),"Liqueurs",
 ISNUMBER(SEARCH("CORDIAL",C473)),"Liqueurs",
 ISNUMBER(SEARCH("SCHNAPP",C473)),"Liqueurs",
 ISNUMBER(SEARCH("GIN",C473)),"Gin",
 TRUE,"Other")</f>
        <v>Liqueurs</v>
      </c>
      <c r="E473" s="5">
        <v>6912</v>
      </c>
      <c r="F473" s="5">
        <v>124321.49000000043</v>
      </c>
      <c r="G473" s="5">
        <v>5863.2600000000057</v>
      </c>
      <c r="H473" s="5">
        <v>966</v>
      </c>
    </row>
    <row r="474" spans="1:8">
      <c r="A474" s="5">
        <v>2021</v>
      </c>
      <c r="B474" s="6">
        <v>44317</v>
      </c>
      <c r="C474" s="5" t="s">
        <v>22</v>
      </c>
      <c r="D474" s="3" t="str" cm="1">
        <f t="array" ref="D474">_xlfn.IFS(
 ISNUMBER(SEARCH("WHISK",C474)),"Whiskey",
 ISNUMBER(SEARCH("BOURBON",C474)),"Whiskey",
 ISNUMBER(SEARCH("SCOTCH",C474)),"Whiskey",
 ISNUMBER(SEARCH("RYE",C474)),"Whiskey",
 ISNUMBER(SEARCH("VODKA",C474)),"Vodka",
 ISNUMBER(SEARCH("TEQUILA",C474)),"Tequila/Mezcal",
 ISNUMBER(SEARCH("MEZCAL",C474)),"Tequila/Mezcal",
 ISNUMBER(SEARCH("RUM",C474)),"Rum",
 ISNUMBER(SEARCH("BRAND",C474)),"Brandy",
 ISNUMBER(SEARCH("COGNAC",C474)),"Brandy",
 ISNUMBER(SEARCH("LIQUEUR",C474)),"Liqueurs",
 ISNUMBER(SEARCH("CORDIAL",C474)),"Liqueurs",
 ISNUMBER(SEARCH("SCHNAPP",C474)),"Liqueurs",
 ISNUMBER(SEARCH("GIN",C474)),"Gin",
 TRUE,"Other")</f>
        <v>Liqueurs</v>
      </c>
      <c r="E474" s="5">
        <v>24180</v>
      </c>
      <c r="F474" s="5">
        <v>467539.56000000186</v>
      </c>
      <c r="G474" s="5">
        <v>21363.709999999817</v>
      </c>
      <c r="H474" s="5">
        <v>3612</v>
      </c>
    </row>
    <row r="475" spans="1:8">
      <c r="A475" s="5">
        <v>2021</v>
      </c>
      <c r="B475" s="6">
        <v>44317</v>
      </c>
      <c r="C475" s="5" t="s">
        <v>24</v>
      </c>
      <c r="D475" s="3" t="str" cm="1">
        <f t="array" ref="D475">_xlfn.IFS(
 ISNUMBER(SEARCH("WHISK",C475)),"Whiskey",
 ISNUMBER(SEARCH("BOURBON",C475)),"Whiskey",
 ISNUMBER(SEARCH("SCOTCH",C475)),"Whiskey",
 ISNUMBER(SEARCH("RYE",C475)),"Whiskey",
 ISNUMBER(SEARCH("VODKA",C475)),"Vodka",
 ISNUMBER(SEARCH("TEQUILA",C475)),"Tequila/Mezcal",
 ISNUMBER(SEARCH("MEZCAL",C475)),"Tequila/Mezcal",
 ISNUMBER(SEARCH("RUM",C475)),"Rum",
 ISNUMBER(SEARCH("BRAND",C475)),"Brandy",
 ISNUMBER(SEARCH("COGNAC",C475)),"Brandy",
 ISNUMBER(SEARCH("LIQUEUR",C475)),"Liqueurs",
 ISNUMBER(SEARCH("CORDIAL",C475)),"Liqueurs",
 ISNUMBER(SEARCH("SCHNAPP",C475)),"Liqueurs",
 ISNUMBER(SEARCH("GIN",C475)),"Gin",
 TRUE,"Other")</f>
        <v>Rum</v>
      </c>
      <c r="E475" s="5">
        <v>56210</v>
      </c>
      <c r="F475" s="5">
        <v>827381.33999999682</v>
      </c>
      <c r="G475" s="5">
        <v>54661.770000000019</v>
      </c>
      <c r="H475" s="5">
        <v>5140</v>
      </c>
    </row>
    <row r="476" spans="1:8">
      <c r="A476" s="5">
        <v>2021</v>
      </c>
      <c r="B476" s="6">
        <v>44317</v>
      </c>
      <c r="C476" s="5" t="s">
        <v>60</v>
      </c>
      <c r="D476" s="3" t="str" cm="1">
        <f t="array" ref="D476">_xlfn.IFS(
 ISNUMBER(SEARCH("WHISK",C476)),"Whiskey",
 ISNUMBER(SEARCH("BOURBON",C476)),"Whiskey",
 ISNUMBER(SEARCH("SCOTCH",C476)),"Whiskey",
 ISNUMBER(SEARCH("RYE",C476)),"Whiskey",
 ISNUMBER(SEARCH("VODKA",C476)),"Vodka",
 ISNUMBER(SEARCH("TEQUILA",C476)),"Tequila/Mezcal",
 ISNUMBER(SEARCH("MEZCAL",C476)),"Tequila/Mezcal",
 ISNUMBER(SEARCH("RUM",C476)),"Rum",
 ISNUMBER(SEARCH("BRAND",C476)),"Brandy",
 ISNUMBER(SEARCH("COGNAC",C476)),"Brandy",
 ISNUMBER(SEARCH("LIQUEUR",C476)),"Liqueurs",
 ISNUMBER(SEARCH("CORDIAL",C476)),"Liqueurs",
 ISNUMBER(SEARCH("SCHNAPP",C476)),"Liqueurs",
 ISNUMBER(SEARCH("GIN",C476)),"Gin",
 TRUE,"Other")</f>
        <v>Liqueurs</v>
      </c>
      <c r="E476" s="5">
        <v>39586</v>
      </c>
      <c r="F476" s="5">
        <v>844457.99999999849</v>
      </c>
      <c r="G476" s="5">
        <v>28696.809999999874</v>
      </c>
      <c r="H476" s="5">
        <v>4846</v>
      </c>
    </row>
    <row r="477" spans="1:8">
      <c r="A477" s="5">
        <v>2021</v>
      </c>
      <c r="B477" s="6">
        <v>44317</v>
      </c>
      <c r="C477" s="5" t="s">
        <v>28</v>
      </c>
      <c r="D477" s="3" t="str" cm="1">
        <f t="array" ref="D477">_xlfn.IFS(
 ISNUMBER(SEARCH("WHISK",C477)),"Whiskey",
 ISNUMBER(SEARCH("BOURBON",C477)),"Whiskey",
 ISNUMBER(SEARCH("SCOTCH",C477)),"Whiskey",
 ISNUMBER(SEARCH("RYE",C477)),"Whiskey",
 ISNUMBER(SEARCH("VODKA",C477)),"Vodka",
 ISNUMBER(SEARCH("TEQUILA",C477)),"Tequila/Mezcal",
 ISNUMBER(SEARCH("MEZCAL",C477)),"Tequila/Mezcal",
 ISNUMBER(SEARCH("RUM",C477)),"Rum",
 ISNUMBER(SEARCH("BRAND",C477)),"Brandy",
 ISNUMBER(SEARCH("COGNAC",C477)),"Brandy",
 ISNUMBER(SEARCH("LIQUEUR",C477)),"Liqueurs",
 ISNUMBER(SEARCH("CORDIAL",C477)),"Liqueurs",
 ISNUMBER(SEARCH("SCHNAPP",C477)),"Liqueurs",
 ISNUMBER(SEARCH("GIN",C477)),"Gin",
 TRUE,"Other")</f>
        <v>Other</v>
      </c>
      <c r="E477" s="5">
        <v>20446</v>
      </c>
      <c r="F477" s="5">
        <v>170382.53</v>
      </c>
      <c r="G477" s="5">
        <v>20056.609999999997</v>
      </c>
      <c r="H477" s="5">
        <v>362</v>
      </c>
    </row>
    <row r="478" spans="1:8">
      <c r="A478" s="5">
        <v>2021</v>
      </c>
      <c r="B478" s="6">
        <v>44317</v>
      </c>
      <c r="C478" s="5" t="s">
        <v>31</v>
      </c>
      <c r="D478" s="3" t="str" cm="1">
        <f t="array" ref="D478">_xlfn.IFS(
 ISNUMBER(SEARCH("WHISK",C478)),"Whiskey",
 ISNUMBER(SEARCH("BOURBON",C478)),"Whiskey",
 ISNUMBER(SEARCH("SCOTCH",C478)),"Whiskey",
 ISNUMBER(SEARCH("RYE",C478)),"Whiskey",
 ISNUMBER(SEARCH("VODKA",C478)),"Vodka",
 ISNUMBER(SEARCH("TEQUILA",C478)),"Tequila/Mezcal",
 ISNUMBER(SEARCH("MEZCAL",C478)),"Tequila/Mezcal",
 ISNUMBER(SEARCH("RUM",C478)),"Rum",
 ISNUMBER(SEARCH("BRAND",C478)),"Brandy",
 ISNUMBER(SEARCH("COGNAC",C478)),"Brandy",
 ISNUMBER(SEARCH("LIQUEUR",C478)),"Liqueurs",
 ISNUMBER(SEARCH("CORDIAL",C478)),"Liqueurs",
 ISNUMBER(SEARCH("SCHNAPP",C478)),"Liqueurs",
 ISNUMBER(SEARCH("GIN",C478)),"Gin",
 TRUE,"Other")</f>
        <v>Liqueurs</v>
      </c>
      <c r="E478" s="5">
        <v>28784</v>
      </c>
      <c r="F478" s="5">
        <v>490397.10999999905</v>
      </c>
      <c r="G478" s="5">
        <v>25669.809999999812</v>
      </c>
      <c r="H478" s="5">
        <v>3165</v>
      </c>
    </row>
    <row r="479" spans="1:8">
      <c r="A479" s="5">
        <v>2021</v>
      </c>
      <c r="B479" s="6">
        <v>44317</v>
      </c>
      <c r="C479" s="5" t="s">
        <v>32</v>
      </c>
      <c r="D479" s="3" t="str" cm="1">
        <f t="array" ref="D479">_xlfn.IFS(
 ISNUMBER(SEARCH("WHISK",C479)),"Whiskey",
 ISNUMBER(SEARCH("BOURBON",C479)),"Whiskey",
 ISNUMBER(SEARCH("SCOTCH",C479)),"Whiskey",
 ISNUMBER(SEARCH("RYE",C479)),"Whiskey",
 ISNUMBER(SEARCH("VODKA",C479)),"Vodka",
 ISNUMBER(SEARCH("TEQUILA",C479)),"Tequila/Mezcal",
 ISNUMBER(SEARCH("MEZCAL",C479)),"Tequila/Mezcal",
 ISNUMBER(SEARCH("RUM",C479)),"Rum",
 ISNUMBER(SEARCH("BRAND",C479)),"Brandy",
 ISNUMBER(SEARCH("COGNAC",C479)),"Brandy",
 ISNUMBER(SEARCH("LIQUEUR",C479)),"Liqueurs",
 ISNUMBER(SEARCH("CORDIAL",C479)),"Liqueurs",
 ISNUMBER(SEARCH("SCHNAPP",C479)),"Liqueurs",
 ISNUMBER(SEARCH("GIN",C479)),"Gin",
 TRUE,"Other")</f>
        <v>Vodka</v>
      </c>
      <c r="E479" s="5">
        <v>62757</v>
      </c>
      <c r="F479" s="5">
        <v>1092131.7299999793</v>
      </c>
      <c r="G479" s="5">
        <v>59901.640000000501</v>
      </c>
      <c r="H479" s="5">
        <v>6509</v>
      </c>
    </row>
    <row r="480" spans="1:8">
      <c r="A480" s="5">
        <v>2021</v>
      </c>
      <c r="B480" s="6">
        <v>44317</v>
      </c>
      <c r="C480" s="5" t="s">
        <v>35</v>
      </c>
      <c r="D480" s="3" t="str" cm="1">
        <f t="array" ref="D480">_xlfn.IFS(
 ISNUMBER(SEARCH("WHISK",C480)),"Whiskey",
 ISNUMBER(SEARCH("BOURBON",C480)),"Whiskey",
 ISNUMBER(SEARCH("SCOTCH",C480)),"Whiskey",
 ISNUMBER(SEARCH("RYE",C480)),"Whiskey",
 ISNUMBER(SEARCH("VODKA",C480)),"Vodka",
 ISNUMBER(SEARCH("TEQUILA",C480)),"Tequila/Mezcal",
 ISNUMBER(SEARCH("MEZCAL",C480)),"Tequila/Mezcal",
 ISNUMBER(SEARCH("RUM",C480)),"Rum",
 ISNUMBER(SEARCH("BRAND",C480)),"Brandy",
 ISNUMBER(SEARCH("COGNAC",C480)),"Brandy",
 ISNUMBER(SEARCH("LIQUEUR",C480)),"Liqueurs",
 ISNUMBER(SEARCH("CORDIAL",C480)),"Liqueurs",
 ISNUMBER(SEARCH("SCHNAPP",C480)),"Liqueurs",
 ISNUMBER(SEARCH("GIN",C480)),"Gin",
 TRUE,"Other")</f>
        <v>Tequila/Mezcal</v>
      </c>
      <c r="E480" s="5">
        <v>65063</v>
      </c>
      <c r="F480" s="5">
        <v>813718.79999999038</v>
      </c>
      <c r="G480" s="5">
        <v>48886.579999999944</v>
      </c>
      <c r="H480" s="5">
        <v>4880</v>
      </c>
    </row>
    <row r="481" spans="1:8">
      <c r="A481" s="5">
        <v>2021</v>
      </c>
      <c r="B481" s="6">
        <v>44317</v>
      </c>
      <c r="C481" s="5" t="s">
        <v>38</v>
      </c>
      <c r="D481" s="3" t="str" cm="1">
        <f t="array" ref="D481">_xlfn.IFS(
 ISNUMBER(SEARCH("WHISK",C481)),"Whiskey",
 ISNUMBER(SEARCH("BOURBON",C481)),"Whiskey",
 ISNUMBER(SEARCH("SCOTCH",C481)),"Whiskey",
 ISNUMBER(SEARCH("RYE",C481)),"Whiskey",
 ISNUMBER(SEARCH("VODKA",C481)),"Vodka",
 ISNUMBER(SEARCH("TEQUILA",C481)),"Tequila/Mezcal",
 ISNUMBER(SEARCH("MEZCAL",C481)),"Tequila/Mezcal",
 ISNUMBER(SEARCH("RUM",C481)),"Rum",
 ISNUMBER(SEARCH("BRAND",C481)),"Brandy",
 ISNUMBER(SEARCH("COGNAC",C481)),"Brandy",
 ISNUMBER(SEARCH("LIQUEUR",C481)),"Liqueurs",
 ISNUMBER(SEARCH("CORDIAL",C481)),"Liqueurs",
 ISNUMBER(SEARCH("SCHNAPP",C481)),"Liqueurs",
 ISNUMBER(SEARCH("GIN",C481)),"Gin",
 TRUE,"Other")</f>
        <v>Whiskey</v>
      </c>
      <c r="E481" s="5">
        <v>17915</v>
      </c>
      <c r="F481" s="5">
        <v>460149.45000000048</v>
      </c>
      <c r="G481" s="5">
        <v>20457.909999999989</v>
      </c>
      <c r="H481" s="5">
        <v>2935</v>
      </c>
    </row>
    <row r="482" spans="1:8">
      <c r="A482" s="5">
        <v>2021</v>
      </c>
      <c r="B482" s="6">
        <v>44317</v>
      </c>
      <c r="C482" s="5" t="s">
        <v>42</v>
      </c>
      <c r="D482" s="3" t="str" cm="1">
        <f t="array" ref="D482">_xlfn.IFS(
 ISNUMBER(SEARCH("WHISK",C482)),"Whiskey",
 ISNUMBER(SEARCH("BOURBON",C482)),"Whiskey",
 ISNUMBER(SEARCH("SCOTCH",C482)),"Whiskey",
 ISNUMBER(SEARCH("RYE",C482)),"Whiskey",
 ISNUMBER(SEARCH("VODKA",C482)),"Vodka",
 ISNUMBER(SEARCH("TEQUILA",C482)),"Tequila/Mezcal",
 ISNUMBER(SEARCH("MEZCAL",C482)),"Tequila/Mezcal",
 ISNUMBER(SEARCH("RUM",C482)),"Rum",
 ISNUMBER(SEARCH("BRAND",C482)),"Brandy",
 ISNUMBER(SEARCH("COGNAC",C482)),"Brandy",
 ISNUMBER(SEARCH("LIQUEUR",C482)),"Liqueurs",
 ISNUMBER(SEARCH("CORDIAL",C482)),"Liqueurs",
 ISNUMBER(SEARCH("SCHNAPP",C482)),"Liqueurs",
 ISNUMBER(SEARCH("GIN",C482)),"Gin",
 TRUE,"Other")</f>
        <v>Rum</v>
      </c>
      <c r="E482" s="5">
        <v>107581</v>
      </c>
      <c r="F482" s="5">
        <v>1592860.5599999856</v>
      </c>
      <c r="G482" s="5">
        <v>103593.88000000069</v>
      </c>
      <c r="H482" s="5">
        <v>8816</v>
      </c>
    </row>
    <row r="483" spans="1:8">
      <c r="A483" s="5">
        <v>2021</v>
      </c>
      <c r="B483" s="6">
        <v>44317</v>
      </c>
      <c r="C483" s="5" t="s">
        <v>46</v>
      </c>
      <c r="D483" s="3" t="str" cm="1">
        <f t="array" ref="D483">_xlfn.IFS(
 ISNUMBER(SEARCH("WHISK",C483)),"Whiskey",
 ISNUMBER(SEARCH("BOURBON",C483)),"Whiskey",
 ISNUMBER(SEARCH("SCOTCH",C483)),"Whiskey",
 ISNUMBER(SEARCH("RYE",C483)),"Whiskey",
 ISNUMBER(SEARCH("VODKA",C483)),"Vodka",
 ISNUMBER(SEARCH("TEQUILA",C483)),"Tequila/Mezcal",
 ISNUMBER(SEARCH("MEZCAL",C483)),"Tequila/Mezcal",
 ISNUMBER(SEARCH("RUM",C483)),"Rum",
 ISNUMBER(SEARCH("BRAND",C483)),"Brandy",
 ISNUMBER(SEARCH("COGNAC",C483)),"Brandy",
 ISNUMBER(SEARCH("LIQUEUR",C483)),"Liqueurs",
 ISNUMBER(SEARCH("CORDIAL",C483)),"Liqueurs",
 ISNUMBER(SEARCH("SCHNAPP",C483)),"Liqueurs",
 ISNUMBER(SEARCH("GIN",C483)),"Gin",
 TRUE,"Other")</f>
        <v>Whiskey</v>
      </c>
      <c r="E483" s="5">
        <v>47705</v>
      </c>
      <c r="F483" s="5">
        <v>1002220.0299999741</v>
      </c>
      <c r="G483" s="5">
        <v>32856.719999999637</v>
      </c>
      <c r="H483" s="5">
        <v>5490</v>
      </c>
    </row>
    <row r="484" spans="1:8">
      <c r="A484" s="5">
        <v>2021</v>
      </c>
      <c r="B484" s="6">
        <v>44317</v>
      </c>
      <c r="C484" s="5" t="s">
        <v>48</v>
      </c>
      <c r="D484" s="3" t="str" cm="1">
        <f t="array" ref="D484">_xlfn.IFS(
 ISNUMBER(SEARCH("WHISK",C484)),"Whiskey",
 ISNUMBER(SEARCH("BOURBON",C484)),"Whiskey",
 ISNUMBER(SEARCH("SCOTCH",C484)),"Whiskey",
 ISNUMBER(SEARCH("RYE",C484)),"Whiskey",
 ISNUMBER(SEARCH("VODKA",C484)),"Vodka",
 ISNUMBER(SEARCH("TEQUILA",C484)),"Tequila/Mezcal",
 ISNUMBER(SEARCH("MEZCAL",C484)),"Tequila/Mezcal",
 ISNUMBER(SEARCH("RUM",C484)),"Rum",
 ISNUMBER(SEARCH("BRAND",C484)),"Brandy",
 ISNUMBER(SEARCH("COGNAC",C484)),"Brandy",
 ISNUMBER(SEARCH("LIQUEUR",C484)),"Liqueurs",
 ISNUMBER(SEARCH("CORDIAL",C484)),"Liqueurs",
 ISNUMBER(SEARCH("SCHNAPP",C484)),"Liqueurs",
 ISNUMBER(SEARCH("GIN",C484)),"Gin",
 TRUE,"Other")</f>
        <v>Whiskey</v>
      </c>
      <c r="E484" s="5">
        <v>324674</v>
      </c>
      <c r="F484" s="5">
        <v>1965552.5299999805</v>
      </c>
      <c r="G484" s="5">
        <v>92452.850000003004</v>
      </c>
      <c r="H484" s="5">
        <v>11845</v>
      </c>
    </row>
    <row r="485" spans="1:8">
      <c r="A485" s="5">
        <v>2021</v>
      </c>
      <c r="B485" s="6">
        <v>44317</v>
      </c>
      <c r="C485" s="5" t="s">
        <v>49</v>
      </c>
      <c r="D485" s="3" t="str" cm="1">
        <f t="array" ref="D485">_xlfn.IFS(
 ISNUMBER(SEARCH("WHISK",C485)),"Whiskey",
 ISNUMBER(SEARCH("BOURBON",C485)),"Whiskey",
 ISNUMBER(SEARCH("SCOTCH",C485)),"Whiskey",
 ISNUMBER(SEARCH("RYE",C485)),"Whiskey",
 ISNUMBER(SEARCH("VODKA",C485)),"Vodka",
 ISNUMBER(SEARCH("TEQUILA",C485)),"Tequila/Mezcal",
 ISNUMBER(SEARCH("MEZCAL",C485)),"Tequila/Mezcal",
 ISNUMBER(SEARCH("RUM",C485)),"Rum",
 ISNUMBER(SEARCH("BRAND",C485)),"Brandy",
 ISNUMBER(SEARCH("COGNAC",C485)),"Brandy",
 ISNUMBER(SEARCH("LIQUEUR",C485)),"Liqueurs",
 ISNUMBER(SEARCH("CORDIAL",C485)),"Liqueurs",
 ISNUMBER(SEARCH("SCHNAPP",C485)),"Liqueurs",
 ISNUMBER(SEARCH("GIN",C485)),"Gin",
 TRUE,"Other")</f>
        <v>Rum</v>
      </c>
      <c r="E485" s="5">
        <v>45636</v>
      </c>
      <c r="F485" s="5">
        <v>520769.62999999675</v>
      </c>
      <c r="G485" s="5">
        <v>47940.430000000051</v>
      </c>
      <c r="H485" s="5">
        <v>4343</v>
      </c>
    </row>
    <row r="486" spans="1:8">
      <c r="A486" s="5">
        <v>2021</v>
      </c>
      <c r="B486" s="6">
        <v>44317</v>
      </c>
      <c r="C486" s="5" t="s">
        <v>11</v>
      </c>
      <c r="D486" s="3" t="str" cm="1">
        <f t="array" ref="D486">_xlfn.IFS(
 ISNUMBER(SEARCH("WHISK",C486)),"Whiskey",
 ISNUMBER(SEARCH("BOURBON",C486)),"Whiskey",
 ISNUMBER(SEARCH("SCOTCH",C486)),"Whiskey",
 ISNUMBER(SEARCH("RYE",C486)),"Whiskey",
 ISNUMBER(SEARCH("VODKA",C486)),"Vodka",
 ISNUMBER(SEARCH("TEQUILA",C486)),"Tequila/Mezcal",
 ISNUMBER(SEARCH("MEZCAL",C486)),"Tequila/Mezcal",
 ISNUMBER(SEARCH("RUM",C486)),"Rum",
 ISNUMBER(SEARCH("BRAND",C486)),"Brandy",
 ISNUMBER(SEARCH("COGNAC",C486)),"Brandy",
 ISNUMBER(SEARCH("LIQUEUR",C486)),"Liqueurs",
 ISNUMBER(SEARCH("CORDIAL",C486)),"Liqueurs",
 ISNUMBER(SEARCH("SCHNAPP",C486)),"Liqueurs",
 ISNUMBER(SEARCH("GIN",C486)),"Gin",
 TRUE,"Other")</f>
        <v>Gin</v>
      </c>
      <c r="E486" s="5">
        <v>32263</v>
      </c>
      <c r="F486" s="5">
        <v>289228.51000000146</v>
      </c>
      <c r="G486" s="5">
        <v>27125.259999999944</v>
      </c>
      <c r="H486" s="5">
        <v>3204</v>
      </c>
    </row>
    <row r="487" spans="1:8">
      <c r="A487" s="5">
        <v>2021</v>
      </c>
      <c r="B487" s="6">
        <v>44317</v>
      </c>
      <c r="C487" s="5" t="s">
        <v>37</v>
      </c>
      <c r="D487" s="3" t="str" cm="1">
        <f t="array" ref="D487">_xlfn.IFS(
 ISNUMBER(SEARCH("WHISK",C487)),"Whiskey",
 ISNUMBER(SEARCH("BOURBON",C487)),"Whiskey",
 ISNUMBER(SEARCH("SCOTCH",C487)),"Whiskey",
 ISNUMBER(SEARCH("RYE",C487)),"Whiskey",
 ISNUMBER(SEARCH("VODKA",C487)),"Vodka",
 ISNUMBER(SEARCH("TEQUILA",C487)),"Tequila/Mezcal",
 ISNUMBER(SEARCH("MEZCAL",C487)),"Tequila/Mezcal",
 ISNUMBER(SEARCH("RUM",C487)),"Rum",
 ISNUMBER(SEARCH("BRAND",C487)),"Brandy",
 ISNUMBER(SEARCH("COGNAC",C487)),"Brandy",
 ISNUMBER(SEARCH("LIQUEUR",C487)),"Liqueurs",
 ISNUMBER(SEARCH("CORDIAL",C487)),"Liqueurs",
 ISNUMBER(SEARCH("SCHNAPP",C487)),"Liqueurs",
 ISNUMBER(SEARCH("GIN",C487)),"Gin",
 TRUE,"Other")</f>
        <v>Other</v>
      </c>
      <c r="E487" s="5">
        <v>5825</v>
      </c>
      <c r="F487" s="5">
        <v>93618.499999999913</v>
      </c>
      <c r="G487" s="5">
        <v>3924.9500000000039</v>
      </c>
      <c r="H487" s="5">
        <v>1077</v>
      </c>
    </row>
    <row r="488" spans="1:8">
      <c r="A488" s="5">
        <v>2021</v>
      </c>
      <c r="B488" s="6">
        <v>44317</v>
      </c>
      <c r="C488" s="5" t="s">
        <v>30</v>
      </c>
      <c r="D488" s="3" t="str" cm="1">
        <f t="array" ref="D488">_xlfn.IFS(
 ISNUMBER(SEARCH("WHISK",C488)),"Whiskey",
 ISNUMBER(SEARCH("BOURBON",C488)),"Whiskey",
 ISNUMBER(SEARCH("SCOTCH",C488)),"Whiskey",
 ISNUMBER(SEARCH("RYE",C488)),"Whiskey",
 ISNUMBER(SEARCH("VODKA",C488)),"Vodka",
 ISNUMBER(SEARCH("TEQUILA",C488)),"Tequila/Mezcal",
 ISNUMBER(SEARCH("MEZCAL",C488)),"Tequila/Mezcal",
 ISNUMBER(SEARCH("RUM",C488)),"Rum",
 ISNUMBER(SEARCH("BRAND",C488)),"Brandy",
 ISNUMBER(SEARCH("COGNAC",C488)),"Brandy",
 ISNUMBER(SEARCH("LIQUEUR",C488)),"Liqueurs",
 ISNUMBER(SEARCH("CORDIAL",C488)),"Liqueurs",
 ISNUMBER(SEARCH("SCHNAPP",C488)),"Liqueurs",
 ISNUMBER(SEARCH("GIN",C488)),"Gin",
 TRUE,"Other")</f>
        <v>Vodka</v>
      </c>
      <c r="E488" s="5">
        <v>30877</v>
      </c>
      <c r="F488" s="5">
        <v>501930.3000000008</v>
      </c>
      <c r="G488" s="5">
        <v>22657.369999999981</v>
      </c>
      <c r="H488" s="5">
        <v>3864</v>
      </c>
    </row>
    <row r="489" spans="1:8">
      <c r="A489" s="5">
        <v>2021</v>
      </c>
      <c r="B489" s="6">
        <v>44317</v>
      </c>
      <c r="C489" s="5" t="s">
        <v>36</v>
      </c>
      <c r="D489" s="3" t="str" cm="1">
        <f t="array" ref="D489">_xlfn.IFS(
 ISNUMBER(SEARCH("WHISK",C489)),"Whiskey",
 ISNUMBER(SEARCH("BOURBON",C489)),"Whiskey",
 ISNUMBER(SEARCH("SCOTCH",C489)),"Whiskey",
 ISNUMBER(SEARCH("RYE",C489)),"Whiskey",
 ISNUMBER(SEARCH("VODKA",C489)),"Vodka",
 ISNUMBER(SEARCH("TEQUILA",C489)),"Tequila/Mezcal",
 ISNUMBER(SEARCH("MEZCAL",C489)),"Tequila/Mezcal",
 ISNUMBER(SEARCH("RUM",C489)),"Rum",
 ISNUMBER(SEARCH("BRAND",C489)),"Brandy",
 ISNUMBER(SEARCH("COGNAC",C489)),"Brandy",
 ISNUMBER(SEARCH("LIQUEUR",C489)),"Liqueurs",
 ISNUMBER(SEARCH("CORDIAL",C489)),"Liqueurs",
 ISNUMBER(SEARCH("SCHNAPP",C489)),"Liqueurs",
 ISNUMBER(SEARCH("GIN",C489)),"Gin",
 TRUE,"Other")</f>
        <v>Other</v>
      </c>
      <c r="E489" s="5">
        <v>3109</v>
      </c>
      <c r="F489" s="5">
        <v>39290.109999999979</v>
      </c>
      <c r="G489" s="5">
        <v>2397.35</v>
      </c>
      <c r="H489" s="5">
        <v>339</v>
      </c>
    </row>
    <row r="490" spans="1:8">
      <c r="A490" s="5">
        <v>2021</v>
      </c>
      <c r="B490" s="6">
        <v>44317</v>
      </c>
      <c r="C490" s="5" t="s">
        <v>10</v>
      </c>
      <c r="D490" s="3" t="str" cm="1">
        <f t="array" ref="D490">_xlfn.IFS(
 ISNUMBER(SEARCH("WHISK",C490)),"Whiskey",
 ISNUMBER(SEARCH("BOURBON",C490)),"Whiskey",
 ISNUMBER(SEARCH("SCOTCH",C490)),"Whiskey",
 ISNUMBER(SEARCH("RYE",C490)),"Whiskey",
 ISNUMBER(SEARCH("VODKA",C490)),"Vodka",
 ISNUMBER(SEARCH("TEQUILA",C490)),"Tequila/Mezcal",
 ISNUMBER(SEARCH("MEZCAL",C490)),"Tequila/Mezcal",
 ISNUMBER(SEARCH("RUM",C490)),"Rum",
 ISNUMBER(SEARCH("BRAND",C490)),"Brandy",
 ISNUMBER(SEARCH("COGNAC",C490)),"Brandy",
 ISNUMBER(SEARCH("LIQUEUR",C490)),"Liqueurs",
 ISNUMBER(SEARCH("CORDIAL",C490)),"Liqueurs",
 ISNUMBER(SEARCH("SCHNAPP",C490)),"Liqueurs",
 ISNUMBER(SEARCH("GIN",C490)),"Gin",
 TRUE,"Other")</f>
        <v>Other</v>
      </c>
      <c r="E490" s="5">
        <v>6571</v>
      </c>
      <c r="F490" s="5">
        <v>128811.08999999934</v>
      </c>
      <c r="G490" s="5">
        <v>4826.2500000000018</v>
      </c>
      <c r="H490" s="5">
        <v>897</v>
      </c>
    </row>
    <row r="491" spans="1:8">
      <c r="A491" s="5">
        <v>2021</v>
      </c>
      <c r="B491" s="6">
        <v>44317</v>
      </c>
      <c r="C491" s="5" t="s">
        <v>26</v>
      </c>
      <c r="D491" s="3" t="str" cm="1">
        <f t="array" ref="D491">_xlfn.IFS(
 ISNUMBER(SEARCH("WHISK",C491)),"Whiskey",
 ISNUMBER(SEARCH("BOURBON",C491)),"Whiskey",
 ISNUMBER(SEARCH("SCOTCH",C491)),"Whiskey",
 ISNUMBER(SEARCH("RYE",C491)),"Whiskey",
 ISNUMBER(SEARCH("VODKA",C491)),"Vodka",
 ISNUMBER(SEARCH("TEQUILA",C491)),"Tequila/Mezcal",
 ISNUMBER(SEARCH("MEZCAL",C491)),"Tequila/Mezcal",
 ISNUMBER(SEARCH("RUM",C491)),"Rum",
 ISNUMBER(SEARCH("BRAND",C491)),"Brandy",
 ISNUMBER(SEARCH("COGNAC",C491)),"Brandy",
 ISNUMBER(SEARCH("LIQUEUR",C491)),"Liqueurs",
 ISNUMBER(SEARCH("CORDIAL",C491)),"Liqueurs",
 ISNUMBER(SEARCH("SCHNAPP",C491)),"Liqueurs",
 ISNUMBER(SEARCH("GIN",C491)),"Gin",
 TRUE,"Other")</f>
        <v>Brandy</v>
      </c>
      <c r="E491" s="5">
        <v>69278</v>
      </c>
      <c r="F491" s="5">
        <v>1344202.3899999391</v>
      </c>
      <c r="G491" s="5">
        <v>29073.549999999868</v>
      </c>
      <c r="H491" s="5">
        <v>4431</v>
      </c>
    </row>
    <row r="492" spans="1:8">
      <c r="A492" s="5">
        <v>2021</v>
      </c>
      <c r="B492" s="6">
        <v>44317</v>
      </c>
      <c r="C492" s="5" t="s">
        <v>29</v>
      </c>
      <c r="D492" s="3" t="str" cm="1">
        <f t="array" ref="D492">_xlfn.IFS(
 ISNUMBER(SEARCH("WHISK",C492)),"Whiskey",
 ISNUMBER(SEARCH("BOURBON",C492)),"Whiskey",
 ISNUMBER(SEARCH("SCOTCH",C492)),"Whiskey",
 ISNUMBER(SEARCH("RYE",C492)),"Whiskey",
 ISNUMBER(SEARCH("VODKA",C492)),"Vodka",
 ISNUMBER(SEARCH("TEQUILA",C492)),"Tequila/Mezcal",
 ISNUMBER(SEARCH("MEZCAL",C492)),"Tequila/Mezcal",
 ISNUMBER(SEARCH("RUM",C492)),"Rum",
 ISNUMBER(SEARCH("BRAND",C492)),"Brandy",
 ISNUMBER(SEARCH("COGNAC",C492)),"Brandy",
 ISNUMBER(SEARCH("LIQUEUR",C492)),"Liqueurs",
 ISNUMBER(SEARCH("CORDIAL",C492)),"Liqueurs",
 ISNUMBER(SEARCH("SCHNAPP",C492)),"Liqueurs",
 ISNUMBER(SEARCH("GIN",C492)),"Gin",
 TRUE,"Other")</f>
        <v>Gin</v>
      </c>
      <c r="E492" s="5">
        <v>20119</v>
      </c>
      <c r="F492" s="5">
        <v>495788.80999999895</v>
      </c>
      <c r="G492" s="5">
        <v>19611.209999999992</v>
      </c>
      <c r="H492" s="5">
        <v>2559</v>
      </c>
    </row>
    <row r="493" spans="1:8">
      <c r="A493" s="5">
        <v>2021</v>
      </c>
      <c r="B493" s="6">
        <v>44317</v>
      </c>
      <c r="C493" s="5" t="s">
        <v>33</v>
      </c>
      <c r="D493" s="3" t="str" cm="1">
        <f t="array" ref="D493">_xlfn.IFS(
 ISNUMBER(SEARCH("WHISK",C493)),"Whiskey",
 ISNUMBER(SEARCH("BOURBON",C493)),"Whiskey",
 ISNUMBER(SEARCH("SCOTCH",C493)),"Whiskey",
 ISNUMBER(SEARCH("RYE",C493)),"Whiskey",
 ISNUMBER(SEARCH("VODKA",C493)),"Vodka",
 ISNUMBER(SEARCH("TEQUILA",C493)),"Tequila/Mezcal",
 ISNUMBER(SEARCH("MEZCAL",C493)),"Tequila/Mezcal",
 ISNUMBER(SEARCH("RUM",C493)),"Rum",
 ISNUMBER(SEARCH("BRAND",C493)),"Brandy",
 ISNUMBER(SEARCH("COGNAC",C493)),"Brandy",
 ISNUMBER(SEARCH("LIQUEUR",C493)),"Liqueurs",
 ISNUMBER(SEARCH("CORDIAL",C493)),"Liqueurs",
 ISNUMBER(SEARCH("SCHNAPP",C493)),"Liqueurs",
 ISNUMBER(SEARCH("GIN",C493)),"Gin",
 TRUE,"Other")</f>
        <v>Whiskey</v>
      </c>
      <c r="E493" s="5">
        <v>24180</v>
      </c>
      <c r="F493" s="5">
        <v>604263.0099999985</v>
      </c>
      <c r="G493" s="5">
        <v>19867.650000000012</v>
      </c>
      <c r="H493" s="5">
        <v>2489</v>
      </c>
    </row>
    <row r="494" spans="1:8">
      <c r="A494" s="5">
        <v>2021</v>
      </c>
      <c r="B494" s="6">
        <v>44317</v>
      </c>
      <c r="C494" s="5" t="s">
        <v>14</v>
      </c>
      <c r="D494" s="3" t="str" cm="1">
        <f t="array" ref="D494">_xlfn.IFS(
 ISNUMBER(SEARCH("WHISK",C494)),"Whiskey",
 ISNUMBER(SEARCH("BOURBON",C494)),"Whiskey",
 ISNUMBER(SEARCH("SCOTCH",C494)),"Whiskey",
 ISNUMBER(SEARCH("RYE",C494)),"Whiskey",
 ISNUMBER(SEARCH("VODKA",C494)),"Vodka",
 ISNUMBER(SEARCH("TEQUILA",C494)),"Tequila/Mezcal",
 ISNUMBER(SEARCH("MEZCAL",C494)),"Tequila/Mezcal",
 ISNUMBER(SEARCH("RUM",C494)),"Rum",
 ISNUMBER(SEARCH("BRAND",C494)),"Brandy",
 ISNUMBER(SEARCH("COGNAC",C494)),"Brandy",
 ISNUMBER(SEARCH("LIQUEUR",C494)),"Liqueurs",
 ISNUMBER(SEARCH("CORDIAL",C494)),"Liqueurs",
 ISNUMBER(SEARCH("SCHNAPP",C494)),"Liqueurs",
 ISNUMBER(SEARCH("GIN",C494)),"Gin",
 TRUE,"Other")</f>
        <v>Gin</v>
      </c>
      <c r="E494" s="5">
        <v>379</v>
      </c>
      <c r="F494" s="5">
        <v>3081.2700000000018</v>
      </c>
      <c r="G494" s="5">
        <v>379</v>
      </c>
      <c r="H494" s="5">
        <v>78</v>
      </c>
    </row>
    <row r="495" spans="1:8">
      <c r="A495" s="5">
        <v>2021</v>
      </c>
      <c r="B495" s="6">
        <v>44317</v>
      </c>
      <c r="C495" s="5" t="s">
        <v>17</v>
      </c>
      <c r="D495" s="3" t="str" cm="1">
        <f t="array" ref="D495">_xlfn.IFS(
 ISNUMBER(SEARCH("WHISK",C495)),"Whiskey",
 ISNUMBER(SEARCH("BOURBON",C495)),"Whiskey",
 ISNUMBER(SEARCH("SCOTCH",C495)),"Whiskey",
 ISNUMBER(SEARCH("RYE",C495)),"Whiskey",
 ISNUMBER(SEARCH("VODKA",C495)),"Vodka",
 ISNUMBER(SEARCH("TEQUILA",C495)),"Tequila/Mezcal",
 ISNUMBER(SEARCH("MEZCAL",C495)),"Tequila/Mezcal",
 ISNUMBER(SEARCH("RUM",C495)),"Rum",
 ISNUMBER(SEARCH("BRAND",C495)),"Brandy",
 ISNUMBER(SEARCH("COGNAC",C495)),"Brandy",
 ISNUMBER(SEARCH("LIQUEUR",C495)),"Liqueurs",
 ISNUMBER(SEARCH("CORDIAL",C495)),"Liqueurs",
 ISNUMBER(SEARCH("SCHNAPP",C495)),"Liqueurs",
 ISNUMBER(SEARCH("GIN",C495)),"Gin",
 TRUE,"Other")</f>
        <v>Whiskey</v>
      </c>
      <c r="E495" s="5">
        <v>1722</v>
      </c>
      <c r="F495" s="5">
        <v>45283.1</v>
      </c>
      <c r="G495" s="5">
        <v>1297.5</v>
      </c>
      <c r="H495" s="5">
        <v>291</v>
      </c>
    </row>
    <row r="496" spans="1:8">
      <c r="A496" s="5">
        <v>2021</v>
      </c>
      <c r="B496" s="6">
        <v>44317</v>
      </c>
      <c r="C496" s="5" t="s">
        <v>25</v>
      </c>
      <c r="D496" s="3" t="str" cm="1">
        <f t="array" ref="D496">_xlfn.IFS(
 ISNUMBER(SEARCH("WHISK",C496)),"Whiskey",
 ISNUMBER(SEARCH("BOURBON",C496)),"Whiskey",
 ISNUMBER(SEARCH("SCOTCH",C496)),"Whiskey",
 ISNUMBER(SEARCH("RYE",C496)),"Whiskey",
 ISNUMBER(SEARCH("VODKA",C496)),"Vodka",
 ISNUMBER(SEARCH("TEQUILA",C496)),"Tequila/Mezcal",
 ISNUMBER(SEARCH("MEZCAL",C496)),"Tequila/Mezcal",
 ISNUMBER(SEARCH("RUM",C496)),"Rum",
 ISNUMBER(SEARCH("BRAND",C496)),"Brandy",
 ISNUMBER(SEARCH("COGNAC",C496)),"Brandy",
 ISNUMBER(SEARCH("LIQUEUR",C496)),"Liqueurs",
 ISNUMBER(SEARCH("CORDIAL",C496)),"Liqueurs",
 ISNUMBER(SEARCH("SCHNAPP",C496)),"Liqueurs",
 ISNUMBER(SEARCH("GIN",C496)),"Gin",
 TRUE,"Other")</f>
        <v>Rum</v>
      </c>
      <c r="E496" s="5">
        <v>6508</v>
      </c>
      <c r="F496" s="5">
        <v>83603.009999999864</v>
      </c>
      <c r="G496" s="5">
        <v>7498.3900000000067</v>
      </c>
      <c r="H496" s="5">
        <v>1047</v>
      </c>
    </row>
    <row r="497" spans="1:8">
      <c r="A497" s="5">
        <v>2021</v>
      </c>
      <c r="B497" s="6">
        <v>44317</v>
      </c>
      <c r="C497" s="5" t="s">
        <v>44</v>
      </c>
      <c r="D497" s="3" t="str" cm="1">
        <f t="array" ref="D497">_xlfn.IFS(
 ISNUMBER(SEARCH("WHISK",C497)),"Whiskey",
 ISNUMBER(SEARCH("BOURBON",C497)),"Whiskey",
 ISNUMBER(SEARCH("SCOTCH",C497)),"Whiskey",
 ISNUMBER(SEARCH("RYE",C497)),"Whiskey",
 ISNUMBER(SEARCH("VODKA",C497)),"Vodka",
 ISNUMBER(SEARCH("TEQUILA",C497)),"Tequila/Mezcal",
 ISNUMBER(SEARCH("MEZCAL",C497)),"Tequila/Mezcal",
 ISNUMBER(SEARCH("RUM",C497)),"Rum",
 ISNUMBER(SEARCH("BRAND",C497)),"Brandy",
 ISNUMBER(SEARCH("COGNAC",C497)),"Brandy",
 ISNUMBER(SEARCH("LIQUEUR",C497)),"Liqueurs",
 ISNUMBER(SEARCH("CORDIAL",C497)),"Liqueurs",
 ISNUMBER(SEARCH("SCHNAPP",C497)),"Liqueurs",
 ISNUMBER(SEARCH("GIN",C497)),"Gin",
 TRUE,"Other")</f>
        <v>Whiskey</v>
      </c>
      <c r="E497" s="5">
        <v>13781</v>
      </c>
      <c r="F497" s="5">
        <v>411907.88000000484</v>
      </c>
      <c r="G497" s="5">
        <v>10451.200000000004</v>
      </c>
      <c r="H497" s="5">
        <v>1994</v>
      </c>
    </row>
    <row r="498" spans="1:8">
      <c r="A498" s="5">
        <v>2021</v>
      </c>
      <c r="B498" s="6">
        <v>44317</v>
      </c>
      <c r="C498" s="5" t="s">
        <v>47</v>
      </c>
      <c r="D498" s="3" t="str" cm="1">
        <f t="array" ref="D498">_xlfn.IFS(
 ISNUMBER(SEARCH("WHISK",C498)),"Whiskey",
 ISNUMBER(SEARCH("BOURBON",C498)),"Whiskey",
 ISNUMBER(SEARCH("SCOTCH",C498)),"Whiskey",
 ISNUMBER(SEARCH("RYE",C498)),"Whiskey",
 ISNUMBER(SEARCH("VODKA",C498)),"Vodka",
 ISNUMBER(SEARCH("TEQUILA",C498)),"Tequila/Mezcal",
 ISNUMBER(SEARCH("MEZCAL",C498)),"Tequila/Mezcal",
 ISNUMBER(SEARCH("RUM",C498)),"Rum",
 ISNUMBER(SEARCH("BRAND",C498)),"Brandy",
 ISNUMBER(SEARCH("COGNAC",C498)),"Brandy",
 ISNUMBER(SEARCH("LIQUEUR",C498)),"Liqueurs",
 ISNUMBER(SEARCH("CORDIAL",C498)),"Liqueurs",
 ISNUMBER(SEARCH("SCHNAPP",C498)),"Liqueurs",
 ISNUMBER(SEARCH("GIN",C498)),"Gin",
 TRUE,"Other")</f>
        <v>Other</v>
      </c>
      <c r="E498" s="5">
        <v>19891</v>
      </c>
      <c r="F498" s="5">
        <v>76947.519999999829</v>
      </c>
      <c r="G498" s="5">
        <v>19519</v>
      </c>
      <c r="H498" s="5">
        <v>786</v>
      </c>
    </row>
    <row r="499" spans="1:8">
      <c r="A499" s="5">
        <v>2021</v>
      </c>
      <c r="B499" s="6">
        <v>44317</v>
      </c>
      <c r="C499" s="5" t="s">
        <v>7</v>
      </c>
      <c r="D499" s="3" t="str" cm="1">
        <f t="array" ref="D499">_xlfn.IFS(
 ISNUMBER(SEARCH("WHISK",C499)),"Whiskey",
 ISNUMBER(SEARCH("BOURBON",C499)),"Whiskey",
 ISNUMBER(SEARCH("SCOTCH",C499)),"Whiskey",
 ISNUMBER(SEARCH("RYE",C499)),"Whiskey",
 ISNUMBER(SEARCH("VODKA",C499)),"Vodka",
 ISNUMBER(SEARCH("TEQUILA",C499)),"Tequila/Mezcal",
 ISNUMBER(SEARCH("MEZCAL",C499)),"Tequila/Mezcal",
 ISNUMBER(SEARCH("RUM",C499)),"Rum",
 ISNUMBER(SEARCH("BRAND",C499)),"Brandy",
 ISNUMBER(SEARCH("COGNAC",C499)),"Brandy",
 ISNUMBER(SEARCH("LIQUEUR",C499)),"Liqueurs",
 ISNUMBER(SEARCH("CORDIAL",C499)),"Liqueurs",
 ISNUMBER(SEARCH("SCHNAPP",C499)),"Liqueurs",
 ISNUMBER(SEARCH("GIN",C499)),"Gin",
 TRUE,"Other")</f>
        <v>Rum</v>
      </c>
      <c r="E499" s="5">
        <v>3671</v>
      </c>
      <c r="F499" s="5">
        <v>74844.790000000081</v>
      </c>
      <c r="G499" s="5">
        <v>3008.75</v>
      </c>
      <c r="H499" s="5">
        <v>673</v>
      </c>
    </row>
    <row r="500" spans="1:8">
      <c r="A500" s="5">
        <v>2021</v>
      </c>
      <c r="B500" s="6">
        <v>44317</v>
      </c>
      <c r="C500" s="5" t="s">
        <v>21</v>
      </c>
      <c r="D500" s="3" t="str" cm="1">
        <f t="array" ref="D500">_xlfn.IFS(
 ISNUMBER(SEARCH("WHISK",C500)),"Whiskey",
 ISNUMBER(SEARCH("BOURBON",C500)),"Whiskey",
 ISNUMBER(SEARCH("SCOTCH",C500)),"Whiskey",
 ISNUMBER(SEARCH("RYE",C500)),"Whiskey",
 ISNUMBER(SEARCH("VODKA",C500)),"Vodka",
 ISNUMBER(SEARCH("TEQUILA",C500)),"Tequila/Mezcal",
 ISNUMBER(SEARCH("MEZCAL",C500)),"Tequila/Mezcal",
 ISNUMBER(SEARCH("RUM",C500)),"Rum",
 ISNUMBER(SEARCH("BRAND",C500)),"Brandy",
 ISNUMBER(SEARCH("COGNAC",C500)),"Brandy",
 ISNUMBER(SEARCH("LIQUEUR",C500)),"Liqueurs",
 ISNUMBER(SEARCH("CORDIAL",C500)),"Liqueurs",
 ISNUMBER(SEARCH("SCHNAPP",C500)),"Liqueurs",
 ISNUMBER(SEARCH("GIN",C500)),"Gin",
 TRUE,"Other")</f>
        <v>Whiskey</v>
      </c>
      <c r="E500" s="5">
        <v>1276</v>
      </c>
      <c r="F500" s="5">
        <v>42099.929999999993</v>
      </c>
      <c r="G500" s="5">
        <v>944.4</v>
      </c>
      <c r="H500" s="5">
        <v>132</v>
      </c>
    </row>
    <row r="501" spans="1:8">
      <c r="A501" s="5">
        <v>2021</v>
      </c>
      <c r="B501" s="6">
        <v>44317</v>
      </c>
      <c r="C501" s="5" t="s">
        <v>34</v>
      </c>
      <c r="D501" s="3" t="str" cm="1">
        <f t="array" ref="D501">_xlfn.IFS(
 ISNUMBER(SEARCH("WHISK",C501)),"Whiskey",
 ISNUMBER(SEARCH("BOURBON",C501)),"Whiskey",
 ISNUMBER(SEARCH("SCOTCH",C501)),"Whiskey",
 ISNUMBER(SEARCH("RYE",C501)),"Whiskey",
 ISNUMBER(SEARCH("VODKA",C501)),"Vodka",
 ISNUMBER(SEARCH("TEQUILA",C501)),"Tequila/Mezcal",
 ISNUMBER(SEARCH("MEZCAL",C501)),"Tequila/Mezcal",
 ISNUMBER(SEARCH("RUM",C501)),"Rum",
 ISNUMBER(SEARCH("BRAND",C501)),"Brandy",
 ISNUMBER(SEARCH("COGNAC",C501)),"Brandy",
 ISNUMBER(SEARCH("LIQUEUR",C501)),"Liqueurs",
 ISNUMBER(SEARCH("CORDIAL",C501)),"Liqueurs",
 ISNUMBER(SEARCH("SCHNAPP",C501)),"Liqueurs",
 ISNUMBER(SEARCH("GIN",C501)),"Gin",
 TRUE,"Other")</f>
        <v>Tequila/Mezcal</v>
      </c>
      <c r="E501" s="5">
        <v>901</v>
      </c>
      <c r="F501" s="5">
        <v>28923.589999999978</v>
      </c>
      <c r="G501" s="5">
        <v>683.75</v>
      </c>
      <c r="H501" s="5">
        <v>176</v>
      </c>
    </row>
    <row r="502" spans="1:8">
      <c r="A502" s="5">
        <v>2021</v>
      </c>
      <c r="B502" s="6">
        <v>44317</v>
      </c>
      <c r="C502" s="5" t="s">
        <v>41</v>
      </c>
      <c r="D502" s="3" t="str" cm="1">
        <f t="array" ref="D502">_xlfn.IFS(
 ISNUMBER(SEARCH("WHISK",C502)),"Whiskey",
 ISNUMBER(SEARCH("BOURBON",C502)),"Whiskey",
 ISNUMBER(SEARCH("SCOTCH",C502)),"Whiskey",
 ISNUMBER(SEARCH("RYE",C502)),"Whiskey",
 ISNUMBER(SEARCH("VODKA",C502)),"Vodka",
 ISNUMBER(SEARCH("TEQUILA",C502)),"Tequila/Mezcal",
 ISNUMBER(SEARCH("MEZCAL",C502)),"Tequila/Mezcal",
 ISNUMBER(SEARCH("RUM",C502)),"Rum",
 ISNUMBER(SEARCH("BRAND",C502)),"Brandy",
 ISNUMBER(SEARCH("COGNAC",C502)),"Brandy",
 ISNUMBER(SEARCH("LIQUEUR",C502)),"Liqueurs",
 ISNUMBER(SEARCH("CORDIAL",C502)),"Liqueurs",
 ISNUMBER(SEARCH("SCHNAPP",C502)),"Liqueurs",
 ISNUMBER(SEARCH("GIN",C502)),"Gin",
 TRUE,"Other")</f>
        <v>Other</v>
      </c>
      <c r="E502" s="5">
        <v>11320</v>
      </c>
      <c r="F502" s="5">
        <v>186001.96999999994</v>
      </c>
      <c r="G502" s="5">
        <v>15388.120000000004</v>
      </c>
      <c r="H502" s="5">
        <v>515</v>
      </c>
    </row>
    <row r="503" spans="1:8">
      <c r="A503" s="5">
        <v>2021</v>
      </c>
      <c r="B503" s="6">
        <v>44317</v>
      </c>
      <c r="C503" s="5" t="s">
        <v>23</v>
      </c>
      <c r="D503" s="3" t="str" cm="1">
        <f t="array" ref="D503">_xlfn.IFS(
 ISNUMBER(SEARCH("WHISK",C503)),"Whiskey",
 ISNUMBER(SEARCH("BOURBON",C503)),"Whiskey",
 ISNUMBER(SEARCH("SCOTCH",C503)),"Whiskey",
 ISNUMBER(SEARCH("RYE",C503)),"Whiskey",
 ISNUMBER(SEARCH("VODKA",C503)),"Vodka",
 ISNUMBER(SEARCH("TEQUILA",C503)),"Tequila/Mezcal",
 ISNUMBER(SEARCH("MEZCAL",C503)),"Tequila/Mezcal",
 ISNUMBER(SEARCH("RUM",C503)),"Rum",
 ISNUMBER(SEARCH("BRAND",C503)),"Brandy",
 ISNUMBER(SEARCH("COGNAC",C503)),"Brandy",
 ISNUMBER(SEARCH("LIQUEUR",C503)),"Liqueurs",
 ISNUMBER(SEARCH("CORDIAL",C503)),"Liqueurs",
 ISNUMBER(SEARCH("SCHNAPP",C503)),"Liqueurs",
 ISNUMBER(SEARCH("GIN",C503)),"Gin",
 TRUE,"Other")</f>
        <v>Gin</v>
      </c>
      <c r="E503" s="5">
        <v>1478</v>
      </c>
      <c r="F503" s="5">
        <v>28976.539999999975</v>
      </c>
      <c r="G503" s="5">
        <v>1081.8999999999999</v>
      </c>
      <c r="H503" s="5">
        <v>192</v>
      </c>
    </row>
    <row r="504" spans="1:8">
      <c r="A504" s="5">
        <v>2021</v>
      </c>
      <c r="B504" s="6">
        <v>44317</v>
      </c>
      <c r="C504" s="5" t="s">
        <v>39</v>
      </c>
      <c r="D504" s="3" t="str" cm="1">
        <f t="array" ref="D504">_xlfn.IFS(
 ISNUMBER(SEARCH("WHISK",C504)),"Whiskey",
 ISNUMBER(SEARCH("BOURBON",C504)),"Whiskey",
 ISNUMBER(SEARCH("SCOTCH",C504)),"Whiskey",
 ISNUMBER(SEARCH("RYE",C504)),"Whiskey",
 ISNUMBER(SEARCH("VODKA",C504)),"Vodka",
 ISNUMBER(SEARCH("TEQUILA",C504)),"Tequila/Mezcal",
 ISNUMBER(SEARCH("MEZCAL",C504)),"Tequila/Mezcal",
 ISNUMBER(SEARCH("RUM",C504)),"Rum",
 ISNUMBER(SEARCH("BRAND",C504)),"Brandy",
 ISNUMBER(SEARCH("COGNAC",C504)),"Brandy",
 ISNUMBER(SEARCH("LIQUEUR",C504)),"Liqueurs",
 ISNUMBER(SEARCH("CORDIAL",C504)),"Liqueurs",
 ISNUMBER(SEARCH("SCHNAPP",C504)),"Liqueurs",
 ISNUMBER(SEARCH("GIN",C504)),"Gin",
 TRUE,"Other")</f>
        <v>Whiskey</v>
      </c>
      <c r="E504" s="5">
        <v>2226</v>
      </c>
      <c r="F504" s="5">
        <v>75628.580000000293</v>
      </c>
      <c r="G504" s="5">
        <v>1669.5</v>
      </c>
      <c r="H504" s="5">
        <v>262</v>
      </c>
    </row>
    <row r="505" spans="1:8">
      <c r="A505" s="5">
        <v>2021</v>
      </c>
      <c r="B505" s="6">
        <v>44317</v>
      </c>
      <c r="C505" s="5" t="s">
        <v>51</v>
      </c>
      <c r="D505" s="3" t="str" cm="1">
        <f t="array" ref="D505">_xlfn.IFS(
 ISNUMBER(SEARCH("WHISK",C505)),"Whiskey",
 ISNUMBER(SEARCH("BOURBON",C505)),"Whiskey",
 ISNUMBER(SEARCH("SCOTCH",C505)),"Whiskey",
 ISNUMBER(SEARCH("RYE",C505)),"Whiskey",
 ISNUMBER(SEARCH("VODKA",C505)),"Vodka",
 ISNUMBER(SEARCH("TEQUILA",C505)),"Tequila/Mezcal",
 ISNUMBER(SEARCH("MEZCAL",C505)),"Tequila/Mezcal",
 ISNUMBER(SEARCH("RUM",C505)),"Rum",
 ISNUMBER(SEARCH("BRAND",C505)),"Brandy",
 ISNUMBER(SEARCH("COGNAC",C505)),"Brandy",
 ISNUMBER(SEARCH("LIQUEUR",C505)),"Liqueurs",
 ISNUMBER(SEARCH("CORDIAL",C505)),"Liqueurs",
 ISNUMBER(SEARCH("SCHNAPP",C505)),"Liqueurs",
 ISNUMBER(SEARCH("GIN",C505)),"Gin",
 TRUE,"Other")</f>
        <v>Other</v>
      </c>
      <c r="E505" s="5">
        <v>134</v>
      </c>
      <c r="F505" s="5">
        <v>4690</v>
      </c>
      <c r="G505" s="5">
        <v>100.5</v>
      </c>
      <c r="H505" s="5">
        <v>24</v>
      </c>
    </row>
    <row r="506" spans="1:8">
      <c r="A506" s="5">
        <v>2021</v>
      </c>
      <c r="B506" s="6">
        <v>44348</v>
      </c>
      <c r="C506" s="5" t="s">
        <v>50</v>
      </c>
      <c r="D506" s="3" t="str" cm="1">
        <f t="array" ref="D506">_xlfn.IFS(
 ISNUMBER(SEARCH("WHISK",C506)),"Whiskey",
 ISNUMBER(SEARCH("BOURBON",C506)),"Whiskey",
 ISNUMBER(SEARCH("SCOTCH",C506)),"Whiskey",
 ISNUMBER(SEARCH("RYE",C506)),"Whiskey",
 ISNUMBER(SEARCH("VODKA",C506)),"Vodka",
 ISNUMBER(SEARCH("TEQUILA",C506)),"Tequila/Mezcal",
 ISNUMBER(SEARCH("MEZCAL",C506)),"Tequila/Mezcal",
 ISNUMBER(SEARCH("RUM",C506)),"Rum",
 ISNUMBER(SEARCH("BRAND",C506)),"Brandy",
 ISNUMBER(SEARCH("COGNAC",C506)),"Brandy",
 ISNUMBER(SEARCH("LIQUEUR",C506)),"Liqueurs",
 ISNUMBER(SEARCH("CORDIAL",C506)),"Liqueurs",
 ISNUMBER(SEARCH("SCHNAPP",C506)),"Liqueurs",
 ISNUMBER(SEARCH("GIN",C506)),"Gin",
 TRUE,"Other")</f>
        <v>Tequila/Mezcal</v>
      </c>
      <c r="E506" s="5">
        <v>76084</v>
      </c>
      <c r="F506" s="5">
        <v>2332489.2399999686</v>
      </c>
      <c r="G506" s="5">
        <v>58890.520000000128</v>
      </c>
      <c r="H506" s="5">
        <v>7982</v>
      </c>
    </row>
    <row r="507" spans="1:8">
      <c r="A507" s="5">
        <v>2021</v>
      </c>
      <c r="B507" s="6">
        <v>44348</v>
      </c>
      <c r="C507" s="5" t="s">
        <v>59</v>
      </c>
      <c r="D507" s="3" t="str" cm="1">
        <f t="array" ref="D507">_xlfn.IFS(
 ISNUMBER(SEARCH("WHISK",C507)),"Whiskey",
 ISNUMBER(SEARCH("BOURBON",C507)),"Whiskey",
 ISNUMBER(SEARCH("SCOTCH",C507)),"Whiskey",
 ISNUMBER(SEARCH("RYE",C507)),"Whiskey",
 ISNUMBER(SEARCH("VODKA",C507)),"Vodka",
 ISNUMBER(SEARCH("TEQUILA",C507)),"Tequila/Mezcal",
 ISNUMBER(SEARCH("MEZCAL",C507)),"Tequila/Mezcal",
 ISNUMBER(SEARCH("RUM",C507)),"Rum",
 ISNUMBER(SEARCH("BRAND",C507)),"Brandy",
 ISNUMBER(SEARCH("COGNAC",C507)),"Brandy",
 ISNUMBER(SEARCH("LIQUEUR",C507)),"Liqueurs",
 ISNUMBER(SEARCH("CORDIAL",C507)),"Liqueurs",
 ISNUMBER(SEARCH("SCHNAPP",C507)),"Liqueurs",
 ISNUMBER(SEARCH("GIN",C507)),"Gin",
 TRUE,"Other")</f>
        <v>Liqueurs</v>
      </c>
      <c r="E507" s="5">
        <v>45867</v>
      </c>
      <c r="F507" s="5">
        <v>387071.05000000907</v>
      </c>
      <c r="G507" s="5">
        <v>23172.689999999267</v>
      </c>
      <c r="H507" s="5">
        <v>5925</v>
      </c>
    </row>
    <row r="508" spans="1:8">
      <c r="A508" s="5">
        <v>2021</v>
      </c>
      <c r="B508" s="6">
        <v>44348</v>
      </c>
      <c r="C508" s="5" t="s">
        <v>11</v>
      </c>
      <c r="D508" s="3" t="str" cm="1">
        <f t="array" ref="D508">_xlfn.IFS(
 ISNUMBER(SEARCH("WHISK",C508)),"Whiskey",
 ISNUMBER(SEARCH("BOURBON",C508)),"Whiskey",
 ISNUMBER(SEARCH("SCOTCH",C508)),"Whiskey",
 ISNUMBER(SEARCH("RYE",C508)),"Whiskey",
 ISNUMBER(SEARCH("VODKA",C508)),"Vodka",
 ISNUMBER(SEARCH("TEQUILA",C508)),"Tequila/Mezcal",
 ISNUMBER(SEARCH("MEZCAL",C508)),"Tequila/Mezcal",
 ISNUMBER(SEARCH("RUM",C508)),"Rum",
 ISNUMBER(SEARCH("BRAND",C508)),"Brandy",
 ISNUMBER(SEARCH("COGNAC",C508)),"Brandy",
 ISNUMBER(SEARCH("LIQUEUR",C508)),"Liqueurs",
 ISNUMBER(SEARCH("CORDIAL",C508)),"Liqueurs",
 ISNUMBER(SEARCH("SCHNAPP",C508)),"Liqueurs",
 ISNUMBER(SEARCH("GIN",C508)),"Gin",
 TRUE,"Other")</f>
        <v>Gin</v>
      </c>
      <c r="E508" s="5">
        <v>43730</v>
      </c>
      <c r="F508" s="5">
        <v>356180.27000000427</v>
      </c>
      <c r="G508" s="5">
        <v>32676.989999999827</v>
      </c>
      <c r="H508" s="5">
        <v>3902</v>
      </c>
    </row>
    <row r="509" spans="1:8">
      <c r="A509" s="5">
        <v>2021</v>
      </c>
      <c r="B509" s="6">
        <v>44348</v>
      </c>
      <c r="C509" s="5" t="s">
        <v>12</v>
      </c>
      <c r="D509" s="3" t="str" cm="1">
        <f t="array" ref="D509">_xlfn.IFS(
 ISNUMBER(SEARCH("WHISK",C509)),"Whiskey",
 ISNUMBER(SEARCH("BOURBON",C509)),"Whiskey",
 ISNUMBER(SEARCH("SCOTCH",C509)),"Whiskey",
 ISNUMBER(SEARCH("RYE",C509)),"Whiskey",
 ISNUMBER(SEARCH("VODKA",C509)),"Vodka",
 ISNUMBER(SEARCH("TEQUILA",C509)),"Tequila/Mezcal",
 ISNUMBER(SEARCH("MEZCAL",C509)),"Tequila/Mezcal",
 ISNUMBER(SEARCH("RUM",C509)),"Rum",
 ISNUMBER(SEARCH("BRAND",C509)),"Brandy",
 ISNUMBER(SEARCH("COGNAC",C509)),"Brandy",
 ISNUMBER(SEARCH("LIQUEUR",C509)),"Liqueurs",
 ISNUMBER(SEARCH("CORDIAL",C509)),"Liqueurs",
 ISNUMBER(SEARCH("SCHNAPP",C509)),"Liqueurs",
 ISNUMBER(SEARCH("GIN",C509)),"Gin",
 TRUE,"Other")</f>
        <v>Vodka</v>
      </c>
      <c r="E509" s="5">
        <v>96873</v>
      </c>
      <c r="F509" s="5">
        <v>1062038.8500000518</v>
      </c>
      <c r="G509" s="5">
        <v>71989.410000000615</v>
      </c>
      <c r="H509" s="5">
        <v>11284</v>
      </c>
    </row>
    <row r="510" spans="1:8">
      <c r="A510" s="5">
        <v>2021</v>
      </c>
      <c r="B510" s="6">
        <v>44348</v>
      </c>
      <c r="C510" s="5" t="s">
        <v>13</v>
      </c>
      <c r="D510" s="3" t="str" cm="1">
        <f t="array" ref="D510">_xlfn.IFS(
 ISNUMBER(SEARCH("WHISK",C510)),"Whiskey",
 ISNUMBER(SEARCH("BOURBON",C510)),"Whiskey",
 ISNUMBER(SEARCH("SCOTCH",C510)),"Whiskey",
 ISNUMBER(SEARCH("RYE",C510)),"Whiskey",
 ISNUMBER(SEARCH("VODKA",C510)),"Vodka",
 ISNUMBER(SEARCH("TEQUILA",C510)),"Tequila/Mezcal",
 ISNUMBER(SEARCH("MEZCAL",C510)),"Tequila/Mezcal",
 ISNUMBER(SEARCH("RUM",C510)),"Rum",
 ISNUMBER(SEARCH("BRAND",C510)),"Brandy",
 ISNUMBER(SEARCH("COGNAC",C510)),"Brandy",
 ISNUMBER(SEARCH("LIQUEUR",C510)),"Liqueurs",
 ISNUMBER(SEARCH("CORDIAL",C510)),"Liqueurs",
 ISNUMBER(SEARCH("SCHNAPP",C510)),"Liqueurs",
 ISNUMBER(SEARCH("GIN",C510)),"Gin",
 TRUE,"Other")</f>
        <v>Liqueurs</v>
      </c>
      <c r="E510" s="5">
        <v>70019</v>
      </c>
      <c r="F510" s="5">
        <v>599850.24999998859</v>
      </c>
      <c r="G510" s="5">
        <v>46891.999999999978</v>
      </c>
      <c r="H510" s="5">
        <v>7602</v>
      </c>
    </row>
    <row r="511" spans="1:8">
      <c r="A511" s="5">
        <v>2021</v>
      </c>
      <c r="B511" s="6">
        <v>44348</v>
      </c>
      <c r="C511" s="5" t="s">
        <v>15</v>
      </c>
      <c r="D511" s="3" t="str" cm="1">
        <f t="array" ref="D511">_xlfn.IFS(
 ISNUMBER(SEARCH("WHISK",C511)),"Whiskey",
 ISNUMBER(SEARCH("BOURBON",C511)),"Whiskey",
 ISNUMBER(SEARCH("SCOTCH",C511)),"Whiskey",
 ISNUMBER(SEARCH("RYE",C511)),"Whiskey",
 ISNUMBER(SEARCH("VODKA",C511)),"Vodka",
 ISNUMBER(SEARCH("TEQUILA",C511)),"Tequila/Mezcal",
 ISNUMBER(SEARCH("MEZCAL",C511)),"Tequila/Mezcal",
 ISNUMBER(SEARCH("RUM",C511)),"Rum",
 ISNUMBER(SEARCH("BRAND",C511)),"Brandy",
 ISNUMBER(SEARCH("COGNAC",C511)),"Brandy",
 ISNUMBER(SEARCH("LIQUEUR",C511)),"Liqueurs",
 ISNUMBER(SEARCH("CORDIAL",C511)),"Liqueurs",
 ISNUMBER(SEARCH("SCHNAPP",C511)),"Liqueurs",
 ISNUMBER(SEARCH("GIN",C511)),"Gin",
 TRUE,"Other")</f>
        <v>Vodka</v>
      </c>
      <c r="E511" s="5">
        <v>578746</v>
      </c>
      <c r="F511" s="5">
        <v>5962140.5799995521</v>
      </c>
      <c r="G511" s="5">
        <v>537740.36999997601</v>
      </c>
      <c r="H511" s="5">
        <v>35733</v>
      </c>
    </row>
    <row r="512" spans="1:8">
      <c r="A512" s="5">
        <v>2021</v>
      </c>
      <c r="B512" s="6">
        <v>44348</v>
      </c>
      <c r="C512" s="5" t="s">
        <v>16</v>
      </c>
      <c r="D512" s="3" t="str" cm="1">
        <f t="array" ref="D512">_xlfn.IFS(
 ISNUMBER(SEARCH("WHISK",C512)),"Whiskey",
 ISNUMBER(SEARCH("BOURBON",C512)),"Whiskey",
 ISNUMBER(SEARCH("SCOTCH",C512)),"Whiskey",
 ISNUMBER(SEARCH("RYE",C512)),"Whiskey",
 ISNUMBER(SEARCH("VODKA",C512)),"Vodka",
 ISNUMBER(SEARCH("TEQUILA",C512)),"Tequila/Mezcal",
 ISNUMBER(SEARCH("MEZCAL",C512)),"Tequila/Mezcal",
 ISNUMBER(SEARCH("RUM",C512)),"Rum",
 ISNUMBER(SEARCH("BRAND",C512)),"Brandy",
 ISNUMBER(SEARCH("COGNAC",C512)),"Brandy",
 ISNUMBER(SEARCH("LIQUEUR",C512)),"Liqueurs",
 ISNUMBER(SEARCH("CORDIAL",C512)),"Liqueurs",
 ISNUMBER(SEARCH("SCHNAPP",C512)),"Liqueurs",
 ISNUMBER(SEARCH("GIN",C512)),"Gin",
 TRUE,"Other")</f>
        <v>Whiskey</v>
      </c>
      <c r="E512" s="5">
        <v>92021</v>
      </c>
      <c r="F512" s="5">
        <v>1186080.4399999962</v>
      </c>
      <c r="G512" s="5">
        <v>79703.430000000866</v>
      </c>
      <c r="H512" s="5">
        <v>10297</v>
      </c>
    </row>
    <row r="513" spans="1:8">
      <c r="A513" s="5">
        <v>2021</v>
      </c>
      <c r="B513" s="6">
        <v>44348</v>
      </c>
      <c r="C513" s="5" t="s">
        <v>18</v>
      </c>
      <c r="D513" s="3" t="str" cm="1">
        <f t="array" ref="D513">_xlfn.IFS(
 ISNUMBER(SEARCH("WHISK",C513)),"Whiskey",
 ISNUMBER(SEARCH("BOURBON",C513)),"Whiskey",
 ISNUMBER(SEARCH("SCOTCH",C513)),"Whiskey",
 ISNUMBER(SEARCH("RYE",C513)),"Whiskey",
 ISNUMBER(SEARCH("VODKA",C513)),"Vodka",
 ISNUMBER(SEARCH("TEQUILA",C513)),"Tequila/Mezcal",
 ISNUMBER(SEARCH("MEZCAL",C513)),"Tequila/Mezcal",
 ISNUMBER(SEARCH("RUM",C513)),"Rum",
 ISNUMBER(SEARCH("BRAND",C513)),"Brandy",
 ISNUMBER(SEARCH("COGNAC",C513)),"Brandy",
 ISNUMBER(SEARCH("LIQUEUR",C513)),"Liqueurs",
 ISNUMBER(SEARCH("CORDIAL",C513)),"Liqueurs",
 ISNUMBER(SEARCH("SCHNAPP",C513)),"Liqueurs",
 ISNUMBER(SEARCH("GIN",C513)),"Gin",
 TRUE,"Other")</f>
        <v>Whiskey</v>
      </c>
      <c r="E513" s="5">
        <v>259240</v>
      </c>
      <c r="F513" s="5">
        <v>3825980.480000169</v>
      </c>
      <c r="G513" s="5">
        <v>240893.45999999635</v>
      </c>
      <c r="H513" s="5">
        <v>22097</v>
      </c>
    </row>
    <row r="514" spans="1:8">
      <c r="A514" s="5">
        <v>2021</v>
      </c>
      <c r="B514" s="6">
        <v>44348</v>
      </c>
      <c r="C514" s="5" t="s">
        <v>19</v>
      </c>
      <c r="D514" s="3" t="str" cm="1">
        <f t="array" ref="D514">_xlfn.IFS(
 ISNUMBER(SEARCH("WHISK",C514)),"Whiskey",
 ISNUMBER(SEARCH("BOURBON",C514)),"Whiskey",
 ISNUMBER(SEARCH("SCOTCH",C514)),"Whiskey",
 ISNUMBER(SEARCH("RYE",C514)),"Whiskey",
 ISNUMBER(SEARCH("VODKA",C514)),"Vodka",
 ISNUMBER(SEARCH("TEQUILA",C514)),"Tequila/Mezcal",
 ISNUMBER(SEARCH("MEZCAL",C514)),"Tequila/Mezcal",
 ISNUMBER(SEARCH("RUM",C514)),"Rum",
 ISNUMBER(SEARCH("BRAND",C514)),"Brandy",
 ISNUMBER(SEARCH("COGNAC",C514)),"Brandy",
 ISNUMBER(SEARCH("LIQUEUR",C514)),"Liqueurs",
 ISNUMBER(SEARCH("CORDIAL",C514)),"Liqueurs",
 ISNUMBER(SEARCH("SCHNAPP",C514)),"Liqueurs",
 ISNUMBER(SEARCH("GIN",C514)),"Gin",
 TRUE,"Other")</f>
        <v>Other</v>
      </c>
      <c r="E514" s="5">
        <v>102445</v>
      </c>
      <c r="F514" s="5">
        <v>1066579.360000049</v>
      </c>
      <c r="G514" s="5">
        <v>140792.34999999937</v>
      </c>
      <c r="H514" s="5">
        <v>9647</v>
      </c>
    </row>
    <row r="515" spans="1:8">
      <c r="A515" s="5">
        <v>2021</v>
      </c>
      <c r="B515" s="6">
        <v>44348</v>
      </c>
      <c r="C515" s="5" t="s">
        <v>22</v>
      </c>
      <c r="D515" s="3" t="str" cm="1">
        <f t="array" ref="D515">_xlfn.IFS(
 ISNUMBER(SEARCH("WHISK",C515)),"Whiskey",
 ISNUMBER(SEARCH("BOURBON",C515)),"Whiskey",
 ISNUMBER(SEARCH("SCOTCH",C515)),"Whiskey",
 ISNUMBER(SEARCH("RYE",C515)),"Whiskey",
 ISNUMBER(SEARCH("VODKA",C515)),"Vodka",
 ISNUMBER(SEARCH("TEQUILA",C515)),"Tequila/Mezcal",
 ISNUMBER(SEARCH("MEZCAL",C515)),"Tequila/Mezcal",
 ISNUMBER(SEARCH("RUM",C515)),"Rum",
 ISNUMBER(SEARCH("BRAND",C515)),"Brandy",
 ISNUMBER(SEARCH("COGNAC",C515)),"Brandy",
 ISNUMBER(SEARCH("LIQUEUR",C515)),"Liqueurs",
 ISNUMBER(SEARCH("CORDIAL",C515)),"Liqueurs",
 ISNUMBER(SEARCH("SCHNAPP",C515)),"Liqueurs",
 ISNUMBER(SEARCH("GIN",C515)),"Gin",
 TRUE,"Other")</f>
        <v>Liqueurs</v>
      </c>
      <c r="E515" s="5">
        <v>26924</v>
      </c>
      <c r="F515" s="5">
        <v>541368.67999999784</v>
      </c>
      <c r="G515" s="5">
        <v>22607.64999999983</v>
      </c>
      <c r="H515" s="5">
        <v>4308</v>
      </c>
    </row>
    <row r="516" spans="1:8">
      <c r="A516" s="5">
        <v>2021</v>
      </c>
      <c r="B516" s="6">
        <v>44348</v>
      </c>
      <c r="C516" s="5" t="s">
        <v>24</v>
      </c>
      <c r="D516" s="3" t="str" cm="1">
        <f t="array" ref="D516">_xlfn.IFS(
 ISNUMBER(SEARCH("WHISK",C516)),"Whiskey",
 ISNUMBER(SEARCH("BOURBON",C516)),"Whiskey",
 ISNUMBER(SEARCH("SCOTCH",C516)),"Whiskey",
 ISNUMBER(SEARCH("RYE",C516)),"Whiskey",
 ISNUMBER(SEARCH("VODKA",C516)),"Vodka",
 ISNUMBER(SEARCH("TEQUILA",C516)),"Tequila/Mezcal",
 ISNUMBER(SEARCH("MEZCAL",C516)),"Tequila/Mezcal",
 ISNUMBER(SEARCH("RUM",C516)),"Rum",
 ISNUMBER(SEARCH("BRAND",C516)),"Brandy",
 ISNUMBER(SEARCH("COGNAC",C516)),"Brandy",
 ISNUMBER(SEARCH("LIQUEUR",C516)),"Liqueurs",
 ISNUMBER(SEARCH("CORDIAL",C516)),"Liqueurs",
 ISNUMBER(SEARCH("SCHNAPP",C516)),"Liqueurs",
 ISNUMBER(SEARCH("GIN",C516)),"Gin",
 TRUE,"Other")</f>
        <v>Rum</v>
      </c>
      <c r="E516" s="5">
        <v>61668</v>
      </c>
      <c r="F516" s="5">
        <v>863019.33999999682</v>
      </c>
      <c r="G516" s="5">
        <v>55095.359999999921</v>
      </c>
      <c r="H516" s="5">
        <v>6253</v>
      </c>
    </row>
    <row r="517" spans="1:8">
      <c r="A517" s="5">
        <v>2021</v>
      </c>
      <c r="B517" s="6">
        <v>44348</v>
      </c>
      <c r="C517" s="5" t="s">
        <v>25</v>
      </c>
      <c r="D517" s="3" t="str" cm="1">
        <f t="array" ref="D517">_xlfn.IFS(
 ISNUMBER(SEARCH("WHISK",C517)),"Whiskey",
 ISNUMBER(SEARCH("BOURBON",C517)),"Whiskey",
 ISNUMBER(SEARCH("SCOTCH",C517)),"Whiskey",
 ISNUMBER(SEARCH("RYE",C517)),"Whiskey",
 ISNUMBER(SEARCH("VODKA",C517)),"Vodka",
 ISNUMBER(SEARCH("TEQUILA",C517)),"Tequila/Mezcal",
 ISNUMBER(SEARCH("MEZCAL",C517)),"Tequila/Mezcal",
 ISNUMBER(SEARCH("RUM",C517)),"Rum",
 ISNUMBER(SEARCH("BRAND",C517)),"Brandy",
 ISNUMBER(SEARCH("COGNAC",C517)),"Brandy",
 ISNUMBER(SEARCH("LIQUEUR",C517)),"Liqueurs",
 ISNUMBER(SEARCH("CORDIAL",C517)),"Liqueurs",
 ISNUMBER(SEARCH("SCHNAPP",C517)),"Liqueurs",
 ISNUMBER(SEARCH("GIN",C517)),"Gin",
 TRUE,"Other")</f>
        <v>Rum</v>
      </c>
      <c r="E517" s="5">
        <v>8261</v>
      </c>
      <c r="F517" s="5">
        <v>106688.7599999996</v>
      </c>
      <c r="G517" s="5">
        <v>8889.1200000000099</v>
      </c>
      <c r="H517" s="5">
        <v>1245</v>
      </c>
    </row>
    <row r="518" spans="1:8">
      <c r="A518" s="5">
        <v>2021</v>
      </c>
      <c r="B518" s="6">
        <v>44348</v>
      </c>
      <c r="C518" s="5" t="s">
        <v>60</v>
      </c>
      <c r="D518" s="3" t="str" cm="1">
        <f t="array" ref="D518">_xlfn.IFS(
 ISNUMBER(SEARCH("WHISK",C518)),"Whiskey",
 ISNUMBER(SEARCH("BOURBON",C518)),"Whiskey",
 ISNUMBER(SEARCH("SCOTCH",C518)),"Whiskey",
 ISNUMBER(SEARCH("RYE",C518)),"Whiskey",
 ISNUMBER(SEARCH("VODKA",C518)),"Vodka",
 ISNUMBER(SEARCH("TEQUILA",C518)),"Tequila/Mezcal",
 ISNUMBER(SEARCH("MEZCAL",C518)),"Tequila/Mezcal",
 ISNUMBER(SEARCH("RUM",C518)),"Rum",
 ISNUMBER(SEARCH("BRAND",C518)),"Brandy",
 ISNUMBER(SEARCH("COGNAC",C518)),"Brandy",
 ISNUMBER(SEARCH("LIQUEUR",C518)),"Liqueurs",
 ISNUMBER(SEARCH("CORDIAL",C518)),"Liqueurs",
 ISNUMBER(SEARCH("SCHNAPP",C518)),"Liqueurs",
 ISNUMBER(SEARCH("GIN",C518)),"Gin",
 TRUE,"Other")</f>
        <v>Liqueurs</v>
      </c>
      <c r="E518" s="5">
        <v>45197</v>
      </c>
      <c r="F518" s="5">
        <v>1011423.2999999997</v>
      </c>
      <c r="G518" s="5">
        <v>33396.319999999898</v>
      </c>
      <c r="H518" s="5">
        <v>5647</v>
      </c>
    </row>
    <row r="519" spans="1:8">
      <c r="A519" s="5">
        <v>2021</v>
      </c>
      <c r="B519" s="6">
        <v>44348</v>
      </c>
      <c r="C519" s="5" t="s">
        <v>29</v>
      </c>
      <c r="D519" s="3" t="str" cm="1">
        <f t="array" ref="D519">_xlfn.IFS(
 ISNUMBER(SEARCH("WHISK",C519)),"Whiskey",
 ISNUMBER(SEARCH("BOURBON",C519)),"Whiskey",
 ISNUMBER(SEARCH("SCOTCH",C519)),"Whiskey",
 ISNUMBER(SEARCH("RYE",C519)),"Whiskey",
 ISNUMBER(SEARCH("VODKA",C519)),"Vodka",
 ISNUMBER(SEARCH("TEQUILA",C519)),"Tequila/Mezcal",
 ISNUMBER(SEARCH("MEZCAL",C519)),"Tequila/Mezcal",
 ISNUMBER(SEARCH("RUM",C519)),"Rum",
 ISNUMBER(SEARCH("BRAND",C519)),"Brandy",
 ISNUMBER(SEARCH("COGNAC",C519)),"Brandy",
 ISNUMBER(SEARCH("LIQUEUR",C519)),"Liqueurs",
 ISNUMBER(SEARCH("CORDIAL",C519)),"Liqueurs",
 ISNUMBER(SEARCH("SCHNAPP",C519)),"Liqueurs",
 ISNUMBER(SEARCH("GIN",C519)),"Gin",
 TRUE,"Other")</f>
        <v>Gin</v>
      </c>
      <c r="E519" s="5">
        <v>23250</v>
      </c>
      <c r="F519" s="5">
        <v>570114.72999999847</v>
      </c>
      <c r="G519" s="5">
        <v>21796.769999999997</v>
      </c>
      <c r="H519" s="5">
        <v>2906</v>
      </c>
    </row>
    <row r="520" spans="1:8">
      <c r="A520" s="5">
        <v>2021</v>
      </c>
      <c r="B520" s="6">
        <v>44348</v>
      </c>
      <c r="C520" s="5" t="s">
        <v>30</v>
      </c>
      <c r="D520" s="3" t="str" cm="1">
        <f t="array" ref="D520">_xlfn.IFS(
 ISNUMBER(SEARCH("WHISK",C520)),"Whiskey",
 ISNUMBER(SEARCH("BOURBON",C520)),"Whiskey",
 ISNUMBER(SEARCH("SCOTCH",C520)),"Whiskey",
 ISNUMBER(SEARCH("RYE",C520)),"Whiskey",
 ISNUMBER(SEARCH("VODKA",C520)),"Vodka",
 ISNUMBER(SEARCH("TEQUILA",C520)),"Tequila/Mezcal",
 ISNUMBER(SEARCH("MEZCAL",C520)),"Tequila/Mezcal",
 ISNUMBER(SEARCH("RUM",C520)),"Rum",
 ISNUMBER(SEARCH("BRAND",C520)),"Brandy",
 ISNUMBER(SEARCH("COGNAC",C520)),"Brandy",
 ISNUMBER(SEARCH("LIQUEUR",C520)),"Liqueurs",
 ISNUMBER(SEARCH("CORDIAL",C520)),"Liqueurs",
 ISNUMBER(SEARCH("SCHNAPP",C520)),"Liqueurs",
 ISNUMBER(SEARCH("GIN",C520)),"Gin",
 TRUE,"Other")</f>
        <v>Vodka</v>
      </c>
      <c r="E520" s="5">
        <v>32860</v>
      </c>
      <c r="F520" s="5">
        <v>561321.97999999975</v>
      </c>
      <c r="G520" s="5">
        <v>25435.089999999978</v>
      </c>
      <c r="H520" s="5">
        <v>4363</v>
      </c>
    </row>
    <row r="521" spans="1:8">
      <c r="A521" s="5">
        <v>2021</v>
      </c>
      <c r="B521" s="6">
        <v>44348</v>
      </c>
      <c r="C521" s="5" t="s">
        <v>31</v>
      </c>
      <c r="D521" s="3" t="str" cm="1">
        <f t="array" ref="D521">_xlfn.IFS(
 ISNUMBER(SEARCH("WHISK",C521)),"Whiskey",
 ISNUMBER(SEARCH("BOURBON",C521)),"Whiskey",
 ISNUMBER(SEARCH("SCOTCH",C521)),"Whiskey",
 ISNUMBER(SEARCH("RYE",C521)),"Whiskey",
 ISNUMBER(SEARCH("VODKA",C521)),"Vodka",
 ISNUMBER(SEARCH("TEQUILA",C521)),"Tequila/Mezcal",
 ISNUMBER(SEARCH("MEZCAL",C521)),"Tequila/Mezcal",
 ISNUMBER(SEARCH("RUM",C521)),"Rum",
 ISNUMBER(SEARCH("BRAND",C521)),"Brandy",
 ISNUMBER(SEARCH("COGNAC",C521)),"Brandy",
 ISNUMBER(SEARCH("LIQUEUR",C521)),"Liqueurs",
 ISNUMBER(SEARCH("CORDIAL",C521)),"Liqueurs",
 ISNUMBER(SEARCH("SCHNAPP",C521)),"Liqueurs",
 ISNUMBER(SEARCH("GIN",C521)),"Gin",
 TRUE,"Other")</f>
        <v>Liqueurs</v>
      </c>
      <c r="E521" s="5">
        <v>40362</v>
      </c>
      <c r="F521" s="5">
        <v>664530.16999999131</v>
      </c>
      <c r="G521" s="5">
        <v>35813.849999999693</v>
      </c>
      <c r="H521" s="5">
        <v>3679</v>
      </c>
    </row>
    <row r="522" spans="1:8">
      <c r="A522" s="5">
        <v>2021</v>
      </c>
      <c r="B522" s="6">
        <v>44348</v>
      </c>
      <c r="C522" s="5" t="s">
        <v>32</v>
      </c>
      <c r="D522" s="3" t="str" cm="1">
        <f t="array" ref="D522">_xlfn.IFS(
 ISNUMBER(SEARCH("WHISK",C522)),"Whiskey",
 ISNUMBER(SEARCH("BOURBON",C522)),"Whiskey",
 ISNUMBER(SEARCH("SCOTCH",C522)),"Whiskey",
 ISNUMBER(SEARCH("RYE",C522)),"Whiskey",
 ISNUMBER(SEARCH("VODKA",C522)),"Vodka",
 ISNUMBER(SEARCH("TEQUILA",C522)),"Tequila/Mezcal",
 ISNUMBER(SEARCH("MEZCAL",C522)),"Tequila/Mezcal",
 ISNUMBER(SEARCH("RUM",C522)),"Rum",
 ISNUMBER(SEARCH("BRAND",C522)),"Brandy",
 ISNUMBER(SEARCH("COGNAC",C522)),"Brandy",
 ISNUMBER(SEARCH("LIQUEUR",C522)),"Liqueurs",
 ISNUMBER(SEARCH("CORDIAL",C522)),"Liqueurs",
 ISNUMBER(SEARCH("SCHNAPP",C522)),"Liqueurs",
 ISNUMBER(SEARCH("GIN",C522)),"Gin",
 TRUE,"Other")</f>
        <v>Vodka</v>
      </c>
      <c r="E522" s="5">
        <v>92696</v>
      </c>
      <c r="F522" s="5">
        <v>1515853.3699999396</v>
      </c>
      <c r="G522" s="5">
        <v>84802.950000000681</v>
      </c>
      <c r="H522" s="5">
        <v>7756</v>
      </c>
    </row>
    <row r="523" spans="1:8">
      <c r="A523" s="5">
        <v>2021</v>
      </c>
      <c r="B523" s="6">
        <v>44348</v>
      </c>
      <c r="C523" s="5" t="s">
        <v>35</v>
      </c>
      <c r="D523" s="3" t="str" cm="1">
        <f t="array" ref="D523">_xlfn.IFS(
 ISNUMBER(SEARCH("WHISK",C523)),"Whiskey",
 ISNUMBER(SEARCH("BOURBON",C523)),"Whiskey",
 ISNUMBER(SEARCH("SCOTCH",C523)),"Whiskey",
 ISNUMBER(SEARCH("RYE",C523)),"Whiskey",
 ISNUMBER(SEARCH("VODKA",C523)),"Vodka",
 ISNUMBER(SEARCH("TEQUILA",C523)),"Tequila/Mezcal",
 ISNUMBER(SEARCH("MEZCAL",C523)),"Tequila/Mezcal",
 ISNUMBER(SEARCH("RUM",C523)),"Rum",
 ISNUMBER(SEARCH("BRAND",C523)),"Brandy",
 ISNUMBER(SEARCH("COGNAC",C523)),"Brandy",
 ISNUMBER(SEARCH("LIQUEUR",C523)),"Liqueurs",
 ISNUMBER(SEARCH("CORDIAL",C523)),"Liqueurs",
 ISNUMBER(SEARCH("SCHNAPP",C523)),"Liqueurs",
 ISNUMBER(SEARCH("GIN",C523)),"Gin",
 TRUE,"Other")</f>
        <v>Tequila/Mezcal</v>
      </c>
      <c r="E523" s="5">
        <v>77109</v>
      </c>
      <c r="F523" s="5">
        <v>1042230.4499999738</v>
      </c>
      <c r="G523" s="5">
        <v>62119.130000000114</v>
      </c>
      <c r="H523" s="5">
        <v>5145</v>
      </c>
    </row>
    <row r="524" spans="1:8">
      <c r="A524" s="5">
        <v>2021</v>
      </c>
      <c r="B524" s="6">
        <v>44348</v>
      </c>
      <c r="C524" s="5" t="s">
        <v>37</v>
      </c>
      <c r="D524" s="3" t="str" cm="1">
        <f t="array" ref="D524">_xlfn.IFS(
 ISNUMBER(SEARCH("WHISK",C524)),"Whiskey",
 ISNUMBER(SEARCH("BOURBON",C524)),"Whiskey",
 ISNUMBER(SEARCH("SCOTCH",C524)),"Whiskey",
 ISNUMBER(SEARCH("RYE",C524)),"Whiskey",
 ISNUMBER(SEARCH("VODKA",C524)),"Vodka",
 ISNUMBER(SEARCH("TEQUILA",C524)),"Tequila/Mezcal",
 ISNUMBER(SEARCH("MEZCAL",C524)),"Tequila/Mezcal",
 ISNUMBER(SEARCH("RUM",C524)),"Rum",
 ISNUMBER(SEARCH("BRAND",C524)),"Brandy",
 ISNUMBER(SEARCH("COGNAC",C524)),"Brandy",
 ISNUMBER(SEARCH("LIQUEUR",C524)),"Liqueurs",
 ISNUMBER(SEARCH("CORDIAL",C524)),"Liqueurs",
 ISNUMBER(SEARCH("SCHNAPP",C524)),"Liqueurs",
 ISNUMBER(SEARCH("GIN",C524)),"Gin",
 TRUE,"Other")</f>
        <v>Other</v>
      </c>
      <c r="E524" s="5">
        <v>9822</v>
      </c>
      <c r="F524" s="5">
        <v>164062.76</v>
      </c>
      <c r="G524" s="5">
        <v>5332.9200000000037</v>
      </c>
      <c r="H524" s="5">
        <v>1869</v>
      </c>
    </row>
    <row r="525" spans="1:8">
      <c r="A525" s="5">
        <v>2021</v>
      </c>
      <c r="B525" s="6">
        <v>44348</v>
      </c>
      <c r="C525" s="5" t="s">
        <v>38</v>
      </c>
      <c r="D525" s="3" t="str" cm="1">
        <f t="array" ref="D525">_xlfn.IFS(
 ISNUMBER(SEARCH("WHISK",C525)),"Whiskey",
 ISNUMBER(SEARCH("BOURBON",C525)),"Whiskey",
 ISNUMBER(SEARCH("SCOTCH",C525)),"Whiskey",
 ISNUMBER(SEARCH("RYE",C525)),"Whiskey",
 ISNUMBER(SEARCH("VODKA",C525)),"Vodka",
 ISNUMBER(SEARCH("TEQUILA",C525)),"Tequila/Mezcal",
 ISNUMBER(SEARCH("MEZCAL",C525)),"Tequila/Mezcal",
 ISNUMBER(SEARCH("RUM",C525)),"Rum",
 ISNUMBER(SEARCH("BRAND",C525)),"Brandy",
 ISNUMBER(SEARCH("COGNAC",C525)),"Brandy",
 ISNUMBER(SEARCH("LIQUEUR",C525)),"Liqueurs",
 ISNUMBER(SEARCH("CORDIAL",C525)),"Liqueurs",
 ISNUMBER(SEARCH("SCHNAPP",C525)),"Liqueurs",
 ISNUMBER(SEARCH("GIN",C525)),"Gin",
 TRUE,"Other")</f>
        <v>Whiskey</v>
      </c>
      <c r="E525" s="5">
        <v>18435</v>
      </c>
      <c r="F525" s="5">
        <v>493970.30999999749</v>
      </c>
      <c r="G525" s="5">
        <v>20630.359999999979</v>
      </c>
      <c r="H525" s="5">
        <v>3053</v>
      </c>
    </row>
    <row r="526" spans="1:8">
      <c r="A526" s="5">
        <v>2021</v>
      </c>
      <c r="B526" s="6">
        <v>44348</v>
      </c>
      <c r="C526" s="5" t="s">
        <v>40</v>
      </c>
      <c r="D526" s="3" t="str" cm="1">
        <f t="array" ref="D526">_xlfn.IFS(
 ISNUMBER(SEARCH("WHISK",C526)),"Whiskey",
 ISNUMBER(SEARCH("BOURBON",C526)),"Whiskey",
 ISNUMBER(SEARCH("SCOTCH",C526)),"Whiskey",
 ISNUMBER(SEARCH("RYE",C526)),"Whiskey",
 ISNUMBER(SEARCH("VODKA",C526)),"Vodka",
 ISNUMBER(SEARCH("TEQUILA",C526)),"Tequila/Mezcal",
 ISNUMBER(SEARCH("MEZCAL",C526)),"Tequila/Mezcal",
 ISNUMBER(SEARCH("RUM",C526)),"Rum",
 ISNUMBER(SEARCH("BRAND",C526)),"Brandy",
 ISNUMBER(SEARCH("COGNAC",C526)),"Brandy",
 ISNUMBER(SEARCH("LIQUEUR",C526)),"Liqueurs",
 ISNUMBER(SEARCH("CORDIAL",C526)),"Liqueurs",
 ISNUMBER(SEARCH("SCHNAPP",C526)),"Liqueurs",
 ISNUMBER(SEARCH("GIN",C526)),"Gin",
 TRUE,"Other")</f>
        <v>Whiskey</v>
      </c>
      <c r="E526" s="5">
        <v>8948</v>
      </c>
      <c r="F526" s="5">
        <v>411930.9599999988</v>
      </c>
      <c r="G526" s="5">
        <v>7004.7999999999993</v>
      </c>
      <c r="H526" s="5">
        <v>2022</v>
      </c>
    </row>
    <row r="527" spans="1:8">
      <c r="A527" s="5">
        <v>2021</v>
      </c>
      <c r="B527" s="6">
        <v>44348</v>
      </c>
      <c r="C527" s="5" t="s">
        <v>42</v>
      </c>
      <c r="D527" s="3" t="str" cm="1">
        <f t="array" ref="D527">_xlfn.IFS(
 ISNUMBER(SEARCH("WHISK",C527)),"Whiskey",
 ISNUMBER(SEARCH("BOURBON",C527)),"Whiskey",
 ISNUMBER(SEARCH("SCOTCH",C527)),"Whiskey",
 ISNUMBER(SEARCH("RYE",C527)),"Whiskey",
 ISNUMBER(SEARCH("VODKA",C527)),"Vodka",
 ISNUMBER(SEARCH("TEQUILA",C527)),"Tequila/Mezcal",
 ISNUMBER(SEARCH("MEZCAL",C527)),"Tequila/Mezcal",
 ISNUMBER(SEARCH("RUM",C527)),"Rum",
 ISNUMBER(SEARCH("BRAND",C527)),"Brandy",
 ISNUMBER(SEARCH("COGNAC",C527)),"Brandy",
 ISNUMBER(SEARCH("LIQUEUR",C527)),"Liqueurs",
 ISNUMBER(SEARCH("CORDIAL",C527)),"Liqueurs",
 ISNUMBER(SEARCH("SCHNAPP",C527)),"Liqueurs",
 ISNUMBER(SEARCH("GIN",C527)),"Gin",
 TRUE,"Other")</f>
        <v>Rum</v>
      </c>
      <c r="E527" s="5">
        <v>131631</v>
      </c>
      <c r="F527" s="5">
        <v>1845780.0699999915</v>
      </c>
      <c r="G527" s="5">
        <v>117889.35000000038</v>
      </c>
      <c r="H527" s="5">
        <v>9963</v>
      </c>
    </row>
    <row r="528" spans="1:8">
      <c r="A528" s="5">
        <v>2021</v>
      </c>
      <c r="B528" s="6">
        <v>44348</v>
      </c>
      <c r="C528" s="5" t="s">
        <v>43</v>
      </c>
      <c r="D528" s="3" t="str" cm="1">
        <f t="array" ref="D528">_xlfn.IFS(
 ISNUMBER(SEARCH("WHISK",C528)),"Whiskey",
 ISNUMBER(SEARCH("BOURBON",C528)),"Whiskey",
 ISNUMBER(SEARCH("SCOTCH",C528)),"Whiskey",
 ISNUMBER(SEARCH("RYE",C528)),"Whiskey",
 ISNUMBER(SEARCH("VODKA",C528)),"Vodka",
 ISNUMBER(SEARCH("TEQUILA",C528)),"Tequila/Mezcal",
 ISNUMBER(SEARCH("MEZCAL",C528)),"Tequila/Mezcal",
 ISNUMBER(SEARCH("RUM",C528)),"Rum",
 ISNUMBER(SEARCH("BRAND",C528)),"Brandy",
 ISNUMBER(SEARCH("COGNAC",C528)),"Brandy",
 ISNUMBER(SEARCH("LIQUEUR",C528)),"Liqueurs",
 ISNUMBER(SEARCH("CORDIAL",C528)),"Liqueurs",
 ISNUMBER(SEARCH("SCHNAPP",C528)),"Liqueurs",
 ISNUMBER(SEARCH("GIN",C528)),"Gin",
 TRUE,"Other")</f>
        <v>Whiskey</v>
      </c>
      <c r="E528" s="5">
        <v>153838</v>
      </c>
      <c r="F528" s="5">
        <v>3158968.3000000692</v>
      </c>
      <c r="G528" s="5">
        <v>123956.30000000262</v>
      </c>
      <c r="H528" s="5">
        <v>16737</v>
      </c>
    </row>
    <row r="529" spans="1:8">
      <c r="A529" s="5">
        <v>2021</v>
      </c>
      <c r="B529" s="6">
        <v>44348</v>
      </c>
      <c r="C529" s="5" t="s">
        <v>44</v>
      </c>
      <c r="D529" s="3" t="str" cm="1">
        <f t="array" ref="D529">_xlfn.IFS(
 ISNUMBER(SEARCH("WHISK",C529)),"Whiskey",
 ISNUMBER(SEARCH("BOURBON",C529)),"Whiskey",
 ISNUMBER(SEARCH("SCOTCH",C529)),"Whiskey",
 ISNUMBER(SEARCH("RYE",C529)),"Whiskey",
 ISNUMBER(SEARCH("VODKA",C529)),"Vodka",
 ISNUMBER(SEARCH("TEQUILA",C529)),"Tequila/Mezcal",
 ISNUMBER(SEARCH("MEZCAL",C529)),"Tequila/Mezcal",
 ISNUMBER(SEARCH("RUM",C529)),"Rum",
 ISNUMBER(SEARCH("BRAND",C529)),"Brandy",
 ISNUMBER(SEARCH("COGNAC",C529)),"Brandy",
 ISNUMBER(SEARCH("LIQUEUR",C529)),"Liqueurs",
 ISNUMBER(SEARCH("CORDIAL",C529)),"Liqueurs",
 ISNUMBER(SEARCH("SCHNAPP",C529)),"Liqueurs",
 ISNUMBER(SEARCH("GIN",C529)),"Gin",
 TRUE,"Other")</f>
        <v>Whiskey</v>
      </c>
      <c r="E529" s="5">
        <v>12179</v>
      </c>
      <c r="F529" s="5">
        <v>366787.89000000362</v>
      </c>
      <c r="G529" s="5">
        <v>9095.989999999998</v>
      </c>
      <c r="H529" s="5">
        <v>2227</v>
      </c>
    </row>
    <row r="530" spans="1:8">
      <c r="A530" s="5">
        <v>2021</v>
      </c>
      <c r="B530" s="6">
        <v>44348</v>
      </c>
      <c r="C530" s="5" t="s">
        <v>45</v>
      </c>
      <c r="D530" s="3" t="str" cm="1">
        <f t="array" ref="D530">_xlfn.IFS(
 ISNUMBER(SEARCH("WHISK",C530)),"Whiskey",
 ISNUMBER(SEARCH("BOURBON",C530)),"Whiskey",
 ISNUMBER(SEARCH("SCOTCH",C530)),"Whiskey",
 ISNUMBER(SEARCH("RYE",C530)),"Whiskey",
 ISNUMBER(SEARCH("VODKA",C530)),"Vodka",
 ISNUMBER(SEARCH("TEQUILA",C530)),"Tequila/Mezcal",
 ISNUMBER(SEARCH("MEZCAL",C530)),"Tequila/Mezcal",
 ISNUMBER(SEARCH("RUM",C530)),"Rum",
 ISNUMBER(SEARCH("BRAND",C530)),"Brandy",
 ISNUMBER(SEARCH("COGNAC",C530)),"Brandy",
 ISNUMBER(SEARCH("LIQUEUR",C530)),"Liqueurs",
 ISNUMBER(SEARCH("CORDIAL",C530)),"Liqueurs",
 ISNUMBER(SEARCH("SCHNAPP",C530)),"Liqueurs",
 ISNUMBER(SEARCH("GIN",C530)),"Gin",
 TRUE,"Other")</f>
        <v>Other</v>
      </c>
      <c r="E530" s="5">
        <v>32978</v>
      </c>
      <c r="F530" s="5">
        <v>686720.49000001105</v>
      </c>
      <c r="G530" s="5">
        <v>25038.399999999914</v>
      </c>
      <c r="H530" s="5">
        <v>3832</v>
      </c>
    </row>
    <row r="531" spans="1:8">
      <c r="A531" s="5">
        <v>2021</v>
      </c>
      <c r="B531" s="6">
        <v>44348</v>
      </c>
      <c r="C531" s="5" t="s">
        <v>46</v>
      </c>
      <c r="D531" s="3" t="str" cm="1">
        <f t="array" ref="D531">_xlfn.IFS(
 ISNUMBER(SEARCH("WHISK",C531)),"Whiskey",
 ISNUMBER(SEARCH("BOURBON",C531)),"Whiskey",
 ISNUMBER(SEARCH("SCOTCH",C531)),"Whiskey",
 ISNUMBER(SEARCH("RYE",C531)),"Whiskey",
 ISNUMBER(SEARCH("VODKA",C531)),"Vodka",
 ISNUMBER(SEARCH("TEQUILA",C531)),"Tequila/Mezcal",
 ISNUMBER(SEARCH("MEZCAL",C531)),"Tequila/Mezcal",
 ISNUMBER(SEARCH("RUM",C531)),"Rum",
 ISNUMBER(SEARCH("BRAND",C531)),"Brandy",
 ISNUMBER(SEARCH("COGNAC",C531)),"Brandy",
 ISNUMBER(SEARCH("LIQUEUR",C531)),"Liqueurs",
 ISNUMBER(SEARCH("CORDIAL",C531)),"Liqueurs",
 ISNUMBER(SEARCH("SCHNAPP",C531)),"Liqueurs",
 ISNUMBER(SEARCH("GIN",C531)),"Gin",
 TRUE,"Other")</f>
        <v>Whiskey</v>
      </c>
      <c r="E531" s="5">
        <v>78565</v>
      </c>
      <c r="F531" s="5">
        <v>1745368.6200000627</v>
      </c>
      <c r="G531" s="5">
        <v>56692.520000000179</v>
      </c>
      <c r="H531" s="5">
        <v>7711</v>
      </c>
    </row>
    <row r="532" spans="1:8">
      <c r="A532" s="5">
        <v>2021</v>
      </c>
      <c r="B532" s="6">
        <v>44348</v>
      </c>
      <c r="C532" s="5" t="s">
        <v>48</v>
      </c>
      <c r="D532" s="3" t="str" cm="1">
        <f t="array" ref="D532">_xlfn.IFS(
 ISNUMBER(SEARCH("WHISK",C532)),"Whiskey",
 ISNUMBER(SEARCH("BOURBON",C532)),"Whiskey",
 ISNUMBER(SEARCH("SCOTCH",C532)),"Whiskey",
 ISNUMBER(SEARCH("RYE",C532)),"Whiskey",
 ISNUMBER(SEARCH("VODKA",C532)),"Vodka",
 ISNUMBER(SEARCH("TEQUILA",C532)),"Tequila/Mezcal",
 ISNUMBER(SEARCH("MEZCAL",C532)),"Tequila/Mezcal",
 ISNUMBER(SEARCH("RUM",C532)),"Rum",
 ISNUMBER(SEARCH("BRAND",C532)),"Brandy",
 ISNUMBER(SEARCH("COGNAC",C532)),"Brandy",
 ISNUMBER(SEARCH("LIQUEUR",C532)),"Liqueurs",
 ISNUMBER(SEARCH("CORDIAL",C532)),"Liqueurs",
 ISNUMBER(SEARCH("SCHNAPP",C532)),"Liqueurs",
 ISNUMBER(SEARCH("GIN",C532)),"Gin",
 TRUE,"Other")</f>
        <v>Whiskey</v>
      </c>
      <c r="E532" s="5">
        <v>360447</v>
      </c>
      <c r="F532" s="5">
        <v>2352894.5799999768</v>
      </c>
      <c r="G532" s="5">
        <v>101435.65000000433</v>
      </c>
      <c r="H532" s="5">
        <v>13963</v>
      </c>
    </row>
    <row r="533" spans="1:8">
      <c r="A533" s="5">
        <v>2021</v>
      </c>
      <c r="B533" s="6">
        <v>44348</v>
      </c>
      <c r="C533" s="5" t="s">
        <v>49</v>
      </c>
      <c r="D533" s="3" t="str" cm="1">
        <f t="array" ref="D533">_xlfn.IFS(
 ISNUMBER(SEARCH("WHISK",C533)),"Whiskey",
 ISNUMBER(SEARCH("BOURBON",C533)),"Whiskey",
 ISNUMBER(SEARCH("SCOTCH",C533)),"Whiskey",
 ISNUMBER(SEARCH("RYE",C533)),"Whiskey",
 ISNUMBER(SEARCH("VODKA",C533)),"Vodka",
 ISNUMBER(SEARCH("TEQUILA",C533)),"Tequila/Mezcal",
 ISNUMBER(SEARCH("MEZCAL",C533)),"Tequila/Mezcal",
 ISNUMBER(SEARCH("RUM",C533)),"Rum",
 ISNUMBER(SEARCH("BRAND",C533)),"Brandy",
 ISNUMBER(SEARCH("COGNAC",C533)),"Brandy",
 ISNUMBER(SEARCH("LIQUEUR",C533)),"Liqueurs",
 ISNUMBER(SEARCH("CORDIAL",C533)),"Liqueurs",
 ISNUMBER(SEARCH("SCHNAPP",C533)),"Liqueurs",
 ISNUMBER(SEARCH("GIN",C533)),"Gin",
 TRUE,"Other")</f>
        <v>Rum</v>
      </c>
      <c r="E533" s="5">
        <v>53662</v>
      </c>
      <c r="F533" s="5">
        <v>605069.90000000573</v>
      </c>
      <c r="G533" s="5">
        <v>55432.170000000107</v>
      </c>
      <c r="H533" s="5">
        <v>4534</v>
      </c>
    </row>
    <row r="534" spans="1:8">
      <c r="A534" s="5">
        <v>2021</v>
      </c>
      <c r="B534" s="6">
        <v>44348</v>
      </c>
      <c r="C534" s="5" t="s">
        <v>8</v>
      </c>
      <c r="D534" s="3" t="str" cm="1">
        <f t="array" ref="D534">_xlfn.IFS(
 ISNUMBER(SEARCH("WHISK",C534)),"Whiskey",
 ISNUMBER(SEARCH("BOURBON",C534)),"Whiskey",
 ISNUMBER(SEARCH("SCOTCH",C534)),"Whiskey",
 ISNUMBER(SEARCH("RYE",C534)),"Whiskey",
 ISNUMBER(SEARCH("VODKA",C534)),"Vodka",
 ISNUMBER(SEARCH("TEQUILA",C534)),"Tequila/Mezcal",
 ISNUMBER(SEARCH("MEZCAL",C534)),"Tequila/Mezcal",
 ISNUMBER(SEARCH("RUM",C534)),"Rum",
 ISNUMBER(SEARCH("BRAND",C534)),"Brandy",
 ISNUMBER(SEARCH("COGNAC",C534)),"Brandy",
 ISNUMBER(SEARCH("LIQUEUR",C534)),"Liqueurs",
 ISNUMBER(SEARCH("CORDIAL",C534)),"Liqueurs",
 ISNUMBER(SEARCH("SCHNAPP",C534)),"Liqueurs",
 ISNUMBER(SEARCH("GIN",C534)),"Gin",
 TRUE,"Other")</f>
        <v>Brandy</v>
      </c>
      <c r="E534" s="5">
        <v>64713</v>
      </c>
      <c r="F534" s="5">
        <v>436768.7099999999</v>
      </c>
      <c r="G534" s="5">
        <v>34691.60999999971</v>
      </c>
      <c r="H534" s="5">
        <v>5665</v>
      </c>
    </row>
    <row r="535" spans="1:8">
      <c r="A535" s="5">
        <v>2021</v>
      </c>
      <c r="B535" s="6">
        <v>44348</v>
      </c>
      <c r="C535" s="5" t="s">
        <v>7</v>
      </c>
      <c r="D535" s="3" t="str" cm="1">
        <f t="array" ref="D535">_xlfn.IFS(
 ISNUMBER(SEARCH("WHISK",C535)),"Whiskey",
 ISNUMBER(SEARCH("BOURBON",C535)),"Whiskey",
 ISNUMBER(SEARCH("SCOTCH",C535)),"Whiskey",
 ISNUMBER(SEARCH("RYE",C535)),"Whiskey",
 ISNUMBER(SEARCH("VODKA",C535)),"Vodka",
 ISNUMBER(SEARCH("TEQUILA",C535)),"Tequila/Mezcal",
 ISNUMBER(SEARCH("MEZCAL",C535)),"Tequila/Mezcal",
 ISNUMBER(SEARCH("RUM",C535)),"Rum",
 ISNUMBER(SEARCH("BRAND",C535)),"Brandy",
 ISNUMBER(SEARCH("COGNAC",C535)),"Brandy",
 ISNUMBER(SEARCH("LIQUEUR",C535)),"Liqueurs",
 ISNUMBER(SEARCH("CORDIAL",C535)),"Liqueurs",
 ISNUMBER(SEARCH("SCHNAPP",C535)),"Liqueurs",
 ISNUMBER(SEARCH("GIN",C535)),"Gin",
 TRUE,"Other")</f>
        <v>Rum</v>
      </c>
      <c r="E535" s="5">
        <v>5128</v>
      </c>
      <c r="F535" s="5">
        <v>108285.58000000013</v>
      </c>
      <c r="G535" s="5">
        <v>4210.25</v>
      </c>
      <c r="H535" s="5">
        <v>795</v>
      </c>
    </row>
    <row r="536" spans="1:8">
      <c r="A536" s="5">
        <v>2021</v>
      </c>
      <c r="B536" s="6">
        <v>44348</v>
      </c>
      <c r="C536" s="5" t="s">
        <v>10</v>
      </c>
      <c r="D536" s="3" t="str" cm="1">
        <f t="array" ref="D536">_xlfn.IFS(
 ISNUMBER(SEARCH("WHISK",C536)),"Whiskey",
 ISNUMBER(SEARCH("BOURBON",C536)),"Whiskey",
 ISNUMBER(SEARCH("SCOTCH",C536)),"Whiskey",
 ISNUMBER(SEARCH("RYE",C536)),"Whiskey",
 ISNUMBER(SEARCH("VODKA",C536)),"Vodka",
 ISNUMBER(SEARCH("TEQUILA",C536)),"Tequila/Mezcal",
 ISNUMBER(SEARCH("MEZCAL",C536)),"Tequila/Mezcal",
 ISNUMBER(SEARCH("RUM",C536)),"Rum",
 ISNUMBER(SEARCH("BRAND",C536)),"Brandy",
 ISNUMBER(SEARCH("COGNAC",C536)),"Brandy",
 ISNUMBER(SEARCH("LIQUEUR",C536)),"Liqueurs",
 ISNUMBER(SEARCH("CORDIAL",C536)),"Liqueurs",
 ISNUMBER(SEARCH("SCHNAPP",C536)),"Liqueurs",
 ISNUMBER(SEARCH("GIN",C536)),"Gin",
 TRUE,"Other")</f>
        <v>Other</v>
      </c>
      <c r="E536" s="5">
        <v>8420</v>
      </c>
      <c r="F536" s="5">
        <v>166725.68999999884</v>
      </c>
      <c r="G536" s="5">
        <v>6135.9000000000015</v>
      </c>
      <c r="H536" s="5">
        <v>1182</v>
      </c>
    </row>
    <row r="537" spans="1:8">
      <c r="A537" s="5">
        <v>2021</v>
      </c>
      <c r="B537" s="6">
        <v>44348</v>
      </c>
      <c r="C537" s="5" t="s">
        <v>20</v>
      </c>
      <c r="D537" s="3" t="str" cm="1">
        <f t="array" ref="D537">_xlfn.IFS(
 ISNUMBER(SEARCH("WHISK",C537)),"Whiskey",
 ISNUMBER(SEARCH("BOURBON",C537)),"Whiskey",
 ISNUMBER(SEARCH("SCOTCH",C537)),"Whiskey",
 ISNUMBER(SEARCH("RYE",C537)),"Whiskey",
 ISNUMBER(SEARCH("VODKA",C537)),"Vodka",
 ISNUMBER(SEARCH("TEQUILA",C537)),"Tequila/Mezcal",
 ISNUMBER(SEARCH("MEZCAL",C537)),"Tequila/Mezcal",
 ISNUMBER(SEARCH("RUM",C537)),"Rum",
 ISNUMBER(SEARCH("BRAND",C537)),"Brandy",
 ISNUMBER(SEARCH("COGNAC",C537)),"Brandy",
 ISNUMBER(SEARCH("LIQUEUR",C537)),"Liqueurs",
 ISNUMBER(SEARCH("CORDIAL",C537)),"Liqueurs",
 ISNUMBER(SEARCH("SCHNAPP",C537)),"Liqueurs",
 ISNUMBER(SEARCH("GIN",C537)),"Gin",
 TRUE,"Other")</f>
        <v>Liqueurs</v>
      </c>
      <c r="E537" s="5">
        <v>7644</v>
      </c>
      <c r="F537" s="5">
        <v>141223.1100000008</v>
      </c>
      <c r="G537" s="5">
        <v>6488.1700000000037</v>
      </c>
      <c r="H537" s="5">
        <v>1016</v>
      </c>
    </row>
    <row r="538" spans="1:8">
      <c r="A538" s="5">
        <v>2021</v>
      </c>
      <c r="B538" s="6">
        <v>44348</v>
      </c>
      <c r="C538" s="5" t="s">
        <v>26</v>
      </c>
      <c r="D538" s="3" t="str" cm="1">
        <f t="array" ref="D538">_xlfn.IFS(
 ISNUMBER(SEARCH("WHISK",C538)),"Whiskey",
 ISNUMBER(SEARCH("BOURBON",C538)),"Whiskey",
 ISNUMBER(SEARCH("SCOTCH",C538)),"Whiskey",
 ISNUMBER(SEARCH("RYE",C538)),"Whiskey",
 ISNUMBER(SEARCH("VODKA",C538)),"Vodka",
 ISNUMBER(SEARCH("TEQUILA",C538)),"Tequila/Mezcal",
 ISNUMBER(SEARCH("MEZCAL",C538)),"Tequila/Mezcal",
 ISNUMBER(SEARCH("RUM",C538)),"Rum",
 ISNUMBER(SEARCH("BRAND",C538)),"Brandy",
 ISNUMBER(SEARCH("COGNAC",C538)),"Brandy",
 ISNUMBER(SEARCH("LIQUEUR",C538)),"Liqueurs",
 ISNUMBER(SEARCH("CORDIAL",C538)),"Liqueurs",
 ISNUMBER(SEARCH("SCHNAPP",C538)),"Liqueurs",
 ISNUMBER(SEARCH("GIN",C538)),"Gin",
 TRUE,"Other")</f>
        <v>Brandy</v>
      </c>
      <c r="E538" s="5">
        <v>48338</v>
      </c>
      <c r="F538" s="5">
        <v>1038795.3100000048</v>
      </c>
      <c r="G538" s="5">
        <v>21811.579999999907</v>
      </c>
      <c r="H538" s="5">
        <v>3494</v>
      </c>
    </row>
    <row r="539" spans="1:8">
      <c r="A539" s="5">
        <v>2021</v>
      </c>
      <c r="B539" s="6">
        <v>44348</v>
      </c>
      <c r="C539" s="5" t="s">
        <v>28</v>
      </c>
      <c r="D539" s="3" t="str" cm="1">
        <f t="array" ref="D539">_xlfn.IFS(
 ISNUMBER(SEARCH("WHISK",C539)),"Whiskey",
 ISNUMBER(SEARCH("BOURBON",C539)),"Whiskey",
 ISNUMBER(SEARCH("SCOTCH",C539)),"Whiskey",
 ISNUMBER(SEARCH("RYE",C539)),"Whiskey",
 ISNUMBER(SEARCH("VODKA",C539)),"Vodka",
 ISNUMBER(SEARCH("TEQUILA",C539)),"Tequila/Mezcal",
 ISNUMBER(SEARCH("MEZCAL",C539)),"Tequila/Mezcal",
 ISNUMBER(SEARCH("RUM",C539)),"Rum",
 ISNUMBER(SEARCH("BRAND",C539)),"Brandy",
 ISNUMBER(SEARCH("COGNAC",C539)),"Brandy",
 ISNUMBER(SEARCH("LIQUEUR",C539)),"Liqueurs",
 ISNUMBER(SEARCH("CORDIAL",C539)),"Liqueurs",
 ISNUMBER(SEARCH("SCHNAPP",C539)),"Liqueurs",
 ISNUMBER(SEARCH("GIN",C539)),"Gin",
 TRUE,"Other")</f>
        <v>Other</v>
      </c>
      <c r="E539" s="5">
        <v>25983</v>
      </c>
      <c r="F539" s="5">
        <v>214298.94000000015</v>
      </c>
      <c r="G539" s="5">
        <v>25333.710000000003</v>
      </c>
      <c r="H539" s="5">
        <v>473</v>
      </c>
    </row>
    <row r="540" spans="1:8">
      <c r="A540" s="5">
        <v>2021</v>
      </c>
      <c r="B540" s="6">
        <v>44348</v>
      </c>
      <c r="C540" s="5" t="s">
        <v>33</v>
      </c>
      <c r="D540" s="3" t="str" cm="1">
        <f t="array" ref="D540">_xlfn.IFS(
 ISNUMBER(SEARCH("WHISK",C540)),"Whiskey",
 ISNUMBER(SEARCH("BOURBON",C540)),"Whiskey",
 ISNUMBER(SEARCH("SCOTCH",C540)),"Whiskey",
 ISNUMBER(SEARCH("RYE",C540)),"Whiskey",
 ISNUMBER(SEARCH("VODKA",C540)),"Vodka",
 ISNUMBER(SEARCH("TEQUILA",C540)),"Tequila/Mezcal",
 ISNUMBER(SEARCH("MEZCAL",C540)),"Tequila/Mezcal",
 ISNUMBER(SEARCH("RUM",C540)),"Rum",
 ISNUMBER(SEARCH("BRAND",C540)),"Brandy",
 ISNUMBER(SEARCH("COGNAC",C540)),"Brandy",
 ISNUMBER(SEARCH("LIQUEUR",C540)),"Liqueurs",
 ISNUMBER(SEARCH("CORDIAL",C540)),"Liqueurs",
 ISNUMBER(SEARCH("SCHNAPP",C540)),"Liqueurs",
 ISNUMBER(SEARCH("GIN",C540)),"Gin",
 TRUE,"Other")</f>
        <v>Whiskey</v>
      </c>
      <c r="E540" s="5">
        <v>31537</v>
      </c>
      <c r="F540" s="5">
        <v>808993.3699999837</v>
      </c>
      <c r="G540" s="5">
        <v>25537.639999999854</v>
      </c>
      <c r="H540" s="5">
        <v>3286</v>
      </c>
    </row>
    <row r="541" spans="1:8">
      <c r="A541" s="5">
        <v>2021</v>
      </c>
      <c r="B541" s="6">
        <v>44348</v>
      </c>
      <c r="C541" s="5" t="s">
        <v>36</v>
      </c>
      <c r="D541" s="3" t="str" cm="1">
        <f t="array" ref="D541">_xlfn.IFS(
 ISNUMBER(SEARCH("WHISK",C541)),"Whiskey",
 ISNUMBER(SEARCH("BOURBON",C541)),"Whiskey",
 ISNUMBER(SEARCH("SCOTCH",C541)),"Whiskey",
 ISNUMBER(SEARCH("RYE",C541)),"Whiskey",
 ISNUMBER(SEARCH("VODKA",C541)),"Vodka",
 ISNUMBER(SEARCH("TEQUILA",C541)),"Tequila/Mezcal",
 ISNUMBER(SEARCH("MEZCAL",C541)),"Tequila/Mezcal",
 ISNUMBER(SEARCH("RUM",C541)),"Rum",
 ISNUMBER(SEARCH("BRAND",C541)),"Brandy",
 ISNUMBER(SEARCH("COGNAC",C541)),"Brandy",
 ISNUMBER(SEARCH("LIQUEUR",C541)),"Liqueurs",
 ISNUMBER(SEARCH("CORDIAL",C541)),"Liqueurs",
 ISNUMBER(SEARCH("SCHNAPP",C541)),"Liqueurs",
 ISNUMBER(SEARCH("GIN",C541)),"Gin",
 TRUE,"Other")</f>
        <v>Other</v>
      </c>
      <c r="E541" s="5">
        <v>3589</v>
      </c>
      <c r="F541" s="5">
        <v>45331.849999999984</v>
      </c>
      <c r="G541" s="5">
        <v>2832.6099999999997</v>
      </c>
      <c r="H541" s="5">
        <v>432</v>
      </c>
    </row>
    <row r="542" spans="1:8">
      <c r="A542" s="5">
        <v>2021</v>
      </c>
      <c r="B542" s="6">
        <v>44348</v>
      </c>
      <c r="C542" s="5" t="s">
        <v>39</v>
      </c>
      <c r="D542" s="3" t="str" cm="1">
        <f t="array" ref="D542">_xlfn.IFS(
 ISNUMBER(SEARCH("WHISK",C542)),"Whiskey",
 ISNUMBER(SEARCH("BOURBON",C542)),"Whiskey",
 ISNUMBER(SEARCH("SCOTCH",C542)),"Whiskey",
 ISNUMBER(SEARCH("RYE",C542)),"Whiskey",
 ISNUMBER(SEARCH("VODKA",C542)),"Vodka",
 ISNUMBER(SEARCH("TEQUILA",C542)),"Tequila/Mezcal",
 ISNUMBER(SEARCH("MEZCAL",C542)),"Tequila/Mezcal",
 ISNUMBER(SEARCH("RUM",C542)),"Rum",
 ISNUMBER(SEARCH("BRAND",C542)),"Brandy",
 ISNUMBER(SEARCH("COGNAC",C542)),"Brandy",
 ISNUMBER(SEARCH("LIQUEUR",C542)),"Liqueurs",
 ISNUMBER(SEARCH("CORDIAL",C542)),"Liqueurs",
 ISNUMBER(SEARCH("SCHNAPP",C542)),"Liqueurs",
 ISNUMBER(SEARCH("GIN",C542)),"Gin",
 TRUE,"Other")</f>
        <v>Whiskey</v>
      </c>
      <c r="E542" s="5">
        <v>2901</v>
      </c>
      <c r="F542" s="5">
        <v>87588.3400000002</v>
      </c>
      <c r="G542" s="5">
        <v>2175.75</v>
      </c>
      <c r="H542" s="5">
        <v>430</v>
      </c>
    </row>
    <row r="543" spans="1:8">
      <c r="A543" s="5">
        <v>2021</v>
      </c>
      <c r="B543" s="6">
        <v>44348</v>
      </c>
      <c r="C543" s="5" t="s">
        <v>47</v>
      </c>
      <c r="D543" s="3" t="str" cm="1">
        <f t="array" ref="D543">_xlfn.IFS(
 ISNUMBER(SEARCH("WHISK",C543)),"Whiskey",
 ISNUMBER(SEARCH("BOURBON",C543)),"Whiskey",
 ISNUMBER(SEARCH("SCOTCH",C543)),"Whiskey",
 ISNUMBER(SEARCH("RYE",C543)),"Whiskey",
 ISNUMBER(SEARCH("VODKA",C543)),"Vodka",
 ISNUMBER(SEARCH("TEQUILA",C543)),"Tequila/Mezcal",
 ISNUMBER(SEARCH("MEZCAL",C543)),"Tequila/Mezcal",
 ISNUMBER(SEARCH("RUM",C543)),"Rum",
 ISNUMBER(SEARCH("BRAND",C543)),"Brandy",
 ISNUMBER(SEARCH("COGNAC",C543)),"Brandy",
 ISNUMBER(SEARCH("LIQUEUR",C543)),"Liqueurs",
 ISNUMBER(SEARCH("CORDIAL",C543)),"Liqueurs",
 ISNUMBER(SEARCH("SCHNAPP",C543)),"Liqueurs",
 ISNUMBER(SEARCH("GIN",C543)),"Gin",
 TRUE,"Other")</f>
        <v>Other</v>
      </c>
      <c r="E543" s="5">
        <v>23337</v>
      </c>
      <c r="F543" s="5">
        <v>93019.249999999418</v>
      </c>
      <c r="G543" s="5">
        <v>22877.5</v>
      </c>
      <c r="H543" s="5">
        <v>1049</v>
      </c>
    </row>
    <row r="544" spans="1:8">
      <c r="A544" s="5">
        <v>2021</v>
      </c>
      <c r="B544" s="6">
        <v>44348</v>
      </c>
      <c r="C544" s="5" t="s">
        <v>17</v>
      </c>
      <c r="D544" s="3" t="str" cm="1">
        <f t="array" ref="D544">_xlfn.IFS(
 ISNUMBER(SEARCH("WHISK",C544)),"Whiskey",
 ISNUMBER(SEARCH("BOURBON",C544)),"Whiskey",
 ISNUMBER(SEARCH("SCOTCH",C544)),"Whiskey",
 ISNUMBER(SEARCH("RYE",C544)),"Whiskey",
 ISNUMBER(SEARCH("VODKA",C544)),"Vodka",
 ISNUMBER(SEARCH("TEQUILA",C544)),"Tequila/Mezcal",
 ISNUMBER(SEARCH("MEZCAL",C544)),"Tequila/Mezcal",
 ISNUMBER(SEARCH("RUM",C544)),"Rum",
 ISNUMBER(SEARCH("BRAND",C544)),"Brandy",
 ISNUMBER(SEARCH("COGNAC",C544)),"Brandy",
 ISNUMBER(SEARCH("LIQUEUR",C544)),"Liqueurs",
 ISNUMBER(SEARCH("CORDIAL",C544)),"Liqueurs",
 ISNUMBER(SEARCH("SCHNAPP",C544)),"Liqueurs",
 ISNUMBER(SEARCH("GIN",C544)),"Gin",
 TRUE,"Other")</f>
        <v>Whiskey</v>
      </c>
      <c r="E544" s="5">
        <v>2254</v>
      </c>
      <c r="F544" s="5">
        <v>58277.69</v>
      </c>
      <c r="G544" s="5">
        <v>1690.5</v>
      </c>
      <c r="H544" s="5">
        <v>306</v>
      </c>
    </row>
    <row r="545" spans="1:8">
      <c r="A545" s="5">
        <v>2021</v>
      </c>
      <c r="B545" s="6">
        <v>44348</v>
      </c>
      <c r="C545" s="5" t="s">
        <v>14</v>
      </c>
      <c r="D545" s="3" t="str" cm="1">
        <f t="array" ref="D545">_xlfn.IFS(
 ISNUMBER(SEARCH("WHISK",C545)),"Whiskey",
 ISNUMBER(SEARCH("BOURBON",C545)),"Whiskey",
 ISNUMBER(SEARCH("SCOTCH",C545)),"Whiskey",
 ISNUMBER(SEARCH("RYE",C545)),"Whiskey",
 ISNUMBER(SEARCH("VODKA",C545)),"Vodka",
 ISNUMBER(SEARCH("TEQUILA",C545)),"Tequila/Mezcal",
 ISNUMBER(SEARCH("MEZCAL",C545)),"Tequila/Mezcal",
 ISNUMBER(SEARCH("RUM",C545)),"Rum",
 ISNUMBER(SEARCH("BRAND",C545)),"Brandy",
 ISNUMBER(SEARCH("COGNAC",C545)),"Brandy",
 ISNUMBER(SEARCH("LIQUEUR",C545)),"Liqueurs",
 ISNUMBER(SEARCH("CORDIAL",C545)),"Liqueurs",
 ISNUMBER(SEARCH("SCHNAPP",C545)),"Liqueurs",
 ISNUMBER(SEARCH("GIN",C545)),"Gin",
 TRUE,"Other")</f>
        <v>Gin</v>
      </c>
      <c r="E545" s="5">
        <v>391</v>
      </c>
      <c r="F545" s="5">
        <v>3178.8300000000017</v>
      </c>
      <c r="G545" s="5">
        <v>391</v>
      </c>
      <c r="H545" s="5">
        <v>84</v>
      </c>
    </row>
    <row r="546" spans="1:8">
      <c r="A546" s="5">
        <v>2021</v>
      </c>
      <c r="B546" s="6">
        <v>44348</v>
      </c>
      <c r="C546" s="5" t="s">
        <v>23</v>
      </c>
      <c r="D546" s="3" t="str" cm="1">
        <f t="array" ref="D546">_xlfn.IFS(
 ISNUMBER(SEARCH("WHISK",C546)),"Whiskey",
 ISNUMBER(SEARCH("BOURBON",C546)),"Whiskey",
 ISNUMBER(SEARCH("SCOTCH",C546)),"Whiskey",
 ISNUMBER(SEARCH("RYE",C546)),"Whiskey",
 ISNUMBER(SEARCH("VODKA",C546)),"Vodka",
 ISNUMBER(SEARCH("TEQUILA",C546)),"Tequila/Mezcal",
 ISNUMBER(SEARCH("MEZCAL",C546)),"Tequila/Mezcal",
 ISNUMBER(SEARCH("RUM",C546)),"Rum",
 ISNUMBER(SEARCH("BRAND",C546)),"Brandy",
 ISNUMBER(SEARCH("COGNAC",C546)),"Brandy",
 ISNUMBER(SEARCH("LIQUEUR",C546)),"Liqueurs",
 ISNUMBER(SEARCH("CORDIAL",C546)),"Liqueurs",
 ISNUMBER(SEARCH("SCHNAPP",C546)),"Liqueurs",
 ISNUMBER(SEARCH("GIN",C546)),"Gin",
 TRUE,"Other")</f>
        <v>Gin</v>
      </c>
      <c r="E546" s="5">
        <v>1452</v>
      </c>
      <c r="F546" s="5">
        <v>28644.460000000028</v>
      </c>
      <c r="G546" s="5">
        <v>1061.2</v>
      </c>
      <c r="H546" s="5">
        <v>192</v>
      </c>
    </row>
    <row r="547" spans="1:8">
      <c r="A547" s="5">
        <v>2021</v>
      </c>
      <c r="B547" s="6">
        <v>44348</v>
      </c>
      <c r="C547" s="5" t="s">
        <v>41</v>
      </c>
      <c r="D547" s="3" t="str" cm="1">
        <f t="array" ref="D547">_xlfn.IFS(
 ISNUMBER(SEARCH("WHISK",C547)),"Whiskey",
 ISNUMBER(SEARCH("BOURBON",C547)),"Whiskey",
 ISNUMBER(SEARCH("SCOTCH",C547)),"Whiskey",
 ISNUMBER(SEARCH("RYE",C547)),"Whiskey",
 ISNUMBER(SEARCH("VODKA",C547)),"Vodka",
 ISNUMBER(SEARCH("TEQUILA",C547)),"Tequila/Mezcal",
 ISNUMBER(SEARCH("MEZCAL",C547)),"Tequila/Mezcal",
 ISNUMBER(SEARCH("RUM",C547)),"Rum",
 ISNUMBER(SEARCH("BRAND",C547)),"Brandy",
 ISNUMBER(SEARCH("COGNAC",C547)),"Brandy",
 ISNUMBER(SEARCH("LIQUEUR",C547)),"Liqueurs",
 ISNUMBER(SEARCH("CORDIAL",C547)),"Liqueurs",
 ISNUMBER(SEARCH("SCHNAPP",C547)),"Liqueurs",
 ISNUMBER(SEARCH("GIN",C547)),"Gin",
 TRUE,"Other")</f>
        <v>Other</v>
      </c>
      <c r="E547" s="5">
        <v>5244</v>
      </c>
      <c r="F547" s="5">
        <v>99917.559999999852</v>
      </c>
      <c r="G547" s="5">
        <v>3978.5200000000013</v>
      </c>
      <c r="H547" s="5">
        <v>618</v>
      </c>
    </row>
    <row r="548" spans="1:8">
      <c r="A548" s="5">
        <v>2021</v>
      </c>
      <c r="B548" s="6">
        <v>44348</v>
      </c>
      <c r="C548" s="5" t="s">
        <v>21</v>
      </c>
      <c r="D548" s="3" t="str" cm="1">
        <f t="array" ref="D548">_xlfn.IFS(
 ISNUMBER(SEARCH("WHISK",C548)),"Whiskey",
 ISNUMBER(SEARCH("BOURBON",C548)),"Whiskey",
 ISNUMBER(SEARCH("SCOTCH",C548)),"Whiskey",
 ISNUMBER(SEARCH("RYE",C548)),"Whiskey",
 ISNUMBER(SEARCH("VODKA",C548)),"Vodka",
 ISNUMBER(SEARCH("TEQUILA",C548)),"Tequila/Mezcal",
 ISNUMBER(SEARCH("MEZCAL",C548)),"Tequila/Mezcal",
 ISNUMBER(SEARCH("RUM",C548)),"Rum",
 ISNUMBER(SEARCH("BRAND",C548)),"Brandy",
 ISNUMBER(SEARCH("COGNAC",C548)),"Brandy",
 ISNUMBER(SEARCH("LIQUEUR",C548)),"Liqueurs",
 ISNUMBER(SEARCH("CORDIAL",C548)),"Liqueurs",
 ISNUMBER(SEARCH("SCHNAPP",C548)),"Liqueurs",
 ISNUMBER(SEARCH("GIN",C548)),"Gin",
 TRUE,"Other")</f>
        <v>Whiskey</v>
      </c>
      <c r="E548" s="5">
        <v>1222</v>
      </c>
      <c r="F548" s="5">
        <v>33983.78</v>
      </c>
      <c r="G548" s="5">
        <v>916.5</v>
      </c>
      <c r="H548" s="5">
        <v>162</v>
      </c>
    </row>
    <row r="549" spans="1:8">
      <c r="A549" s="5">
        <v>2021</v>
      </c>
      <c r="B549" s="6">
        <v>44348</v>
      </c>
      <c r="C549" s="5" t="s">
        <v>34</v>
      </c>
      <c r="D549" s="3" t="str" cm="1">
        <f t="array" ref="D549">_xlfn.IFS(
 ISNUMBER(SEARCH("WHISK",C549)),"Whiskey",
 ISNUMBER(SEARCH("BOURBON",C549)),"Whiskey",
 ISNUMBER(SEARCH("SCOTCH",C549)),"Whiskey",
 ISNUMBER(SEARCH("RYE",C549)),"Whiskey",
 ISNUMBER(SEARCH("VODKA",C549)),"Vodka",
 ISNUMBER(SEARCH("TEQUILA",C549)),"Tequila/Mezcal",
 ISNUMBER(SEARCH("MEZCAL",C549)),"Tequila/Mezcal",
 ISNUMBER(SEARCH("RUM",C549)),"Rum",
 ISNUMBER(SEARCH("BRAND",C549)),"Brandy",
 ISNUMBER(SEARCH("COGNAC",C549)),"Brandy",
 ISNUMBER(SEARCH("LIQUEUR",C549)),"Liqueurs",
 ISNUMBER(SEARCH("CORDIAL",C549)),"Liqueurs",
 ISNUMBER(SEARCH("SCHNAPP",C549)),"Liqueurs",
 ISNUMBER(SEARCH("GIN",C549)),"Gin",
 TRUE,"Other")</f>
        <v>Tequila/Mezcal</v>
      </c>
      <c r="E549" s="5">
        <v>1188</v>
      </c>
      <c r="F549" s="5">
        <v>36081.479999999974</v>
      </c>
      <c r="G549" s="5">
        <v>891</v>
      </c>
      <c r="H549" s="5">
        <v>193</v>
      </c>
    </row>
    <row r="550" spans="1:8">
      <c r="A550" s="5">
        <v>2021</v>
      </c>
      <c r="B550" s="6">
        <v>44348</v>
      </c>
      <c r="C550" s="5" t="s">
        <v>51</v>
      </c>
      <c r="D550" s="3" t="str" cm="1">
        <f t="array" ref="D550">_xlfn.IFS(
 ISNUMBER(SEARCH("WHISK",C550)),"Whiskey",
 ISNUMBER(SEARCH("BOURBON",C550)),"Whiskey",
 ISNUMBER(SEARCH("SCOTCH",C550)),"Whiskey",
 ISNUMBER(SEARCH("RYE",C550)),"Whiskey",
 ISNUMBER(SEARCH("VODKA",C550)),"Vodka",
 ISNUMBER(SEARCH("TEQUILA",C550)),"Tequila/Mezcal",
 ISNUMBER(SEARCH("MEZCAL",C550)),"Tequila/Mezcal",
 ISNUMBER(SEARCH("RUM",C550)),"Rum",
 ISNUMBER(SEARCH("BRAND",C550)),"Brandy",
 ISNUMBER(SEARCH("COGNAC",C550)),"Brandy",
 ISNUMBER(SEARCH("LIQUEUR",C550)),"Liqueurs",
 ISNUMBER(SEARCH("CORDIAL",C550)),"Liqueurs",
 ISNUMBER(SEARCH("SCHNAPP",C550)),"Liqueurs",
 ISNUMBER(SEARCH("GIN",C550)),"Gin",
 TRUE,"Other")</f>
        <v>Other</v>
      </c>
      <c r="E550" s="5">
        <v>66</v>
      </c>
      <c r="F550" s="5">
        <v>2310</v>
      </c>
      <c r="G550" s="5">
        <v>49.5</v>
      </c>
      <c r="H550" s="5">
        <v>21</v>
      </c>
    </row>
    <row r="551" spans="1:8">
      <c r="A551" s="5">
        <v>2021</v>
      </c>
      <c r="B551" s="6">
        <v>44348</v>
      </c>
      <c r="C551" s="5" t="s">
        <v>52</v>
      </c>
      <c r="D551" s="3" t="str" cm="1">
        <f t="array" ref="D551">_xlfn.IFS(
 ISNUMBER(SEARCH("WHISK",C551)),"Whiskey",
 ISNUMBER(SEARCH("BOURBON",C551)),"Whiskey",
 ISNUMBER(SEARCH("SCOTCH",C551)),"Whiskey",
 ISNUMBER(SEARCH("RYE",C551)),"Whiskey",
 ISNUMBER(SEARCH("VODKA",C551)),"Vodka",
 ISNUMBER(SEARCH("TEQUILA",C551)),"Tequila/Mezcal",
 ISNUMBER(SEARCH("MEZCAL",C551)),"Tequila/Mezcal",
 ISNUMBER(SEARCH("RUM",C551)),"Rum",
 ISNUMBER(SEARCH("BRAND",C551)),"Brandy",
 ISNUMBER(SEARCH("COGNAC",C551)),"Brandy",
 ISNUMBER(SEARCH("LIQUEUR",C551)),"Liqueurs",
 ISNUMBER(SEARCH("CORDIAL",C551)),"Liqueurs",
 ISNUMBER(SEARCH("SCHNAPP",C551)),"Liqueurs",
 ISNUMBER(SEARCH("GIN",C551)),"Gin",
 TRUE,"Other")</f>
        <v>Gin</v>
      </c>
      <c r="E551" s="5">
        <v>24</v>
      </c>
      <c r="F551" s="5">
        <v>531.12</v>
      </c>
      <c r="G551" s="5">
        <v>18</v>
      </c>
      <c r="H551" s="5">
        <v>2</v>
      </c>
    </row>
    <row r="552" spans="1:8">
      <c r="A552" s="5">
        <v>2021</v>
      </c>
      <c r="B552" s="6">
        <v>44348</v>
      </c>
      <c r="C552" s="5" t="s">
        <v>54</v>
      </c>
      <c r="D552" s="3" t="str" cm="1">
        <f t="array" ref="D552">_xlfn.IFS(
 ISNUMBER(SEARCH("WHISK",C552)),"Whiskey",
 ISNUMBER(SEARCH("BOURBON",C552)),"Whiskey",
 ISNUMBER(SEARCH("SCOTCH",C552)),"Whiskey",
 ISNUMBER(SEARCH("RYE",C552)),"Whiskey",
 ISNUMBER(SEARCH("VODKA",C552)),"Vodka",
 ISNUMBER(SEARCH("TEQUILA",C552)),"Tequila/Mezcal",
 ISNUMBER(SEARCH("MEZCAL",C552)),"Tequila/Mezcal",
 ISNUMBER(SEARCH("RUM",C552)),"Rum",
 ISNUMBER(SEARCH("BRAND",C552)),"Brandy",
 ISNUMBER(SEARCH("COGNAC",C552)),"Brandy",
 ISNUMBER(SEARCH("LIQUEUR",C552)),"Liqueurs",
 ISNUMBER(SEARCH("CORDIAL",C552)),"Liqueurs",
 ISNUMBER(SEARCH("SCHNAPP",C552)),"Liqueurs",
 ISNUMBER(SEARCH("GIN",C552)),"Gin",
 TRUE,"Other")</f>
        <v>Whiskey</v>
      </c>
      <c r="E552" s="5">
        <v>6</v>
      </c>
      <c r="F552" s="5">
        <v>459</v>
      </c>
      <c r="G552" s="5">
        <v>4.5</v>
      </c>
      <c r="H552" s="5">
        <v>1</v>
      </c>
    </row>
    <row r="553" spans="1:8">
      <c r="A553" s="5">
        <v>2024</v>
      </c>
      <c r="B553" s="6">
        <v>45292</v>
      </c>
      <c r="C553" s="5" t="s">
        <v>50</v>
      </c>
      <c r="D553" s="3" t="str" cm="1">
        <f t="array" ref="D553">_xlfn.IFS(
 ISNUMBER(SEARCH("WHISK",C553)),"Whiskey",
 ISNUMBER(SEARCH("BOURBON",C553)),"Whiskey",
 ISNUMBER(SEARCH("SCOTCH",C553)),"Whiskey",
 ISNUMBER(SEARCH("RYE",C553)),"Whiskey",
 ISNUMBER(SEARCH("VODKA",C553)),"Vodka",
 ISNUMBER(SEARCH("TEQUILA",C553)),"Tequila/Mezcal",
 ISNUMBER(SEARCH("MEZCAL",C553)),"Tequila/Mezcal",
 ISNUMBER(SEARCH("RUM",C553)),"Rum",
 ISNUMBER(SEARCH("BRAND",C553)),"Brandy",
 ISNUMBER(SEARCH("COGNAC",C553)),"Brandy",
 ISNUMBER(SEARCH("LIQUEUR",C553)),"Liqueurs",
 ISNUMBER(SEARCH("CORDIAL",C553)),"Liqueurs",
 ISNUMBER(SEARCH("SCHNAPP",C553)),"Liqueurs",
 ISNUMBER(SEARCH("GIN",C553)),"Gin",
 TRUE,"Other")</f>
        <v>Tequila/Mezcal</v>
      </c>
      <c r="E553" s="5">
        <v>74806</v>
      </c>
      <c r="F553" s="5">
        <v>2155928.8199999444</v>
      </c>
      <c r="G553" s="5">
        <v>51730.910000000295</v>
      </c>
      <c r="H553" s="5">
        <v>10211</v>
      </c>
    </row>
    <row r="554" spans="1:8">
      <c r="A554" s="5">
        <v>2024</v>
      </c>
      <c r="B554" s="6">
        <v>45292</v>
      </c>
      <c r="C554" s="5" t="s">
        <v>8</v>
      </c>
      <c r="D554" s="3" t="str" cm="1">
        <f t="array" ref="D554">_xlfn.IFS(
 ISNUMBER(SEARCH("WHISK",C554)),"Whiskey",
 ISNUMBER(SEARCH("BOURBON",C554)),"Whiskey",
 ISNUMBER(SEARCH("SCOTCH",C554)),"Whiskey",
 ISNUMBER(SEARCH("RYE",C554)),"Whiskey",
 ISNUMBER(SEARCH("VODKA",C554)),"Vodka",
 ISNUMBER(SEARCH("TEQUILA",C554)),"Tequila/Mezcal",
 ISNUMBER(SEARCH("MEZCAL",C554)),"Tequila/Mezcal",
 ISNUMBER(SEARCH("RUM",C554)),"Rum",
 ISNUMBER(SEARCH("BRAND",C554)),"Brandy",
 ISNUMBER(SEARCH("COGNAC",C554)),"Brandy",
 ISNUMBER(SEARCH("LIQUEUR",C554)),"Liqueurs",
 ISNUMBER(SEARCH("CORDIAL",C554)),"Liqueurs",
 ISNUMBER(SEARCH("SCHNAPP",C554)),"Liqueurs",
 ISNUMBER(SEARCH("GIN",C554)),"Gin",
 TRUE,"Other")</f>
        <v>Brandy</v>
      </c>
      <c r="E554" s="5">
        <v>65117</v>
      </c>
      <c r="F554" s="5">
        <v>438934.42000000039</v>
      </c>
      <c r="G554" s="5">
        <v>34567.549999999741</v>
      </c>
      <c r="H554" s="5">
        <v>5280</v>
      </c>
    </row>
    <row r="555" spans="1:8">
      <c r="A555" s="5">
        <v>2024</v>
      </c>
      <c r="B555" s="6">
        <v>45292</v>
      </c>
      <c r="C555" s="5" t="s">
        <v>12</v>
      </c>
      <c r="D555" s="3" t="str" cm="1">
        <f t="array" ref="D555">_xlfn.IFS(
 ISNUMBER(SEARCH("WHISK",C555)),"Whiskey",
 ISNUMBER(SEARCH("BOURBON",C555)),"Whiskey",
 ISNUMBER(SEARCH("SCOTCH",C555)),"Whiskey",
 ISNUMBER(SEARCH("RYE",C555)),"Whiskey",
 ISNUMBER(SEARCH("VODKA",C555)),"Vodka",
 ISNUMBER(SEARCH("TEQUILA",C555)),"Tequila/Mezcal",
 ISNUMBER(SEARCH("MEZCAL",C555)),"Tequila/Mezcal",
 ISNUMBER(SEARCH("RUM",C555)),"Rum",
 ISNUMBER(SEARCH("BRAND",C555)),"Brandy",
 ISNUMBER(SEARCH("COGNAC",C555)),"Brandy",
 ISNUMBER(SEARCH("LIQUEUR",C555)),"Liqueurs",
 ISNUMBER(SEARCH("CORDIAL",C555)),"Liqueurs",
 ISNUMBER(SEARCH("SCHNAPP",C555)),"Liqueurs",
 ISNUMBER(SEARCH("GIN",C555)),"Gin",
 TRUE,"Other")</f>
        <v>Vodka</v>
      </c>
      <c r="E555" s="5">
        <v>70995</v>
      </c>
      <c r="F555" s="5">
        <v>808093.66000003135</v>
      </c>
      <c r="G555" s="5">
        <v>48639.419999999955</v>
      </c>
      <c r="H555" s="5">
        <v>9436</v>
      </c>
    </row>
    <row r="556" spans="1:8">
      <c r="A556" s="5">
        <v>2024</v>
      </c>
      <c r="B556" s="6">
        <v>45292</v>
      </c>
      <c r="C556" s="5" t="s">
        <v>13</v>
      </c>
      <c r="D556" s="3" t="str" cm="1">
        <f t="array" ref="D556">_xlfn.IFS(
 ISNUMBER(SEARCH("WHISK",C556)),"Whiskey",
 ISNUMBER(SEARCH("BOURBON",C556)),"Whiskey",
 ISNUMBER(SEARCH("SCOTCH",C556)),"Whiskey",
 ISNUMBER(SEARCH("RYE",C556)),"Whiskey",
 ISNUMBER(SEARCH("VODKA",C556)),"Vodka",
 ISNUMBER(SEARCH("TEQUILA",C556)),"Tequila/Mezcal",
 ISNUMBER(SEARCH("MEZCAL",C556)),"Tequila/Mezcal",
 ISNUMBER(SEARCH("RUM",C556)),"Rum",
 ISNUMBER(SEARCH("BRAND",C556)),"Brandy",
 ISNUMBER(SEARCH("COGNAC",C556)),"Brandy",
 ISNUMBER(SEARCH("LIQUEUR",C556)),"Liqueurs",
 ISNUMBER(SEARCH("CORDIAL",C556)),"Liqueurs",
 ISNUMBER(SEARCH("SCHNAPP",C556)),"Liqueurs",
 ISNUMBER(SEARCH("GIN",C556)),"Gin",
 TRUE,"Other")</f>
        <v>Liqueurs</v>
      </c>
      <c r="E556" s="5">
        <v>81322</v>
      </c>
      <c r="F556" s="5">
        <v>603638.47000002628</v>
      </c>
      <c r="G556" s="5">
        <v>36743.71999999931</v>
      </c>
      <c r="H556" s="5">
        <v>7227</v>
      </c>
    </row>
    <row r="557" spans="1:8">
      <c r="A557" s="5">
        <v>2024</v>
      </c>
      <c r="B557" s="6">
        <v>45292</v>
      </c>
      <c r="C557" s="5" t="s">
        <v>15</v>
      </c>
      <c r="D557" s="3" t="str" cm="1">
        <f t="array" ref="D557">_xlfn.IFS(
 ISNUMBER(SEARCH("WHISK",C557)),"Whiskey",
 ISNUMBER(SEARCH("BOURBON",C557)),"Whiskey",
 ISNUMBER(SEARCH("SCOTCH",C557)),"Whiskey",
 ISNUMBER(SEARCH("RYE",C557)),"Whiskey",
 ISNUMBER(SEARCH("VODKA",C557)),"Vodka",
 ISNUMBER(SEARCH("TEQUILA",C557)),"Tequila/Mezcal",
 ISNUMBER(SEARCH("MEZCAL",C557)),"Tequila/Mezcal",
 ISNUMBER(SEARCH("RUM",C557)),"Rum",
 ISNUMBER(SEARCH("BRAND",C557)),"Brandy",
 ISNUMBER(SEARCH("COGNAC",C557)),"Brandy",
 ISNUMBER(SEARCH("LIQUEUR",C557)),"Liqueurs",
 ISNUMBER(SEARCH("CORDIAL",C557)),"Liqueurs",
 ISNUMBER(SEARCH("SCHNAPP",C557)),"Liqueurs",
 ISNUMBER(SEARCH("GIN",C557)),"Gin",
 TRUE,"Other")</f>
        <v>Vodka</v>
      </c>
      <c r="E557" s="5">
        <v>505363</v>
      </c>
      <c r="F557" s="5">
        <v>5156783.1800000109</v>
      </c>
      <c r="G557" s="5">
        <v>443048.79999997793</v>
      </c>
      <c r="H557" s="5">
        <v>32791</v>
      </c>
    </row>
    <row r="558" spans="1:8">
      <c r="A558" s="5">
        <v>2024</v>
      </c>
      <c r="B558" s="6">
        <v>45292</v>
      </c>
      <c r="C558" s="5" t="s">
        <v>31</v>
      </c>
      <c r="D558" s="3" t="str" cm="1">
        <f t="array" ref="D558">_xlfn.IFS(
 ISNUMBER(SEARCH("WHISK",C558)),"Whiskey",
 ISNUMBER(SEARCH("BOURBON",C558)),"Whiskey",
 ISNUMBER(SEARCH("SCOTCH",C558)),"Whiskey",
 ISNUMBER(SEARCH("RYE",C558)),"Whiskey",
 ISNUMBER(SEARCH("VODKA",C558)),"Vodka",
 ISNUMBER(SEARCH("TEQUILA",C558)),"Tequila/Mezcal",
 ISNUMBER(SEARCH("MEZCAL",C558)),"Tequila/Mezcal",
 ISNUMBER(SEARCH("RUM",C558)),"Rum",
 ISNUMBER(SEARCH("BRAND",C558)),"Brandy",
 ISNUMBER(SEARCH("COGNAC",C558)),"Brandy",
 ISNUMBER(SEARCH("LIQUEUR",C558)),"Liqueurs",
 ISNUMBER(SEARCH("CORDIAL",C558)),"Liqueurs",
 ISNUMBER(SEARCH("SCHNAPP",C558)),"Liqueurs",
 ISNUMBER(SEARCH("GIN",C558)),"Gin",
 TRUE,"Other")</f>
        <v>Liqueurs</v>
      </c>
      <c r="E558" s="5">
        <v>25821</v>
      </c>
      <c r="F558" s="5">
        <v>459363.87000000174</v>
      </c>
      <c r="G558" s="5">
        <v>22657.729999999832</v>
      </c>
      <c r="H558" s="5">
        <v>2844</v>
      </c>
    </row>
    <row r="559" spans="1:8">
      <c r="A559" s="5">
        <v>2024</v>
      </c>
      <c r="B559" s="6">
        <v>45292</v>
      </c>
      <c r="C559" s="5" t="s">
        <v>32</v>
      </c>
      <c r="D559" s="3" t="str" cm="1">
        <f t="array" ref="D559">_xlfn.IFS(
 ISNUMBER(SEARCH("WHISK",C559)),"Whiskey",
 ISNUMBER(SEARCH("BOURBON",C559)),"Whiskey",
 ISNUMBER(SEARCH("SCOTCH",C559)),"Whiskey",
 ISNUMBER(SEARCH("RYE",C559)),"Whiskey",
 ISNUMBER(SEARCH("VODKA",C559)),"Vodka",
 ISNUMBER(SEARCH("TEQUILA",C559)),"Tequila/Mezcal",
 ISNUMBER(SEARCH("MEZCAL",C559)),"Tequila/Mezcal",
 ISNUMBER(SEARCH("RUM",C559)),"Rum",
 ISNUMBER(SEARCH("BRAND",C559)),"Brandy",
 ISNUMBER(SEARCH("COGNAC",C559)),"Brandy",
 ISNUMBER(SEARCH("LIQUEUR",C559)),"Liqueurs",
 ISNUMBER(SEARCH("CORDIAL",C559)),"Liqueurs",
 ISNUMBER(SEARCH("SCHNAPP",C559)),"Liqueurs",
 ISNUMBER(SEARCH("GIN",C559)),"Gin",
 TRUE,"Other")</f>
        <v>Vodka</v>
      </c>
      <c r="E559" s="5">
        <v>54731</v>
      </c>
      <c r="F559" s="5">
        <v>891311.91999998735</v>
      </c>
      <c r="G559" s="5">
        <v>59151.230000000374</v>
      </c>
      <c r="H559" s="5">
        <v>4744</v>
      </c>
    </row>
    <row r="560" spans="1:8">
      <c r="A560" s="5">
        <v>2024</v>
      </c>
      <c r="B560" s="6">
        <v>45292</v>
      </c>
      <c r="C560" s="5" t="s">
        <v>38</v>
      </c>
      <c r="D560" s="3" t="str" cm="1">
        <f t="array" ref="D560">_xlfn.IFS(
 ISNUMBER(SEARCH("WHISK",C560)),"Whiskey",
 ISNUMBER(SEARCH("BOURBON",C560)),"Whiskey",
 ISNUMBER(SEARCH("SCOTCH",C560)),"Whiskey",
 ISNUMBER(SEARCH("RYE",C560)),"Whiskey",
 ISNUMBER(SEARCH("VODKA",C560)),"Vodka",
 ISNUMBER(SEARCH("TEQUILA",C560)),"Tequila/Mezcal",
 ISNUMBER(SEARCH("MEZCAL",C560)),"Tequila/Mezcal",
 ISNUMBER(SEARCH("RUM",C560)),"Rum",
 ISNUMBER(SEARCH("BRAND",C560)),"Brandy",
 ISNUMBER(SEARCH("COGNAC",C560)),"Brandy",
 ISNUMBER(SEARCH("LIQUEUR",C560)),"Liqueurs",
 ISNUMBER(SEARCH("CORDIAL",C560)),"Liqueurs",
 ISNUMBER(SEARCH("SCHNAPP",C560)),"Liqueurs",
 ISNUMBER(SEARCH("GIN",C560)),"Gin",
 TRUE,"Other")</f>
        <v>Whiskey</v>
      </c>
      <c r="E560" s="5">
        <v>14682</v>
      </c>
      <c r="F560" s="5">
        <v>412126.2499999993</v>
      </c>
      <c r="G560" s="5">
        <v>15225.350000000009</v>
      </c>
      <c r="H560" s="5">
        <v>2542</v>
      </c>
    </row>
    <row r="561" spans="1:8">
      <c r="A561" s="5">
        <v>2024</v>
      </c>
      <c r="B561" s="6">
        <v>45292</v>
      </c>
      <c r="C561" s="5" t="s">
        <v>43</v>
      </c>
      <c r="D561" s="3" t="str" cm="1">
        <f t="array" ref="D561">_xlfn.IFS(
 ISNUMBER(SEARCH("WHISK",C561)),"Whiskey",
 ISNUMBER(SEARCH("BOURBON",C561)),"Whiskey",
 ISNUMBER(SEARCH("SCOTCH",C561)),"Whiskey",
 ISNUMBER(SEARCH("RYE",C561)),"Whiskey",
 ISNUMBER(SEARCH("VODKA",C561)),"Vodka",
 ISNUMBER(SEARCH("TEQUILA",C561)),"Tequila/Mezcal",
 ISNUMBER(SEARCH("MEZCAL",C561)),"Tequila/Mezcal",
 ISNUMBER(SEARCH("RUM",C561)),"Rum",
 ISNUMBER(SEARCH("BRAND",C561)),"Brandy",
 ISNUMBER(SEARCH("COGNAC",C561)),"Brandy",
 ISNUMBER(SEARCH("LIQUEUR",C561)),"Liqueurs",
 ISNUMBER(SEARCH("CORDIAL",C561)),"Liqueurs",
 ISNUMBER(SEARCH("SCHNAPP",C561)),"Liqueurs",
 ISNUMBER(SEARCH("GIN",C561)),"Gin",
 TRUE,"Other")</f>
        <v>Whiskey</v>
      </c>
      <c r="E561" s="5">
        <v>131850</v>
      </c>
      <c r="F561" s="5">
        <v>2995605.3999999864</v>
      </c>
      <c r="G561" s="5">
        <v>106868.07000000164</v>
      </c>
      <c r="H561" s="5">
        <v>17421</v>
      </c>
    </row>
    <row r="562" spans="1:8">
      <c r="A562" s="5">
        <v>2024</v>
      </c>
      <c r="B562" s="6">
        <v>45292</v>
      </c>
      <c r="C562" s="5" t="s">
        <v>46</v>
      </c>
      <c r="D562" s="3" t="str" cm="1">
        <f t="array" ref="D562">_xlfn.IFS(
 ISNUMBER(SEARCH("WHISK",C562)),"Whiskey",
 ISNUMBER(SEARCH("BOURBON",C562)),"Whiskey",
 ISNUMBER(SEARCH("SCOTCH",C562)),"Whiskey",
 ISNUMBER(SEARCH("RYE",C562)),"Whiskey",
 ISNUMBER(SEARCH("VODKA",C562)),"Vodka",
 ISNUMBER(SEARCH("TEQUILA",C562)),"Tequila/Mezcal",
 ISNUMBER(SEARCH("MEZCAL",C562)),"Tequila/Mezcal",
 ISNUMBER(SEARCH("RUM",C562)),"Rum",
 ISNUMBER(SEARCH("BRAND",C562)),"Brandy",
 ISNUMBER(SEARCH("COGNAC",C562)),"Brandy",
 ISNUMBER(SEARCH("LIQUEUR",C562)),"Liqueurs",
 ISNUMBER(SEARCH("CORDIAL",C562)),"Liqueurs",
 ISNUMBER(SEARCH("SCHNAPP",C562)),"Liqueurs",
 ISNUMBER(SEARCH("GIN",C562)),"Gin",
 TRUE,"Other")</f>
        <v>Whiskey</v>
      </c>
      <c r="E562" s="5">
        <v>53239</v>
      </c>
      <c r="F562" s="5">
        <v>1150991.0699999901</v>
      </c>
      <c r="G562" s="5">
        <v>35454.309999999467</v>
      </c>
      <c r="H562" s="5">
        <v>6240</v>
      </c>
    </row>
    <row r="563" spans="1:8">
      <c r="A563" s="5">
        <v>2024</v>
      </c>
      <c r="B563" s="6">
        <v>45292</v>
      </c>
      <c r="C563" s="5" t="s">
        <v>48</v>
      </c>
      <c r="D563" s="3" t="str" cm="1">
        <f t="array" ref="D563">_xlfn.IFS(
 ISNUMBER(SEARCH("WHISK",C563)),"Whiskey",
 ISNUMBER(SEARCH("BOURBON",C563)),"Whiskey",
 ISNUMBER(SEARCH("SCOTCH",C563)),"Whiskey",
 ISNUMBER(SEARCH("RYE",C563)),"Whiskey",
 ISNUMBER(SEARCH("VODKA",C563)),"Vodka",
 ISNUMBER(SEARCH("TEQUILA",C563)),"Tequila/Mezcal",
 ISNUMBER(SEARCH("MEZCAL",C563)),"Tequila/Mezcal",
 ISNUMBER(SEARCH("RUM",C563)),"Rum",
 ISNUMBER(SEARCH("BRAND",C563)),"Brandy",
 ISNUMBER(SEARCH("COGNAC",C563)),"Brandy",
 ISNUMBER(SEARCH("LIQUEUR",C563)),"Liqueurs",
 ISNUMBER(SEARCH("CORDIAL",C563)),"Liqueurs",
 ISNUMBER(SEARCH("SCHNAPP",C563)),"Liqueurs",
 ISNUMBER(SEARCH("GIN",C563)),"Gin",
 TRUE,"Other")</f>
        <v>Whiskey</v>
      </c>
      <c r="E563" s="5">
        <v>357022</v>
      </c>
      <c r="F563" s="5">
        <v>2123316.3299999638</v>
      </c>
      <c r="G563" s="5">
        <v>85570.050000004238</v>
      </c>
      <c r="H563" s="5">
        <v>13667</v>
      </c>
    </row>
    <row r="564" spans="1:8">
      <c r="A564" s="5">
        <v>2024</v>
      </c>
      <c r="B564" s="6">
        <v>45292</v>
      </c>
      <c r="C564" s="5" t="s">
        <v>49</v>
      </c>
      <c r="D564" s="3" t="str" cm="1">
        <f t="array" ref="D564">_xlfn.IFS(
 ISNUMBER(SEARCH("WHISK",C564)),"Whiskey",
 ISNUMBER(SEARCH("BOURBON",C564)),"Whiskey",
 ISNUMBER(SEARCH("SCOTCH",C564)),"Whiskey",
 ISNUMBER(SEARCH("RYE",C564)),"Whiskey",
 ISNUMBER(SEARCH("VODKA",C564)),"Vodka",
 ISNUMBER(SEARCH("TEQUILA",C564)),"Tequila/Mezcal",
 ISNUMBER(SEARCH("MEZCAL",C564)),"Tequila/Mezcal",
 ISNUMBER(SEARCH("RUM",C564)),"Rum",
 ISNUMBER(SEARCH("BRAND",C564)),"Brandy",
 ISNUMBER(SEARCH("COGNAC",C564)),"Brandy",
 ISNUMBER(SEARCH("LIQUEUR",C564)),"Liqueurs",
 ISNUMBER(SEARCH("CORDIAL",C564)),"Liqueurs",
 ISNUMBER(SEARCH("SCHNAPP",C564)),"Liqueurs",
 ISNUMBER(SEARCH("GIN",C564)),"Gin",
 TRUE,"Other")</f>
        <v>Rum</v>
      </c>
      <c r="E564" s="5">
        <v>33134</v>
      </c>
      <c r="F564" s="5">
        <v>408862.5599999979</v>
      </c>
      <c r="G564" s="5">
        <v>34886.469999999856</v>
      </c>
      <c r="H564" s="5">
        <v>3377</v>
      </c>
    </row>
    <row r="565" spans="1:8">
      <c r="A565" s="5">
        <v>2024</v>
      </c>
      <c r="B565" s="6">
        <v>45292</v>
      </c>
      <c r="C565" s="5" t="s">
        <v>16</v>
      </c>
      <c r="D565" s="3" t="str" cm="1">
        <f t="array" ref="D565">_xlfn.IFS(
 ISNUMBER(SEARCH("WHISK",C565)),"Whiskey",
 ISNUMBER(SEARCH("BOURBON",C565)),"Whiskey",
 ISNUMBER(SEARCH("SCOTCH",C565)),"Whiskey",
 ISNUMBER(SEARCH("RYE",C565)),"Whiskey",
 ISNUMBER(SEARCH("VODKA",C565)),"Vodka",
 ISNUMBER(SEARCH("TEQUILA",C565)),"Tequila/Mezcal",
 ISNUMBER(SEARCH("MEZCAL",C565)),"Tequila/Mezcal",
 ISNUMBER(SEARCH("RUM",C565)),"Rum",
 ISNUMBER(SEARCH("BRAND",C565)),"Brandy",
 ISNUMBER(SEARCH("COGNAC",C565)),"Brandy",
 ISNUMBER(SEARCH("LIQUEUR",C565)),"Liqueurs",
 ISNUMBER(SEARCH("CORDIAL",C565)),"Liqueurs",
 ISNUMBER(SEARCH("SCHNAPP",C565)),"Liqueurs",
 ISNUMBER(SEARCH("GIN",C565)),"Gin",
 TRUE,"Other")</f>
        <v>Whiskey</v>
      </c>
      <c r="E565" s="5">
        <v>68532</v>
      </c>
      <c r="F565" s="5">
        <v>880709.88999998407</v>
      </c>
      <c r="G565" s="5">
        <v>56964.110000000423</v>
      </c>
      <c r="H565" s="5">
        <v>7605</v>
      </c>
    </row>
    <row r="566" spans="1:8">
      <c r="A566" s="5">
        <v>2024</v>
      </c>
      <c r="B566" s="6">
        <v>45292</v>
      </c>
      <c r="C566" s="5" t="s">
        <v>59</v>
      </c>
      <c r="D566" s="3" t="str" cm="1">
        <f t="array" ref="D566">_xlfn.IFS(
 ISNUMBER(SEARCH("WHISK",C566)),"Whiskey",
 ISNUMBER(SEARCH("BOURBON",C566)),"Whiskey",
 ISNUMBER(SEARCH("SCOTCH",C566)),"Whiskey",
 ISNUMBER(SEARCH("RYE",C566)),"Whiskey",
 ISNUMBER(SEARCH("VODKA",C566)),"Vodka",
 ISNUMBER(SEARCH("TEQUILA",C566)),"Tequila/Mezcal",
 ISNUMBER(SEARCH("MEZCAL",C566)),"Tequila/Mezcal",
 ISNUMBER(SEARCH("RUM",C566)),"Rum",
 ISNUMBER(SEARCH("BRAND",C566)),"Brandy",
 ISNUMBER(SEARCH("COGNAC",C566)),"Brandy",
 ISNUMBER(SEARCH("LIQUEUR",C566)),"Liqueurs",
 ISNUMBER(SEARCH("CORDIAL",C566)),"Liqueurs",
 ISNUMBER(SEARCH("SCHNAPP",C566)),"Liqueurs",
 ISNUMBER(SEARCH("GIN",C566)),"Gin",
 TRUE,"Other")</f>
        <v>Liqueurs</v>
      </c>
      <c r="E566" s="5">
        <v>31360</v>
      </c>
      <c r="F566" s="5">
        <v>361149.25000000914</v>
      </c>
      <c r="G566" s="5">
        <v>15203.269999999404</v>
      </c>
      <c r="H566" s="5">
        <v>5149</v>
      </c>
    </row>
    <row r="567" spans="1:8">
      <c r="A567" s="5">
        <v>2024</v>
      </c>
      <c r="B567" s="6">
        <v>45292</v>
      </c>
      <c r="C567" s="5" t="s">
        <v>18</v>
      </c>
      <c r="D567" s="3" t="str" cm="1">
        <f t="array" ref="D567">_xlfn.IFS(
 ISNUMBER(SEARCH("WHISK",C567)),"Whiskey",
 ISNUMBER(SEARCH("BOURBON",C567)),"Whiskey",
 ISNUMBER(SEARCH("SCOTCH",C567)),"Whiskey",
 ISNUMBER(SEARCH("RYE",C567)),"Whiskey",
 ISNUMBER(SEARCH("VODKA",C567)),"Vodka",
 ISNUMBER(SEARCH("TEQUILA",C567)),"Tequila/Mezcal",
 ISNUMBER(SEARCH("MEZCAL",C567)),"Tequila/Mezcal",
 ISNUMBER(SEARCH("RUM",C567)),"Rum",
 ISNUMBER(SEARCH("BRAND",C567)),"Brandy",
 ISNUMBER(SEARCH("COGNAC",C567)),"Brandy",
 ISNUMBER(SEARCH("LIQUEUR",C567)),"Liqueurs",
 ISNUMBER(SEARCH("CORDIAL",C567)),"Liqueurs",
 ISNUMBER(SEARCH("SCHNAPP",C567)),"Liqueurs",
 ISNUMBER(SEARCH("GIN",C567)),"Gin",
 TRUE,"Other")</f>
        <v>Whiskey</v>
      </c>
      <c r="E567" s="5">
        <v>226997</v>
      </c>
      <c r="F567" s="5">
        <v>3608056.1599998814</v>
      </c>
      <c r="G567" s="5">
        <v>207465.59999999794</v>
      </c>
      <c r="H567" s="5">
        <v>21180</v>
      </c>
    </row>
    <row r="568" spans="1:8">
      <c r="A568" s="5">
        <v>2024</v>
      </c>
      <c r="B568" s="6">
        <v>45292</v>
      </c>
      <c r="C568" s="5" t="s">
        <v>35</v>
      </c>
      <c r="D568" s="3" t="str" cm="1">
        <f t="array" ref="D568">_xlfn.IFS(
 ISNUMBER(SEARCH("WHISK",C568)),"Whiskey",
 ISNUMBER(SEARCH("BOURBON",C568)),"Whiskey",
 ISNUMBER(SEARCH("SCOTCH",C568)),"Whiskey",
 ISNUMBER(SEARCH("RYE",C568)),"Whiskey",
 ISNUMBER(SEARCH("VODKA",C568)),"Vodka",
 ISNUMBER(SEARCH("TEQUILA",C568)),"Tequila/Mezcal",
 ISNUMBER(SEARCH("MEZCAL",C568)),"Tequila/Mezcal",
 ISNUMBER(SEARCH("RUM",C568)),"Rum",
 ISNUMBER(SEARCH("BRAND",C568)),"Brandy",
 ISNUMBER(SEARCH("COGNAC",C568)),"Brandy",
 ISNUMBER(SEARCH("LIQUEUR",C568)),"Liqueurs",
 ISNUMBER(SEARCH("CORDIAL",C568)),"Liqueurs",
 ISNUMBER(SEARCH("SCHNAPP",C568)),"Liqueurs",
 ISNUMBER(SEARCH("GIN",C568)),"Gin",
 TRUE,"Other")</f>
        <v>Tequila/Mezcal</v>
      </c>
      <c r="E568" s="5">
        <v>52248</v>
      </c>
      <c r="F568" s="5">
        <v>741565.6999999953</v>
      </c>
      <c r="G568" s="5">
        <v>38366.269999999851</v>
      </c>
      <c r="H568" s="5">
        <v>4354</v>
      </c>
    </row>
    <row r="569" spans="1:8">
      <c r="A569" s="5">
        <v>2024</v>
      </c>
      <c r="B569" s="6">
        <v>45292</v>
      </c>
      <c r="C569" s="5" t="s">
        <v>37</v>
      </c>
      <c r="D569" s="3" t="str" cm="1">
        <f t="array" ref="D569">_xlfn.IFS(
 ISNUMBER(SEARCH("WHISK",C569)),"Whiskey",
 ISNUMBER(SEARCH("BOURBON",C569)),"Whiskey",
 ISNUMBER(SEARCH("SCOTCH",C569)),"Whiskey",
 ISNUMBER(SEARCH("RYE",C569)),"Whiskey",
 ISNUMBER(SEARCH("VODKA",C569)),"Vodka",
 ISNUMBER(SEARCH("TEQUILA",C569)),"Tequila/Mezcal",
 ISNUMBER(SEARCH("MEZCAL",C569)),"Tequila/Mezcal",
 ISNUMBER(SEARCH("RUM",C569)),"Rum",
 ISNUMBER(SEARCH("BRAND",C569)),"Brandy",
 ISNUMBER(SEARCH("COGNAC",C569)),"Brandy",
 ISNUMBER(SEARCH("LIQUEUR",C569)),"Liqueurs",
 ISNUMBER(SEARCH("CORDIAL",C569)),"Liqueurs",
 ISNUMBER(SEARCH("SCHNAPP",C569)),"Liqueurs",
 ISNUMBER(SEARCH("GIN",C569)),"Gin",
 TRUE,"Other")</f>
        <v>Other</v>
      </c>
      <c r="E569" s="5">
        <v>16780</v>
      </c>
      <c r="F569" s="5">
        <v>277411.29000000359</v>
      </c>
      <c r="G569" s="5">
        <v>8298.8999999999978</v>
      </c>
      <c r="H569" s="5">
        <v>3517</v>
      </c>
    </row>
    <row r="570" spans="1:8">
      <c r="A570" s="5">
        <v>2024</v>
      </c>
      <c r="B570" s="6">
        <v>45292</v>
      </c>
      <c r="C570" s="5" t="s">
        <v>42</v>
      </c>
      <c r="D570" s="3" t="str" cm="1">
        <f t="array" ref="D570">_xlfn.IFS(
 ISNUMBER(SEARCH("WHISK",C570)),"Whiskey",
 ISNUMBER(SEARCH("BOURBON",C570)),"Whiskey",
 ISNUMBER(SEARCH("SCOTCH",C570)),"Whiskey",
 ISNUMBER(SEARCH("RYE",C570)),"Whiskey",
 ISNUMBER(SEARCH("VODKA",C570)),"Vodka",
 ISNUMBER(SEARCH("TEQUILA",C570)),"Tequila/Mezcal",
 ISNUMBER(SEARCH("MEZCAL",C570)),"Tequila/Mezcal",
 ISNUMBER(SEARCH("RUM",C570)),"Rum",
 ISNUMBER(SEARCH("BRAND",C570)),"Brandy",
 ISNUMBER(SEARCH("COGNAC",C570)),"Brandy",
 ISNUMBER(SEARCH("LIQUEUR",C570)),"Liqueurs",
 ISNUMBER(SEARCH("CORDIAL",C570)),"Liqueurs",
 ISNUMBER(SEARCH("SCHNAPP",C570)),"Liqueurs",
 ISNUMBER(SEARCH("GIN",C570)),"Gin",
 TRUE,"Other")</f>
        <v>Rum</v>
      </c>
      <c r="E570" s="5">
        <v>108420</v>
      </c>
      <c r="F570" s="5">
        <v>1647845.5699998853</v>
      </c>
      <c r="G570" s="5">
        <v>102122.15000000068</v>
      </c>
      <c r="H570" s="5">
        <v>8336</v>
      </c>
    </row>
    <row r="571" spans="1:8">
      <c r="A571" s="5">
        <v>2024</v>
      </c>
      <c r="B571" s="6">
        <v>45292</v>
      </c>
      <c r="C571" s="5" t="s">
        <v>19</v>
      </c>
      <c r="D571" s="3" t="str" cm="1">
        <f t="array" ref="D571">_xlfn.IFS(
 ISNUMBER(SEARCH("WHISK",C571)),"Whiskey",
 ISNUMBER(SEARCH("BOURBON",C571)),"Whiskey",
 ISNUMBER(SEARCH("SCOTCH",C571)),"Whiskey",
 ISNUMBER(SEARCH("RYE",C571)),"Whiskey",
 ISNUMBER(SEARCH("VODKA",C571)),"Vodka",
 ISNUMBER(SEARCH("TEQUILA",C571)),"Tequila/Mezcal",
 ISNUMBER(SEARCH("MEZCAL",C571)),"Tequila/Mezcal",
 ISNUMBER(SEARCH("RUM",C571)),"Rum",
 ISNUMBER(SEARCH("BRAND",C571)),"Brandy",
 ISNUMBER(SEARCH("COGNAC",C571)),"Brandy",
 ISNUMBER(SEARCH("LIQUEUR",C571)),"Liqueurs",
 ISNUMBER(SEARCH("CORDIAL",C571)),"Liqueurs",
 ISNUMBER(SEARCH("SCHNAPP",C571)),"Liqueurs",
 ISNUMBER(SEARCH("GIN",C571)),"Gin",
 TRUE,"Other")</f>
        <v>Other</v>
      </c>
      <c r="E571" s="5">
        <v>48288</v>
      </c>
      <c r="F571" s="5">
        <v>569219.80999998539</v>
      </c>
      <c r="G571" s="5">
        <v>58291.920000000224</v>
      </c>
      <c r="H571" s="5">
        <v>6314</v>
      </c>
    </row>
    <row r="572" spans="1:8">
      <c r="A572" s="5">
        <v>2024</v>
      </c>
      <c r="B572" s="6">
        <v>45292</v>
      </c>
      <c r="C572" s="5" t="s">
        <v>20</v>
      </c>
      <c r="D572" s="3" t="str" cm="1">
        <f t="array" ref="D572">_xlfn.IFS(
 ISNUMBER(SEARCH("WHISK",C572)),"Whiskey",
 ISNUMBER(SEARCH("BOURBON",C572)),"Whiskey",
 ISNUMBER(SEARCH("SCOTCH",C572)),"Whiskey",
 ISNUMBER(SEARCH("RYE",C572)),"Whiskey",
 ISNUMBER(SEARCH("VODKA",C572)),"Vodka",
 ISNUMBER(SEARCH("TEQUILA",C572)),"Tequila/Mezcal",
 ISNUMBER(SEARCH("MEZCAL",C572)),"Tequila/Mezcal",
 ISNUMBER(SEARCH("RUM",C572)),"Rum",
 ISNUMBER(SEARCH("BRAND",C572)),"Brandy",
 ISNUMBER(SEARCH("COGNAC",C572)),"Brandy",
 ISNUMBER(SEARCH("LIQUEUR",C572)),"Liqueurs",
 ISNUMBER(SEARCH("CORDIAL",C572)),"Liqueurs",
 ISNUMBER(SEARCH("SCHNAPP",C572)),"Liqueurs",
 ISNUMBER(SEARCH("GIN",C572)),"Gin",
 TRUE,"Other")</f>
        <v>Liqueurs</v>
      </c>
      <c r="E572" s="5">
        <v>10724</v>
      </c>
      <c r="F572" s="5">
        <v>239591.92000000115</v>
      </c>
      <c r="G572" s="5">
        <v>9005.4500000000062</v>
      </c>
      <c r="H572" s="5">
        <v>1154</v>
      </c>
    </row>
    <row r="573" spans="1:8">
      <c r="A573" s="5">
        <v>2024</v>
      </c>
      <c r="B573" s="6">
        <v>45292</v>
      </c>
      <c r="C573" s="5" t="s">
        <v>22</v>
      </c>
      <c r="D573" s="3" t="str" cm="1">
        <f t="array" ref="D573">_xlfn.IFS(
 ISNUMBER(SEARCH("WHISK",C573)),"Whiskey",
 ISNUMBER(SEARCH("BOURBON",C573)),"Whiskey",
 ISNUMBER(SEARCH("SCOTCH",C573)),"Whiskey",
 ISNUMBER(SEARCH("RYE",C573)),"Whiskey",
 ISNUMBER(SEARCH("VODKA",C573)),"Vodka",
 ISNUMBER(SEARCH("TEQUILA",C573)),"Tequila/Mezcal",
 ISNUMBER(SEARCH("MEZCAL",C573)),"Tequila/Mezcal",
 ISNUMBER(SEARCH("RUM",C573)),"Rum",
 ISNUMBER(SEARCH("BRAND",C573)),"Brandy",
 ISNUMBER(SEARCH("COGNAC",C573)),"Brandy",
 ISNUMBER(SEARCH("LIQUEUR",C573)),"Liqueurs",
 ISNUMBER(SEARCH("CORDIAL",C573)),"Liqueurs",
 ISNUMBER(SEARCH("SCHNAPP",C573)),"Liqueurs",
 ISNUMBER(SEARCH("GIN",C573)),"Gin",
 TRUE,"Other")</f>
        <v>Liqueurs</v>
      </c>
      <c r="E573" s="5">
        <v>35310</v>
      </c>
      <c r="F573" s="5">
        <v>711850.1799999912</v>
      </c>
      <c r="G573" s="5">
        <v>30712.959999999763</v>
      </c>
      <c r="H573" s="5">
        <v>4670</v>
      </c>
    </row>
    <row r="574" spans="1:8">
      <c r="A574" s="5">
        <v>2024</v>
      </c>
      <c r="B574" s="6">
        <v>45292</v>
      </c>
      <c r="C574" s="5" t="s">
        <v>24</v>
      </c>
      <c r="D574" s="3" t="str" cm="1">
        <f t="array" ref="D574">_xlfn.IFS(
 ISNUMBER(SEARCH("WHISK",C574)),"Whiskey",
 ISNUMBER(SEARCH("BOURBON",C574)),"Whiskey",
 ISNUMBER(SEARCH("SCOTCH",C574)),"Whiskey",
 ISNUMBER(SEARCH("RYE",C574)),"Whiskey",
 ISNUMBER(SEARCH("VODKA",C574)),"Vodka",
 ISNUMBER(SEARCH("TEQUILA",C574)),"Tequila/Mezcal",
 ISNUMBER(SEARCH("MEZCAL",C574)),"Tequila/Mezcal",
 ISNUMBER(SEARCH("RUM",C574)),"Rum",
 ISNUMBER(SEARCH("BRAND",C574)),"Brandy",
 ISNUMBER(SEARCH("COGNAC",C574)),"Brandy",
 ISNUMBER(SEARCH("LIQUEUR",C574)),"Liqueurs",
 ISNUMBER(SEARCH("CORDIAL",C574)),"Liqueurs",
 ISNUMBER(SEARCH("SCHNAPP",C574)),"Liqueurs",
 ISNUMBER(SEARCH("GIN",C574)),"Gin",
 TRUE,"Other")</f>
        <v>Rum</v>
      </c>
      <c r="E574" s="5">
        <v>34457</v>
      </c>
      <c r="F574" s="5">
        <v>535790.43000000075</v>
      </c>
      <c r="G574" s="5">
        <v>32011.25999999994</v>
      </c>
      <c r="H574" s="5">
        <v>3785</v>
      </c>
    </row>
    <row r="575" spans="1:8">
      <c r="A575" s="5">
        <v>2024</v>
      </c>
      <c r="B575" s="6">
        <v>45292</v>
      </c>
      <c r="C575" s="5" t="s">
        <v>25</v>
      </c>
      <c r="D575" s="3" t="str" cm="1">
        <f t="array" ref="D575">_xlfn.IFS(
 ISNUMBER(SEARCH("WHISK",C575)),"Whiskey",
 ISNUMBER(SEARCH("BOURBON",C575)),"Whiskey",
 ISNUMBER(SEARCH("SCOTCH",C575)),"Whiskey",
 ISNUMBER(SEARCH("RYE",C575)),"Whiskey",
 ISNUMBER(SEARCH("VODKA",C575)),"Vodka",
 ISNUMBER(SEARCH("TEQUILA",C575)),"Tequila/Mezcal",
 ISNUMBER(SEARCH("MEZCAL",C575)),"Tequila/Mezcal",
 ISNUMBER(SEARCH("RUM",C575)),"Rum",
 ISNUMBER(SEARCH("BRAND",C575)),"Brandy",
 ISNUMBER(SEARCH("COGNAC",C575)),"Brandy",
 ISNUMBER(SEARCH("LIQUEUR",C575)),"Liqueurs",
 ISNUMBER(SEARCH("CORDIAL",C575)),"Liqueurs",
 ISNUMBER(SEARCH("SCHNAPP",C575)),"Liqueurs",
 ISNUMBER(SEARCH("GIN",C575)),"Gin",
 TRUE,"Other")</f>
        <v>Rum</v>
      </c>
      <c r="E575" s="5">
        <v>5849</v>
      </c>
      <c r="F575" s="5">
        <v>77725.129999999685</v>
      </c>
      <c r="G575" s="5">
        <v>6101.0400000000027</v>
      </c>
      <c r="H575" s="5">
        <v>901</v>
      </c>
    </row>
    <row r="576" spans="1:8">
      <c r="A576" s="5">
        <v>2024</v>
      </c>
      <c r="B576" s="6">
        <v>45292</v>
      </c>
      <c r="C576" s="5" t="s">
        <v>60</v>
      </c>
      <c r="D576" s="3" t="str" cm="1">
        <f t="array" ref="D576">_xlfn.IFS(
 ISNUMBER(SEARCH("WHISK",C576)),"Whiskey",
 ISNUMBER(SEARCH("BOURBON",C576)),"Whiskey",
 ISNUMBER(SEARCH("SCOTCH",C576)),"Whiskey",
 ISNUMBER(SEARCH("RYE",C576)),"Whiskey",
 ISNUMBER(SEARCH("VODKA",C576)),"Vodka",
 ISNUMBER(SEARCH("TEQUILA",C576)),"Tequila/Mezcal",
 ISNUMBER(SEARCH("MEZCAL",C576)),"Tequila/Mezcal",
 ISNUMBER(SEARCH("RUM",C576)),"Rum",
 ISNUMBER(SEARCH("BRAND",C576)),"Brandy",
 ISNUMBER(SEARCH("COGNAC",C576)),"Brandy",
 ISNUMBER(SEARCH("LIQUEUR",C576)),"Liqueurs",
 ISNUMBER(SEARCH("CORDIAL",C576)),"Liqueurs",
 ISNUMBER(SEARCH("SCHNAPP",C576)),"Liqueurs",
 ISNUMBER(SEARCH("GIN",C576)),"Gin",
 TRUE,"Other")</f>
        <v>Liqueurs</v>
      </c>
      <c r="E576" s="5">
        <v>41909</v>
      </c>
      <c r="F576" s="5">
        <v>988323.78000000818</v>
      </c>
      <c r="G576" s="5">
        <v>30619.299999999919</v>
      </c>
      <c r="H576" s="5">
        <v>4902</v>
      </c>
    </row>
    <row r="577" spans="1:8">
      <c r="A577" s="5">
        <v>2024</v>
      </c>
      <c r="B577" s="6">
        <v>45292</v>
      </c>
      <c r="C577" s="5" t="s">
        <v>33</v>
      </c>
      <c r="D577" s="3" t="str" cm="1">
        <f t="array" ref="D577">_xlfn.IFS(
 ISNUMBER(SEARCH("WHISK",C577)),"Whiskey",
 ISNUMBER(SEARCH("BOURBON",C577)),"Whiskey",
 ISNUMBER(SEARCH("SCOTCH",C577)),"Whiskey",
 ISNUMBER(SEARCH("RYE",C577)),"Whiskey",
 ISNUMBER(SEARCH("VODKA",C577)),"Vodka",
 ISNUMBER(SEARCH("TEQUILA",C577)),"Tequila/Mezcal",
 ISNUMBER(SEARCH("MEZCAL",C577)),"Tequila/Mezcal",
 ISNUMBER(SEARCH("RUM",C577)),"Rum",
 ISNUMBER(SEARCH("BRAND",C577)),"Brandy",
 ISNUMBER(SEARCH("COGNAC",C577)),"Brandy",
 ISNUMBER(SEARCH("LIQUEUR",C577)),"Liqueurs",
 ISNUMBER(SEARCH("CORDIAL",C577)),"Liqueurs",
 ISNUMBER(SEARCH("SCHNAPP",C577)),"Liqueurs",
 ISNUMBER(SEARCH("GIN",C577)),"Gin",
 TRUE,"Other")</f>
        <v>Whiskey</v>
      </c>
      <c r="E577" s="5">
        <v>30665</v>
      </c>
      <c r="F577" s="5">
        <v>864632.81999998807</v>
      </c>
      <c r="G577" s="5">
        <v>25916.219999999928</v>
      </c>
      <c r="H577" s="5">
        <v>2707</v>
      </c>
    </row>
    <row r="578" spans="1:8">
      <c r="A578" s="5">
        <v>2024</v>
      </c>
      <c r="B578" s="6">
        <v>45292</v>
      </c>
      <c r="C578" s="5" t="s">
        <v>39</v>
      </c>
      <c r="D578" s="3" t="str" cm="1">
        <f t="array" ref="D578">_xlfn.IFS(
 ISNUMBER(SEARCH("WHISK",C578)),"Whiskey",
 ISNUMBER(SEARCH("BOURBON",C578)),"Whiskey",
 ISNUMBER(SEARCH("SCOTCH",C578)),"Whiskey",
 ISNUMBER(SEARCH("RYE",C578)),"Whiskey",
 ISNUMBER(SEARCH("VODKA",C578)),"Vodka",
 ISNUMBER(SEARCH("TEQUILA",C578)),"Tequila/Mezcal",
 ISNUMBER(SEARCH("MEZCAL",C578)),"Tequila/Mezcal",
 ISNUMBER(SEARCH("RUM",C578)),"Rum",
 ISNUMBER(SEARCH("BRAND",C578)),"Brandy",
 ISNUMBER(SEARCH("COGNAC",C578)),"Brandy",
 ISNUMBER(SEARCH("LIQUEUR",C578)),"Liqueurs",
 ISNUMBER(SEARCH("CORDIAL",C578)),"Liqueurs",
 ISNUMBER(SEARCH("SCHNAPP",C578)),"Liqueurs",
 ISNUMBER(SEARCH("GIN",C578)),"Gin",
 TRUE,"Other")</f>
        <v>Whiskey</v>
      </c>
      <c r="E578" s="5">
        <v>4231</v>
      </c>
      <c r="F578" s="5">
        <v>173561.13999999998</v>
      </c>
      <c r="G578" s="5">
        <v>3173.25</v>
      </c>
      <c r="H578" s="5">
        <v>648</v>
      </c>
    </row>
    <row r="579" spans="1:8">
      <c r="A579" s="5">
        <v>2024</v>
      </c>
      <c r="B579" s="6">
        <v>45292</v>
      </c>
      <c r="C579" s="5" t="s">
        <v>45</v>
      </c>
      <c r="D579" s="3" t="str" cm="1">
        <f t="array" ref="D579">_xlfn.IFS(
 ISNUMBER(SEARCH("WHISK",C579)),"Whiskey",
 ISNUMBER(SEARCH("BOURBON",C579)),"Whiskey",
 ISNUMBER(SEARCH("SCOTCH",C579)),"Whiskey",
 ISNUMBER(SEARCH("RYE",C579)),"Whiskey",
 ISNUMBER(SEARCH("VODKA",C579)),"Vodka",
 ISNUMBER(SEARCH("TEQUILA",C579)),"Tequila/Mezcal",
 ISNUMBER(SEARCH("MEZCAL",C579)),"Tequila/Mezcal",
 ISNUMBER(SEARCH("RUM",C579)),"Rum",
 ISNUMBER(SEARCH("BRAND",C579)),"Brandy",
 ISNUMBER(SEARCH("COGNAC",C579)),"Brandy",
 ISNUMBER(SEARCH("LIQUEUR",C579)),"Liqueurs",
 ISNUMBER(SEARCH("CORDIAL",C579)),"Liqueurs",
 ISNUMBER(SEARCH("SCHNAPP",C579)),"Liqueurs",
 ISNUMBER(SEARCH("GIN",C579)),"Gin",
 TRUE,"Other")</f>
        <v>Other</v>
      </c>
      <c r="E579" s="5">
        <v>20984</v>
      </c>
      <c r="F579" s="5">
        <v>627816.96999999916</v>
      </c>
      <c r="G579" s="5">
        <v>15745.589999999953</v>
      </c>
      <c r="H579" s="5">
        <v>4301</v>
      </c>
    </row>
    <row r="580" spans="1:8">
      <c r="A580" s="5">
        <v>2024</v>
      </c>
      <c r="B580" s="6">
        <v>45292</v>
      </c>
      <c r="C580" s="5" t="s">
        <v>7</v>
      </c>
      <c r="D580" s="3" t="str" cm="1">
        <f t="array" ref="D580">_xlfn.IFS(
 ISNUMBER(SEARCH("WHISK",C580)),"Whiskey",
 ISNUMBER(SEARCH("BOURBON",C580)),"Whiskey",
 ISNUMBER(SEARCH("SCOTCH",C580)),"Whiskey",
 ISNUMBER(SEARCH("RYE",C580)),"Whiskey",
 ISNUMBER(SEARCH("VODKA",C580)),"Vodka",
 ISNUMBER(SEARCH("TEQUILA",C580)),"Tequila/Mezcal",
 ISNUMBER(SEARCH("MEZCAL",C580)),"Tequila/Mezcal",
 ISNUMBER(SEARCH("RUM",C580)),"Rum",
 ISNUMBER(SEARCH("BRAND",C580)),"Brandy",
 ISNUMBER(SEARCH("COGNAC",C580)),"Brandy",
 ISNUMBER(SEARCH("LIQUEUR",C580)),"Liqueurs",
 ISNUMBER(SEARCH("CORDIAL",C580)),"Liqueurs",
 ISNUMBER(SEARCH("SCHNAPP",C580)),"Liqueurs",
 ISNUMBER(SEARCH("GIN",C580)),"Gin",
 TRUE,"Other")</f>
        <v>Rum</v>
      </c>
      <c r="E580" s="5">
        <v>3041</v>
      </c>
      <c r="F580" s="5">
        <v>68174.850000000064</v>
      </c>
      <c r="G580" s="5">
        <v>2451</v>
      </c>
      <c r="H580" s="5">
        <v>614</v>
      </c>
    </row>
    <row r="581" spans="1:8">
      <c r="A581" s="5">
        <v>2024</v>
      </c>
      <c r="B581" s="6">
        <v>45292</v>
      </c>
      <c r="C581" s="5" t="s">
        <v>10</v>
      </c>
      <c r="D581" s="3" t="str" cm="1">
        <f t="array" ref="D581">_xlfn.IFS(
 ISNUMBER(SEARCH("WHISK",C581)),"Whiskey",
 ISNUMBER(SEARCH("BOURBON",C581)),"Whiskey",
 ISNUMBER(SEARCH("SCOTCH",C581)),"Whiskey",
 ISNUMBER(SEARCH("RYE",C581)),"Whiskey",
 ISNUMBER(SEARCH("VODKA",C581)),"Vodka",
 ISNUMBER(SEARCH("TEQUILA",C581)),"Tequila/Mezcal",
 ISNUMBER(SEARCH("MEZCAL",C581)),"Tequila/Mezcal",
 ISNUMBER(SEARCH("RUM",C581)),"Rum",
 ISNUMBER(SEARCH("BRAND",C581)),"Brandy",
 ISNUMBER(SEARCH("COGNAC",C581)),"Brandy",
 ISNUMBER(SEARCH("LIQUEUR",C581)),"Liqueurs",
 ISNUMBER(SEARCH("CORDIAL",C581)),"Liqueurs",
 ISNUMBER(SEARCH("SCHNAPP",C581)),"Liqueurs",
 ISNUMBER(SEARCH("GIN",C581)),"Gin",
 TRUE,"Other")</f>
        <v>Other</v>
      </c>
      <c r="E581" s="5">
        <v>6132</v>
      </c>
      <c r="F581" s="5">
        <v>126903.04000000008</v>
      </c>
      <c r="G581" s="5">
        <v>4554.9000000000005</v>
      </c>
      <c r="H581" s="5">
        <v>846</v>
      </c>
    </row>
    <row r="582" spans="1:8">
      <c r="A582" s="5">
        <v>2024</v>
      </c>
      <c r="B582" s="6">
        <v>45292</v>
      </c>
      <c r="C582" s="5" t="s">
        <v>11</v>
      </c>
      <c r="D582" s="3" t="str" cm="1">
        <f t="array" ref="D582">_xlfn.IFS(
 ISNUMBER(SEARCH("WHISK",C582)),"Whiskey",
 ISNUMBER(SEARCH("BOURBON",C582)),"Whiskey",
 ISNUMBER(SEARCH("SCOTCH",C582)),"Whiskey",
 ISNUMBER(SEARCH("RYE",C582)),"Whiskey",
 ISNUMBER(SEARCH("VODKA",C582)),"Vodka",
 ISNUMBER(SEARCH("TEQUILA",C582)),"Tequila/Mezcal",
 ISNUMBER(SEARCH("MEZCAL",C582)),"Tequila/Mezcal",
 ISNUMBER(SEARCH("RUM",C582)),"Rum",
 ISNUMBER(SEARCH("BRAND",C582)),"Brandy",
 ISNUMBER(SEARCH("COGNAC",C582)),"Brandy",
 ISNUMBER(SEARCH("LIQUEUR",C582)),"Liqueurs",
 ISNUMBER(SEARCH("CORDIAL",C582)),"Liqueurs",
 ISNUMBER(SEARCH("SCHNAPP",C582)),"Liqueurs",
 ISNUMBER(SEARCH("GIN",C582)),"Gin",
 TRUE,"Other")</f>
        <v>Gin</v>
      </c>
      <c r="E582" s="5">
        <v>26088</v>
      </c>
      <c r="F582" s="5">
        <v>236653.29000000126</v>
      </c>
      <c r="G582" s="5">
        <v>20590.679999999949</v>
      </c>
      <c r="H582" s="5">
        <v>2556</v>
      </c>
    </row>
    <row r="583" spans="1:8">
      <c r="A583" s="5">
        <v>2024</v>
      </c>
      <c r="B583" s="6">
        <v>45292</v>
      </c>
      <c r="C583" s="5" t="s">
        <v>17</v>
      </c>
      <c r="D583" s="3" t="str" cm="1">
        <f t="array" ref="D583">_xlfn.IFS(
 ISNUMBER(SEARCH("WHISK",C583)),"Whiskey",
 ISNUMBER(SEARCH("BOURBON",C583)),"Whiskey",
 ISNUMBER(SEARCH("SCOTCH",C583)),"Whiskey",
 ISNUMBER(SEARCH("RYE",C583)),"Whiskey",
 ISNUMBER(SEARCH("VODKA",C583)),"Vodka",
 ISNUMBER(SEARCH("TEQUILA",C583)),"Tequila/Mezcal",
 ISNUMBER(SEARCH("MEZCAL",C583)),"Tequila/Mezcal",
 ISNUMBER(SEARCH("RUM",C583)),"Rum",
 ISNUMBER(SEARCH("BRAND",C583)),"Brandy",
 ISNUMBER(SEARCH("COGNAC",C583)),"Brandy",
 ISNUMBER(SEARCH("LIQUEUR",C583)),"Liqueurs",
 ISNUMBER(SEARCH("CORDIAL",C583)),"Liqueurs",
 ISNUMBER(SEARCH("SCHNAPP",C583)),"Liqueurs",
 ISNUMBER(SEARCH("GIN",C583)),"Gin",
 TRUE,"Other")</f>
        <v>Whiskey</v>
      </c>
      <c r="E583" s="5">
        <v>2988</v>
      </c>
      <c r="F583" s="5">
        <v>88244.770000000193</v>
      </c>
      <c r="G583" s="5">
        <v>2549</v>
      </c>
      <c r="H583" s="5">
        <v>582</v>
      </c>
    </row>
    <row r="584" spans="1:8">
      <c r="A584" s="5">
        <v>2024</v>
      </c>
      <c r="B584" s="6">
        <v>45292</v>
      </c>
      <c r="C584" s="5" t="s">
        <v>23</v>
      </c>
      <c r="D584" s="3" t="str" cm="1">
        <f t="array" ref="D584">_xlfn.IFS(
 ISNUMBER(SEARCH("WHISK",C584)),"Whiskey",
 ISNUMBER(SEARCH("BOURBON",C584)),"Whiskey",
 ISNUMBER(SEARCH("SCOTCH",C584)),"Whiskey",
 ISNUMBER(SEARCH("RYE",C584)),"Whiskey",
 ISNUMBER(SEARCH("VODKA",C584)),"Vodka",
 ISNUMBER(SEARCH("TEQUILA",C584)),"Tequila/Mezcal",
 ISNUMBER(SEARCH("MEZCAL",C584)),"Tequila/Mezcal",
 ISNUMBER(SEARCH("RUM",C584)),"Rum",
 ISNUMBER(SEARCH("BRAND",C584)),"Brandy",
 ISNUMBER(SEARCH("COGNAC",C584)),"Brandy",
 ISNUMBER(SEARCH("LIQUEUR",C584)),"Liqueurs",
 ISNUMBER(SEARCH("CORDIAL",C584)),"Liqueurs",
 ISNUMBER(SEARCH("SCHNAPP",C584)),"Liqueurs",
 ISNUMBER(SEARCH("GIN",C584)),"Gin",
 TRUE,"Other")</f>
        <v>Gin</v>
      </c>
      <c r="E584" s="5">
        <v>2248</v>
      </c>
      <c r="F584" s="5">
        <v>57336.719999999994</v>
      </c>
      <c r="G584" s="5">
        <v>1695.25</v>
      </c>
      <c r="H584" s="5">
        <v>358</v>
      </c>
    </row>
    <row r="585" spans="1:8">
      <c r="A585" s="5">
        <v>2024</v>
      </c>
      <c r="B585" s="6">
        <v>45292</v>
      </c>
      <c r="C585" s="5" t="s">
        <v>26</v>
      </c>
      <c r="D585" s="3" t="str" cm="1">
        <f t="array" ref="D585">_xlfn.IFS(
 ISNUMBER(SEARCH("WHISK",C585)),"Whiskey",
 ISNUMBER(SEARCH("BOURBON",C585)),"Whiskey",
 ISNUMBER(SEARCH("SCOTCH",C585)),"Whiskey",
 ISNUMBER(SEARCH("RYE",C585)),"Whiskey",
 ISNUMBER(SEARCH("VODKA",C585)),"Vodka",
 ISNUMBER(SEARCH("TEQUILA",C585)),"Tequila/Mezcal",
 ISNUMBER(SEARCH("MEZCAL",C585)),"Tequila/Mezcal",
 ISNUMBER(SEARCH("RUM",C585)),"Rum",
 ISNUMBER(SEARCH("BRAND",C585)),"Brandy",
 ISNUMBER(SEARCH("COGNAC",C585)),"Brandy",
 ISNUMBER(SEARCH("LIQUEUR",C585)),"Liqueurs",
 ISNUMBER(SEARCH("CORDIAL",C585)),"Liqueurs",
 ISNUMBER(SEARCH("SCHNAPP",C585)),"Liqueurs",
 ISNUMBER(SEARCH("GIN",C585)),"Gin",
 TRUE,"Other")</f>
        <v>Brandy</v>
      </c>
      <c r="E585" s="5">
        <v>31742</v>
      </c>
      <c r="F585" s="5">
        <v>737768.09999999451</v>
      </c>
      <c r="G585" s="5">
        <v>15327.909999999996</v>
      </c>
      <c r="H585" s="5">
        <v>3185</v>
      </c>
    </row>
    <row r="586" spans="1:8">
      <c r="A586" s="5">
        <v>2024</v>
      </c>
      <c r="B586" s="6">
        <v>45292</v>
      </c>
      <c r="C586" s="5" t="s">
        <v>28</v>
      </c>
      <c r="D586" s="3" t="str" cm="1">
        <f t="array" ref="D586">_xlfn.IFS(
 ISNUMBER(SEARCH("WHISK",C586)),"Whiskey",
 ISNUMBER(SEARCH("BOURBON",C586)),"Whiskey",
 ISNUMBER(SEARCH("SCOTCH",C586)),"Whiskey",
 ISNUMBER(SEARCH("RYE",C586)),"Whiskey",
 ISNUMBER(SEARCH("VODKA",C586)),"Vodka",
 ISNUMBER(SEARCH("TEQUILA",C586)),"Tequila/Mezcal",
 ISNUMBER(SEARCH("MEZCAL",C586)),"Tequila/Mezcal",
 ISNUMBER(SEARCH("RUM",C586)),"Rum",
 ISNUMBER(SEARCH("BRAND",C586)),"Brandy",
 ISNUMBER(SEARCH("COGNAC",C586)),"Brandy",
 ISNUMBER(SEARCH("LIQUEUR",C586)),"Liqueurs",
 ISNUMBER(SEARCH("CORDIAL",C586)),"Liqueurs",
 ISNUMBER(SEARCH("SCHNAPP",C586)),"Liqueurs",
 ISNUMBER(SEARCH("GIN",C586)),"Gin",
 TRUE,"Other")</f>
        <v>Other</v>
      </c>
      <c r="E586" s="5">
        <v>24385</v>
      </c>
      <c r="F586" s="5">
        <v>194635.82999999964</v>
      </c>
      <c r="G586" s="5">
        <v>21288.880000000012</v>
      </c>
      <c r="H586" s="5">
        <v>633</v>
      </c>
    </row>
    <row r="587" spans="1:8">
      <c r="A587" s="5">
        <v>2024</v>
      </c>
      <c r="B587" s="6">
        <v>45292</v>
      </c>
      <c r="C587" s="5" t="s">
        <v>29</v>
      </c>
      <c r="D587" s="3" t="str" cm="1">
        <f t="array" ref="D587">_xlfn.IFS(
 ISNUMBER(SEARCH("WHISK",C587)),"Whiskey",
 ISNUMBER(SEARCH("BOURBON",C587)),"Whiskey",
 ISNUMBER(SEARCH("SCOTCH",C587)),"Whiskey",
 ISNUMBER(SEARCH("RYE",C587)),"Whiskey",
 ISNUMBER(SEARCH("VODKA",C587)),"Vodka",
 ISNUMBER(SEARCH("TEQUILA",C587)),"Tequila/Mezcal",
 ISNUMBER(SEARCH("MEZCAL",C587)),"Tequila/Mezcal",
 ISNUMBER(SEARCH("RUM",C587)),"Rum",
 ISNUMBER(SEARCH("BRAND",C587)),"Brandy",
 ISNUMBER(SEARCH("COGNAC",C587)),"Brandy",
 ISNUMBER(SEARCH("LIQUEUR",C587)),"Liqueurs",
 ISNUMBER(SEARCH("CORDIAL",C587)),"Liqueurs",
 ISNUMBER(SEARCH("SCHNAPP",C587)),"Liqueurs",
 ISNUMBER(SEARCH("GIN",C587)),"Gin",
 TRUE,"Other")</f>
        <v>Gin</v>
      </c>
      <c r="E587" s="5">
        <v>13362</v>
      </c>
      <c r="F587" s="5">
        <v>339760.27000000025</v>
      </c>
      <c r="G587" s="5">
        <v>12740.740000000003</v>
      </c>
      <c r="H587" s="5">
        <v>1791</v>
      </c>
    </row>
    <row r="588" spans="1:8">
      <c r="A588" s="5">
        <v>2024</v>
      </c>
      <c r="B588" s="6">
        <v>45292</v>
      </c>
      <c r="C588" s="5" t="s">
        <v>30</v>
      </c>
      <c r="D588" s="3" t="str" cm="1">
        <f t="array" ref="D588">_xlfn.IFS(
 ISNUMBER(SEARCH("WHISK",C588)),"Whiskey",
 ISNUMBER(SEARCH("BOURBON",C588)),"Whiskey",
 ISNUMBER(SEARCH("SCOTCH",C588)),"Whiskey",
 ISNUMBER(SEARCH("RYE",C588)),"Whiskey",
 ISNUMBER(SEARCH("VODKA",C588)),"Vodka",
 ISNUMBER(SEARCH("TEQUILA",C588)),"Tequila/Mezcal",
 ISNUMBER(SEARCH("MEZCAL",C588)),"Tequila/Mezcal",
 ISNUMBER(SEARCH("RUM",C588)),"Rum",
 ISNUMBER(SEARCH("BRAND",C588)),"Brandy",
 ISNUMBER(SEARCH("COGNAC",C588)),"Brandy",
 ISNUMBER(SEARCH("LIQUEUR",C588)),"Liqueurs",
 ISNUMBER(SEARCH("CORDIAL",C588)),"Liqueurs",
 ISNUMBER(SEARCH("SCHNAPP",C588)),"Liqueurs",
 ISNUMBER(SEARCH("GIN",C588)),"Gin",
 TRUE,"Other")</f>
        <v>Vodka</v>
      </c>
      <c r="E588" s="5">
        <v>17024</v>
      </c>
      <c r="F588" s="5">
        <v>294870.74000000104</v>
      </c>
      <c r="G588" s="5">
        <v>13341.730000000005</v>
      </c>
      <c r="H588" s="5">
        <v>2272</v>
      </c>
    </row>
    <row r="589" spans="1:8">
      <c r="A589" s="5">
        <v>2024</v>
      </c>
      <c r="B589" s="6">
        <v>45292</v>
      </c>
      <c r="C589" s="5" t="s">
        <v>40</v>
      </c>
      <c r="D589" s="3" t="str" cm="1">
        <f t="array" ref="D589">_xlfn.IFS(
 ISNUMBER(SEARCH("WHISK",C589)),"Whiskey",
 ISNUMBER(SEARCH("BOURBON",C589)),"Whiskey",
 ISNUMBER(SEARCH("SCOTCH",C589)),"Whiskey",
 ISNUMBER(SEARCH("RYE",C589)),"Whiskey",
 ISNUMBER(SEARCH("VODKA",C589)),"Vodka",
 ISNUMBER(SEARCH("TEQUILA",C589)),"Tequila/Mezcal",
 ISNUMBER(SEARCH("MEZCAL",C589)),"Tequila/Mezcal",
 ISNUMBER(SEARCH("RUM",C589)),"Rum",
 ISNUMBER(SEARCH("BRAND",C589)),"Brandy",
 ISNUMBER(SEARCH("COGNAC",C589)),"Brandy",
 ISNUMBER(SEARCH("LIQUEUR",C589)),"Liqueurs",
 ISNUMBER(SEARCH("CORDIAL",C589)),"Liqueurs",
 ISNUMBER(SEARCH("SCHNAPP",C589)),"Liqueurs",
 ISNUMBER(SEARCH("GIN",C589)),"Gin",
 TRUE,"Other")</f>
        <v>Whiskey</v>
      </c>
      <c r="E589" s="5">
        <v>4958</v>
      </c>
      <c r="F589" s="5">
        <v>303517.27999999898</v>
      </c>
      <c r="G589" s="5">
        <v>3851.6499999999996</v>
      </c>
      <c r="H589" s="5">
        <v>1411</v>
      </c>
    </row>
    <row r="590" spans="1:8">
      <c r="A590" s="5">
        <v>2024</v>
      </c>
      <c r="B590" s="6">
        <v>45292</v>
      </c>
      <c r="C590" s="5" t="s">
        <v>44</v>
      </c>
      <c r="D590" s="3" t="str" cm="1">
        <f t="array" ref="D590">_xlfn.IFS(
 ISNUMBER(SEARCH("WHISK",C590)),"Whiskey",
 ISNUMBER(SEARCH("BOURBON",C590)),"Whiskey",
 ISNUMBER(SEARCH("SCOTCH",C590)),"Whiskey",
 ISNUMBER(SEARCH("RYE",C590)),"Whiskey",
 ISNUMBER(SEARCH("VODKA",C590)),"Vodka",
 ISNUMBER(SEARCH("TEQUILA",C590)),"Tequila/Mezcal",
 ISNUMBER(SEARCH("MEZCAL",C590)),"Tequila/Mezcal",
 ISNUMBER(SEARCH("RUM",C590)),"Rum",
 ISNUMBER(SEARCH("BRAND",C590)),"Brandy",
 ISNUMBER(SEARCH("COGNAC",C590)),"Brandy",
 ISNUMBER(SEARCH("LIQUEUR",C590)),"Liqueurs",
 ISNUMBER(SEARCH("CORDIAL",C590)),"Liqueurs",
 ISNUMBER(SEARCH("SCHNAPP",C590)),"Liqueurs",
 ISNUMBER(SEARCH("GIN",C590)),"Gin",
 TRUE,"Other")</f>
        <v>Whiskey</v>
      </c>
      <c r="E590" s="5">
        <v>9959</v>
      </c>
      <c r="F590" s="5">
        <v>319821.16999999969</v>
      </c>
      <c r="G590" s="5">
        <v>7675.24</v>
      </c>
      <c r="H590" s="5">
        <v>1845</v>
      </c>
    </row>
    <row r="591" spans="1:8">
      <c r="A591" s="5">
        <v>2024</v>
      </c>
      <c r="B591" s="6">
        <v>45292</v>
      </c>
      <c r="C591" s="5" t="s">
        <v>47</v>
      </c>
      <c r="D591" s="3" t="str" cm="1">
        <f t="array" ref="D591">_xlfn.IFS(
 ISNUMBER(SEARCH("WHISK",C591)),"Whiskey",
 ISNUMBER(SEARCH("BOURBON",C591)),"Whiskey",
 ISNUMBER(SEARCH("SCOTCH",C591)),"Whiskey",
 ISNUMBER(SEARCH("RYE",C591)),"Whiskey",
 ISNUMBER(SEARCH("VODKA",C591)),"Vodka",
 ISNUMBER(SEARCH("TEQUILA",C591)),"Tequila/Mezcal",
 ISNUMBER(SEARCH("MEZCAL",C591)),"Tequila/Mezcal",
 ISNUMBER(SEARCH("RUM",C591)),"Rum",
 ISNUMBER(SEARCH("BRAND",C591)),"Brandy",
 ISNUMBER(SEARCH("COGNAC",C591)),"Brandy",
 ISNUMBER(SEARCH("LIQUEUR",C591)),"Liqueurs",
 ISNUMBER(SEARCH("CORDIAL",C591)),"Liqueurs",
 ISNUMBER(SEARCH("SCHNAPP",C591)),"Liqueurs",
 ISNUMBER(SEARCH("GIN",C591)),"Gin",
 TRUE,"Other")</f>
        <v>Other</v>
      </c>
      <c r="E591" s="5">
        <v>13247</v>
      </c>
      <c r="F591" s="5">
        <v>54436.620000000032</v>
      </c>
      <c r="G591" s="5">
        <v>13043.5</v>
      </c>
      <c r="H591" s="5">
        <v>622</v>
      </c>
    </row>
    <row r="592" spans="1:8">
      <c r="A592" s="5">
        <v>2024</v>
      </c>
      <c r="B592" s="6">
        <v>45292</v>
      </c>
      <c r="C592" s="5" t="s">
        <v>36</v>
      </c>
      <c r="D592" s="3" t="str" cm="1">
        <f t="array" ref="D592">_xlfn.IFS(
 ISNUMBER(SEARCH("WHISK",C592)),"Whiskey",
 ISNUMBER(SEARCH("BOURBON",C592)),"Whiskey",
 ISNUMBER(SEARCH("SCOTCH",C592)),"Whiskey",
 ISNUMBER(SEARCH("RYE",C592)),"Whiskey",
 ISNUMBER(SEARCH("VODKA",C592)),"Vodka",
 ISNUMBER(SEARCH("TEQUILA",C592)),"Tequila/Mezcal",
 ISNUMBER(SEARCH("MEZCAL",C592)),"Tequila/Mezcal",
 ISNUMBER(SEARCH("RUM",C592)),"Rum",
 ISNUMBER(SEARCH("BRAND",C592)),"Brandy",
 ISNUMBER(SEARCH("COGNAC",C592)),"Brandy",
 ISNUMBER(SEARCH("LIQUEUR",C592)),"Liqueurs",
 ISNUMBER(SEARCH("CORDIAL",C592)),"Liqueurs",
 ISNUMBER(SEARCH("SCHNAPP",C592)),"Liqueurs",
 ISNUMBER(SEARCH("GIN",C592)),"Gin",
 TRUE,"Other")</f>
        <v>Other</v>
      </c>
      <c r="E592" s="5">
        <v>2547</v>
      </c>
      <c r="F592" s="5">
        <v>36883.779999999992</v>
      </c>
      <c r="G592" s="5">
        <v>1995.0499999999995</v>
      </c>
      <c r="H592" s="5">
        <v>347</v>
      </c>
    </row>
    <row r="593" spans="1:8">
      <c r="A593" s="5">
        <v>2024</v>
      </c>
      <c r="B593" s="6">
        <v>45292</v>
      </c>
      <c r="C593" s="5" t="s">
        <v>34</v>
      </c>
      <c r="D593" s="3" t="str" cm="1">
        <f t="array" ref="D593">_xlfn.IFS(
 ISNUMBER(SEARCH("WHISK",C593)),"Whiskey",
 ISNUMBER(SEARCH("BOURBON",C593)),"Whiskey",
 ISNUMBER(SEARCH("SCOTCH",C593)),"Whiskey",
 ISNUMBER(SEARCH("RYE",C593)),"Whiskey",
 ISNUMBER(SEARCH("VODKA",C593)),"Vodka",
 ISNUMBER(SEARCH("TEQUILA",C593)),"Tequila/Mezcal",
 ISNUMBER(SEARCH("MEZCAL",C593)),"Tequila/Mezcal",
 ISNUMBER(SEARCH("RUM",C593)),"Rum",
 ISNUMBER(SEARCH("BRAND",C593)),"Brandy",
 ISNUMBER(SEARCH("COGNAC",C593)),"Brandy",
 ISNUMBER(SEARCH("LIQUEUR",C593)),"Liqueurs",
 ISNUMBER(SEARCH("CORDIAL",C593)),"Liqueurs",
 ISNUMBER(SEARCH("SCHNAPP",C593)),"Liqueurs",
 ISNUMBER(SEARCH("GIN",C593)),"Gin",
 TRUE,"Other")</f>
        <v>Tequila/Mezcal</v>
      </c>
      <c r="E593" s="5">
        <v>951</v>
      </c>
      <c r="F593" s="5">
        <v>30048.209999999974</v>
      </c>
      <c r="G593" s="5">
        <v>714.75</v>
      </c>
      <c r="H593" s="5">
        <v>196</v>
      </c>
    </row>
    <row r="594" spans="1:8">
      <c r="A594" s="5">
        <v>2024</v>
      </c>
      <c r="B594" s="6">
        <v>45292</v>
      </c>
      <c r="C594" s="5" t="s">
        <v>14</v>
      </c>
      <c r="D594" s="3" t="str" cm="1">
        <f t="array" ref="D594">_xlfn.IFS(
 ISNUMBER(SEARCH("WHISK",C594)),"Whiskey",
 ISNUMBER(SEARCH("BOURBON",C594)),"Whiskey",
 ISNUMBER(SEARCH("SCOTCH",C594)),"Whiskey",
 ISNUMBER(SEARCH("RYE",C594)),"Whiskey",
 ISNUMBER(SEARCH("VODKA",C594)),"Vodka",
 ISNUMBER(SEARCH("TEQUILA",C594)),"Tequila/Mezcal",
 ISNUMBER(SEARCH("MEZCAL",C594)),"Tequila/Mezcal",
 ISNUMBER(SEARCH("RUM",C594)),"Rum",
 ISNUMBER(SEARCH("BRAND",C594)),"Brandy",
 ISNUMBER(SEARCH("COGNAC",C594)),"Brandy",
 ISNUMBER(SEARCH("LIQUEUR",C594)),"Liqueurs",
 ISNUMBER(SEARCH("CORDIAL",C594)),"Liqueurs",
 ISNUMBER(SEARCH("SCHNAPP",C594)),"Liqueurs",
 ISNUMBER(SEARCH("GIN",C594)),"Gin",
 TRUE,"Other")</f>
        <v>Gin</v>
      </c>
      <c r="E594" s="5">
        <v>256</v>
      </c>
      <c r="F594" s="5">
        <v>2087.7899999999991</v>
      </c>
      <c r="G594" s="5">
        <v>242.25</v>
      </c>
      <c r="H594" s="5">
        <v>50</v>
      </c>
    </row>
    <row r="595" spans="1:8">
      <c r="A595" s="5">
        <v>2024</v>
      </c>
      <c r="B595" s="6">
        <v>45292</v>
      </c>
      <c r="C595" s="5" t="s">
        <v>21</v>
      </c>
      <c r="D595" s="3" t="str" cm="1">
        <f t="array" ref="D595">_xlfn.IFS(
 ISNUMBER(SEARCH("WHISK",C595)),"Whiskey",
 ISNUMBER(SEARCH("BOURBON",C595)),"Whiskey",
 ISNUMBER(SEARCH("SCOTCH",C595)),"Whiskey",
 ISNUMBER(SEARCH("RYE",C595)),"Whiskey",
 ISNUMBER(SEARCH("VODKA",C595)),"Vodka",
 ISNUMBER(SEARCH("TEQUILA",C595)),"Tequila/Mezcal",
 ISNUMBER(SEARCH("MEZCAL",C595)),"Tequila/Mezcal",
 ISNUMBER(SEARCH("RUM",C595)),"Rum",
 ISNUMBER(SEARCH("BRAND",C595)),"Brandy",
 ISNUMBER(SEARCH("COGNAC",C595)),"Brandy",
 ISNUMBER(SEARCH("LIQUEUR",C595)),"Liqueurs",
 ISNUMBER(SEARCH("CORDIAL",C595)),"Liqueurs",
 ISNUMBER(SEARCH("SCHNAPP",C595)),"Liqueurs",
 ISNUMBER(SEARCH("GIN",C595)),"Gin",
 TRUE,"Other")</f>
        <v>Whiskey</v>
      </c>
      <c r="E595" s="5">
        <v>487</v>
      </c>
      <c r="F595" s="5">
        <v>10679.439999999999</v>
      </c>
      <c r="G595" s="5">
        <v>328.84000000000003</v>
      </c>
      <c r="H595" s="5">
        <v>100</v>
      </c>
    </row>
    <row r="596" spans="1:8">
      <c r="A596" s="5">
        <v>2024</v>
      </c>
      <c r="B596" s="6">
        <v>45292</v>
      </c>
      <c r="C596" s="5" t="s">
        <v>41</v>
      </c>
      <c r="D596" s="3" t="str" cm="1">
        <f t="array" ref="D596">_xlfn.IFS(
 ISNUMBER(SEARCH("WHISK",C596)),"Whiskey",
 ISNUMBER(SEARCH("BOURBON",C596)),"Whiskey",
 ISNUMBER(SEARCH("SCOTCH",C596)),"Whiskey",
 ISNUMBER(SEARCH("RYE",C596)),"Whiskey",
 ISNUMBER(SEARCH("VODKA",C596)),"Vodka",
 ISNUMBER(SEARCH("TEQUILA",C596)),"Tequila/Mezcal",
 ISNUMBER(SEARCH("MEZCAL",C596)),"Tequila/Mezcal",
 ISNUMBER(SEARCH("RUM",C596)),"Rum",
 ISNUMBER(SEARCH("BRAND",C596)),"Brandy",
 ISNUMBER(SEARCH("COGNAC",C596)),"Brandy",
 ISNUMBER(SEARCH("LIQUEUR",C596)),"Liqueurs",
 ISNUMBER(SEARCH("CORDIAL",C596)),"Liqueurs",
 ISNUMBER(SEARCH("SCHNAPP",C596)),"Liqueurs",
 ISNUMBER(SEARCH("GIN",C596)),"Gin",
 TRUE,"Other")</f>
        <v>Other</v>
      </c>
      <c r="E596" s="5">
        <v>13269</v>
      </c>
      <c r="F596" s="5">
        <v>160784.94999999998</v>
      </c>
      <c r="G596" s="5">
        <v>20493.949999999986</v>
      </c>
      <c r="H596" s="5">
        <v>197</v>
      </c>
    </row>
    <row r="597" spans="1:8">
      <c r="A597" s="5">
        <v>2024</v>
      </c>
      <c r="B597" s="6">
        <v>45323</v>
      </c>
      <c r="C597" s="5" t="s">
        <v>50</v>
      </c>
      <c r="D597" s="3" t="str" cm="1">
        <f t="array" ref="D597">_xlfn.IFS(
 ISNUMBER(SEARCH("WHISK",C597)),"Whiskey",
 ISNUMBER(SEARCH("BOURBON",C597)),"Whiskey",
 ISNUMBER(SEARCH("SCOTCH",C597)),"Whiskey",
 ISNUMBER(SEARCH("RYE",C597)),"Whiskey",
 ISNUMBER(SEARCH("VODKA",C597)),"Vodka",
 ISNUMBER(SEARCH("TEQUILA",C597)),"Tequila/Mezcal",
 ISNUMBER(SEARCH("MEZCAL",C597)),"Tequila/Mezcal",
 ISNUMBER(SEARCH("RUM",C597)),"Rum",
 ISNUMBER(SEARCH("BRAND",C597)),"Brandy",
 ISNUMBER(SEARCH("COGNAC",C597)),"Brandy",
 ISNUMBER(SEARCH("LIQUEUR",C597)),"Liqueurs",
 ISNUMBER(SEARCH("CORDIAL",C597)),"Liqueurs",
 ISNUMBER(SEARCH("SCHNAPP",C597)),"Liqueurs",
 ISNUMBER(SEARCH("GIN",C597)),"Gin",
 TRUE,"Other")</f>
        <v>Tequila/Mezcal</v>
      </c>
      <c r="E597" s="5">
        <v>89284</v>
      </c>
      <c r="F597" s="5">
        <v>2629686.2799999723</v>
      </c>
      <c r="G597" s="5">
        <v>61956.070000000458</v>
      </c>
      <c r="H597" s="5">
        <v>10506</v>
      </c>
    </row>
    <row r="598" spans="1:8">
      <c r="A598" s="5">
        <v>2024</v>
      </c>
      <c r="B598" s="6">
        <v>45323</v>
      </c>
      <c r="C598" s="5" t="s">
        <v>7</v>
      </c>
      <c r="D598" s="3" t="str" cm="1">
        <f t="array" ref="D598">_xlfn.IFS(
 ISNUMBER(SEARCH("WHISK",C598)),"Whiskey",
 ISNUMBER(SEARCH("BOURBON",C598)),"Whiskey",
 ISNUMBER(SEARCH("SCOTCH",C598)),"Whiskey",
 ISNUMBER(SEARCH("RYE",C598)),"Whiskey",
 ISNUMBER(SEARCH("VODKA",C598)),"Vodka",
 ISNUMBER(SEARCH("TEQUILA",C598)),"Tequila/Mezcal",
 ISNUMBER(SEARCH("MEZCAL",C598)),"Tequila/Mezcal",
 ISNUMBER(SEARCH("RUM",C598)),"Rum",
 ISNUMBER(SEARCH("BRAND",C598)),"Brandy",
 ISNUMBER(SEARCH("COGNAC",C598)),"Brandy",
 ISNUMBER(SEARCH("LIQUEUR",C598)),"Liqueurs",
 ISNUMBER(SEARCH("CORDIAL",C598)),"Liqueurs",
 ISNUMBER(SEARCH("SCHNAPP",C598)),"Liqueurs",
 ISNUMBER(SEARCH("GIN",C598)),"Gin",
 TRUE,"Other")</f>
        <v>Rum</v>
      </c>
      <c r="E598" s="5">
        <v>3704</v>
      </c>
      <c r="F598" s="5">
        <v>82089.550000000032</v>
      </c>
      <c r="G598" s="5">
        <v>2975.2</v>
      </c>
      <c r="H598" s="5">
        <v>617</v>
      </c>
    </row>
    <row r="599" spans="1:8">
      <c r="A599" s="5">
        <v>2024</v>
      </c>
      <c r="B599" s="6">
        <v>45323</v>
      </c>
      <c r="C599" s="5" t="s">
        <v>8</v>
      </c>
      <c r="D599" s="3" t="str" cm="1">
        <f t="array" ref="D599">_xlfn.IFS(
 ISNUMBER(SEARCH("WHISK",C599)),"Whiskey",
 ISNUMBER(SEARCH("BOURBON",C599)),"Whiskey",
 ISNUMBER(SEARCH("SCOTCH",C599)),"Whiskey",
 ISNUMBER(SEARCH("RYE",C599)),"Whiskey",
 ISNUMBER(SEARCH("VODKA",C599)),"Vodka",
 ISNUMBER(SEARCH("TEQUILA",C599)),"Tequila/Mezcal",
 ISNUMBER(SEARCH("MEZCAL",C599)),"Tequila/Mezcal",
 ISNUMBER(SEARCH("RUM",C599)),"Rum",
 ISNUMBER(SEARCH("BRAND",C599)),"Brandy",
 ISNUMBER(SEARCH("COGNAC",C599)),"Brandy",
 ISNUMBER(SEARCH("LIQUEUR",C599)),"Liqueurs",
 ISNUMBER(SEARCH("CORDIAL",C599)),"Liqueurs",
 ISNUMBER(SEARCH("SCHNAPP",C599)),"Liqueurs",
 ISNUMBER(SEARCH("GIN",C599)),"Gin",
 TRUE,"Other")</f>
        <v>Brandy</v>
      </c>
      <c r="E599" s="5">
        <v>55677</v>
      </c>
      <c r="F599" s="5">
        <v>362700.6200000004</v>
      </c>
      <c r="G599" s="5">
        <v>28140.459999999672</v>
      </c>
      <c r="H599" s="5">
        <v>4515</v>
      </c>
    </row>
    <row r="600" spans="1:8">
      <c r="A600" s="5">
        <v>2024</v>
      </c>
      <c r="B600" s="6">
        <v>45323</v>
      </c>
      <c r="C600" s="5" t="s">
        <v>59</v>
      </c>
      <c r="D600" s="3" t="str" cm="1">
        <f t="array" ref="D600">_xlfn.IFS(
 ISNUMBER(SEARCH("WHISK",C600)),"Whiskey",
 ISNUMBER(SEARCH("BOURBON",C600)),"Whiskey",
 ISNUMBER(SEARCH("SCOTCH",C600)),"Whiskey",
 ISNUMBER(SEARCH("RYE",C600)),"Whiskey",
 ISNUMBER(SEARCH("VODKA",C600)),"Vodka",
 ISNUMBER(SEARCH("TEQUILA",C600)),"Tequila/Mezcal",
 ISNUMBER(SEARCH("MEZCAL",C600)),"Tequila/Mezcal",
 ISNUMBER(SEARCH("RUM",C600)),"Rum",
 ISNUMBER(SEARCH("BRAND",C600)),"Brandy",
 ISNUMBER(SEARCH("COGNAC",C600)),"Brandy",
 ISNUMBER(SEARCH("LIQUEUR",C600)),"Liqueurs",
 ISNUMBER(SEARCH("CORDIAL",C600)),"Liqueurs",
 ISNUMBER(SEARCH("SCHNAPP",C600)),"Liqueurs",
 ISNUMBER(SEARCH("GIN",C600)),"Gin",
 TRUE,"Other")</f>
        <v>Liqueurs</v>
      </c>
      <c r="E600" s="5">
        <v>28155</v>
      </c>
      <c r="F600" s="5">
        <v>320010.67000000126</v>
      </c>
      <c r="G600" s="5">
        <v>13058.959999999744</v>
      </c>
      <c r="H600" s="5">
        <v>4370</v>
      </c>
    </row>
    <row r="601" spans="1:8">
      <c r="A601" s="5">
        <v>2024</v>
      </c>
      <c r="B601" s="6">
        <v>45323</v>
      </c>
      <c r="C601" s="5" t="s">
        <v>10</v>
      </c>
      <c r="D601" s="3" t="str" cm="1">
        <f t="array" ref="D601">_xlfn.IFS(
 ISNUMBER(SEARCH("WHISK",C601)),"Whiskey",
 ISNUMBER(SEARCH("BOURBON",C601)),"Whiskey",
 ISNUMBER(SEARCH("SCOTCH",C601)),"Whiskey",
 ISNUMBER(SEARCH("RYE",C601)),"Whiskey",
 ISNUMBER(SEARCH("VODKA",C601)),"Vodka",
 ISNUMBER(SEARCH("TEQUILA",C601)),"Tequila/Mezcal",
 ISNUMBER(SEARCH("MEZCAL",C601)),"Tequila/Mezcal",
 ISNUMBER(SEARCH("RUM",C601)),"Rum",
 ISNUMBER(SEARCH("BRAND",C601)),"Brandy",
 ISNUMBER(SEARCH("COGNAC",C601)),"Brandy",
 ISNUMBER(SEARCH("LIQUEUR",C601)),"Liqueurs",
 ISNUMBER(SEARCH("CORDIAL",C601)),"Liqueurs",
 ISNUMBER(SEARCH("SCHNAPP",C601)),"Liqueurs",
 ISNUMBER(SEARCH("GIN",C601)),"Gin",
 TRUE,"Other")</f>
        <v>Other</v>
      </c>
      <c r="E601" s="5">
        <v>5707</v>
      </c>
      <c r="F601" s="5">
        <v>116815.58000000006</v>
      </c>
      <c r="G601" s="5">
        <v>4237.05</v>
      </c>
      <c r="H601" s="5">
        <v>725</v>
      </c>
    </row>
    <row r="602" spans="1:8">
      <c r="A602" s="5">
        <v>2024</v>
      </c>
      <c r="B602" s="6">
        <v>45323</v>
      </c>
      <c r="C602" s="5" t="s">
        <v>11</v>
      </c>
      <c r="D602" s="3" t="str" cm="1">
        <f t="array" ref="D602">_xlfn.IFS(
 ISNUMBER(SEARCH("WHISK",C602)),"Whiskey",
 ISNUMBER(SEARCH("BOURBON",C602)),"Whiskey",
 ISNUMBER(SEARCH("SCOTCH",C602)),"Whiskey",
 ISNUMBER(SEARCH("RYE",C602)),"Whiskey",
 ISNUMBER(SEARCH("VODKA",C602)),"Vodka",
 ISNUMBER(SEARCH("TEQUILA",C602)),"Tequila/Mezcal",
 ISNUMBER(SEARCH("MEZCAL",C602)),"Tequila/Mezcal",
 ISNUMBER(SEARCH("RUM",C602)),"Rum",
 ISNUMBER(SEARCH("BRAND",C602)),"Brandy",
 ISNUMBER(SEARCH("COGNAC",C602)),"Brandy",
 ISNUMBER(SEARCH("LIQUEUR",C602)),"Liqueurs",
 ISNUMBER(SEARCH("CORDIAL",C602)),"Liqueurs",
 ISNUMBER(SEARCH("SCHNAPP",C602)),"Liqueurs",
 ISNUMBER(SEARCH("GIN",C602)),"Gin",
 TRUE,"Other")</f>
        <v>Gin</v>
      </c>
      <c r="E602" s="5">
        <v>27465</v>
      </c>
      <c r="F602" s="5">
        <v>244189.91000000085</v>
      </c>
      <c r="G602" s="5">
        <v>22204.34999999994</v>
      </c>
      <c r="H602" s="5">
        <v>2509</v>
      </c>
    </row>
    <row r="603" spans="1:8">
      <c r="A603" s="5">
        <v>2024</v>
      </c>
      <c r="B603" s="6">
        <v>45323</v>
      </c>
      <c r="C603" s="5" t="s">
        <v>12</v>
      </c>
      <c r="D603" s="3" t="str" cm="1">
        <f t="array" ref="D603">_xlfn.IFS(
 ISNUMBER(SEARCH("WHISK",C603)),"Whiskey",
 ISNUMBER(SEARCH("BOURBON",C603)),"Whiskey",
 ISNUMBER(SEARCH("SCOTCH",C603)),"Whiskey",
 ISNUMBER(SEARCH("RYE",C603)),"Whiskey",
 ISNUMBER(SEARCH("VODKA",C603)),"Vodka",
 ISNUMBER(SEARCH("TEQUILA",C603)),"Tequila/Mezcal",
 ISNUMBER(SEARCH("MEZCAL",C603)),"Tequila/Mezcal",
 ISNUMBER(SEARCH("RUM",C603)),"Rum",
 ISNUMBER(SEARCH("BRAND",C603)),"Brandy",
 ISNUMBER(SEARCH("COGNAC",C603)),"Brandy",
 ISNUMBER(SEARCH("LIQUEUR",C603)),"Liqueurs",
 ISNUMBER(SEARCH("CORDIAL",C603)),"Liqueurs",
 ISNUMBER(SEARCH("SCHNAPP",C603)),"Liqueurs",
 ISNUMBER(SEARCH("GIN",C603)),"Gin",
 TRUE,"Other")</f>
        <v>Vodka</v>
      </c>
      <c r="E603" s="5">
        <v>79704</v>
      </c>
      <c r="F603" s="5">
        <v>889300.20000003558</v>
      </c>
      <c r="G603" s="5">
        <v>56129.56000000015</v>
      </c>
      <c r="H603" s="5">
        <v>9407</v>
      </c>
    </row>
    <row r="604" spans="1:8">
      <c r="A604" s="5">
        <v>2024</v>
      </c>
      <c r="B604" s="6">
        <v>45323</v>
      </c>
      <c r="C604" s="5" t="s">
        <v>13</v>
      </c>
      <c r="D604" s="3" t="str" cm="1">
        <f t="array" ref="D604">_xlfn.IFS(
 ISNUMBER(SEARCH("WHISK",C604)),"Whiskey",
 ISNUMBER(SEARCH("BOURBON",C604)),"Whiskey",
 ISNUMBER(SEARCH("SCOTCH",C604)),"Whiskey",
 ISNUMBER(SEARCH("RYE",C604)),"Whiskey",
 ISNUMBER(SEARCH("VODKA",C604)),"Vodka",
 ISNUMBER(SEARCH("TEQUILA",C604)),"Tequila/Mezcal",
 ISNUMBER(SEARCH("MEZCAL",C604)),"Tequila/Mezcal",
 ISNUMBER(SEARCH("RUM",C604)),"Rum",
 ISNUMBER(SEARCH("BRAND",C604)),"Brandy",
 ISNUMBER(SEARCH("COGNAC",C604)),"Brandy",
 ISNUMBER(SEARCH("LIQUEUR",C604)),"Liqueurs",
 ISNUMBER(SEARCH("CORDIAL",C604)),"Liqueurs",
 ISNUMBER(SEARCH("SCHNAPP",C604)),"Liqueurs",
 ISNUMBER(SEARCH("GIN",C604)),"Gin",
 TRUE,"Other")</f>
        <v>Liqueurs</v>
      </c>
      <c r="E604" s="5">
        <v>78893</v>
      </c>
      <c r="F604" s="5">
        <v>561946.09000001813</v>
      </c>
      <c r="G604" s="5">
        <v>33636.419999998667</v>
      </c>
      <c r="H604" s="5">
        <v>6342</v>
      </c>
    </row>
    <row r="605" spans="1:8">
      <c r="A605" s="5">
        <v>2024</v>
      </c>
      <c r="B605" s="6">
        <v>45323</v>
      </c>
      <c r="C605" s="5" t="s">
        <v>15</v>
      </c>
      <c r="D605" s="3" t="str" cm="1">
        <f t="array" ref="D605">_xlfn.IFS(
 ISNUMBER(SEARCH("WHISK",C605)),"Whiskey",
 ISNUMBER(SEARCH("BOURBON",C605)),"Whiskey",
 ISNUMBER(SEARCH("SCOTCH",C605)),"Whiskey",
 ISNUMBER(SEARCH("RYE",C605)),"Whiskey",
 ISNUMBER(SEARCH("VODKA",C605)),"Vodka",
 ISNUMBER(SEARCH("TEQUILA",C605)),"Tequila/Mezcal",
 ISNUMBER(SEARCH("MEZCAL",C605)),"Tequila/Mezcal",
 ISNUMBER(SEARCH("RUM",C605)),"Rum",
 ISNUMBER(SEARCH("BRAND",C605)),"Brandy",
 ISNUMBER(SEARCH("COGNAC",C605)),"Brandy",
 ISNUMBER(SEARCH("LIQUEUR",C605)),"Liqueurs",
 ISNUMBER(SEARCH("CORDIAL",C605)),"Liqueurs",
 ISNUMBER(SEARCH("SCHNAPP",C605)),"Liqueurs",
 ISNUMBER(SEARCH("GIN",C605)),"Gin",
 TRUE,"Other")</f>
        <v>Vodka</v>
      </c>
      <c r="E605" s="5">
        <v>505674</v>
      </c>
      <c r="F605" s="5">
        <v>5318724.4100000598</v>
      </c>
      <c r="G605" s="5">
        <v>456010.56999997777</v>
      </c>
      <c r="H605" s="5">
        <v>31787</v>
      </c>
    </row>
    <row r="606" spans="1:8">
      <c r="A606" s="5">
        <v>2024</v>
      </c>
      <c r="B606" s="6">
        <v>45323</v>
      </c>
      <c r="C606" s="5" t="s">
        <v>16</v>
      </c>
      <c r="D606" s="3" t="str" cm="1">
        <f t="array" ref="D606">_xlfn.IFS(
 ISNUMBER(SEARCH("WHISK",C606)),"Whiskey",
 ISNUMBER(SEARCH("BOURBON",C606)),"Whiskey",
 ISNUMBER(SEARCH("SCOTCH",C606)),"Whiskey",
 ISNUMBER(SEARCH("RYE",C606)),"Whiskey",
 ISNUMBER(SEARCH("VODKA",C606)),"Vodka",
 ISNUMBER(SEARCH("TEQUILA",C606)),"Tequila/Mezcal",
 ISNUMBER(SEARCH("MEZCAL",C606)),"Tequila/Mezcal",
 ISNUMBER(SEARCH("RUM",C606)),"Rum",
 ISNUMBER(SEARCH("BRAND",C606)),"Brandy",
 ISNUMBER(SEARCH("COGNAC",C606)),"Brandy",
 ISNUMBER(SEARCH("LIQUEUR",C606)),"Liqueurs",
 ISNUMBER(SEARCH("CORDIAL",C606)),"Liqueurs",
 ISNUMBER(SEARCH("SCHNAPP",C606)),"Liqueurs",
 ISNUMBER(SEARCH("GIN",C606)),"Gin",
 TRUE,"Other")</f>
        <v>Whiskey</v>
      </c>
      <c r="E606" s="5">
        <v>74481</v>
      </c>
      <c r="F606" s="5">
        <v>1159501.8099999835</v>
      </c>
      <c r="G606" s="5">
        <v>61376.63000000047</v>
      </c>
      <c r="H606" s="5">
        <v>7238</v>
      </c>
    </row>
    <row r="607" spans="1:8">
      <c r="A607" s="5">
        <v>2024</v>
      </c>
      <c r="B607" s="6">
        <v>45323</v>
      </c>
      <c r="C607" s="5" t="s">
        <v>17</v>
      </c>
      <c r="D607" s="3" t="str" cm="1">
        <f t="array" ref="D607">_xlfn.IFS(
 ISNUMBER(SEARCH("WHISK",C607)),"Whiskey",
 ISNUMBER(SEARCH("BOURBON",C607)),"Whiskey",
 ISNUMBER(SEARCH("SCOTCH",C607)),"Whiskey",
 ISNUMBER(SEARCH("RYE",C607)),"Whiskey",
 ISNUMBER(SEARCH("VODKA",C607)),"Vodka",
 ISNUMBER(SEARCH("TEQUILA",C607)),"Tequila/Mezcal",
 ISNUMBER(SEARCH("MEZCAL",C607)),"Tequila/Mezcal",
 ISNUMBER(SEARCH("RUM",C607)),"Rum",
 ISNUMBER(SEARCH("BRAND",C607)),"Brandy",
 ISNUMBER(SEARCH("COGNAC",C607)),"Brandy",
 ISNUMBER(SEARCH("LIQUEUR",C607)),"Liqueurs",
 ISNUMBER(SEARCH("CORDIAL",C607)),"Liqueurs",
 ISNUMBER(SEARCH("SCHNAPP",C607)),"Liqueurs",
 ISNUMBER(SEARCH("GIN",C607)),"Gin",
 TRUE,"Other")</f>
        <v>Whiskey</v>
      </c>
      <c r="E607" s="5">
        <v>3094</v>
      </c>
      <c r="F607" s="5">
        <v>84296.23000000001</v>
      </c>
      <c r="G607" s="5">
        <v>2686.5</v>
      </c>
      <c r="H607" s="5">
        <v>673</v>
      </c>
    </row>
    <row r="608" spans="1:8">
      <c r="A608" s="5">
        <v>2024</v>
      </c>
      <c r="B608" s="6">
        <v>45323</v>
      </c>
      <c r="C608" s="5" t="s">
        <v>18</v>
      </c>
      <c r="D608" s="3" t="str" cm="1">
        <f t="array" ref="D608">_xlfn.IFS(
 ISNUMBER(SEARCH("WHISK",C608)),"Whiskey",
 ISNUMBER(SEARCH("BOURBON",C608)),"Whiskey",
 ISNUMBER(SEARCH("SCOTCH",C608)),"Whiskey",
 ISNUMBER(SEARCH("RYE",C608)),"Whiskey",
 ISNUMBER(SEARCH("VODKA",C608)),"Vodka",
 ISNUMBER(SEARCH("TEQUILA",C608)),"Tequila/Mezcal",
 ISNUMBER(SEARCH("MEZCAL",C608)),"Tequila/Mezcal",
 ISNUMBER(SEARCH("RUM",C608)),"Rum",
 ISNUMBER(SEARCH("BRAND",C608)),"Brandy",
 ISNUMBER(SEARCH("COGNAC",C608)),"Brandy",
 ISNUMBER(SEARCH("LIQUEUR",C608)),"Liqueurs",
 ISNUMBER(SEARCH("CORDIAL",C608)),"Liqueurs",
 ISNUMBER(SEARCH("SCHNAPP",C608)),"Liqueurs",
 ISNUMBER(SEARCH("GIN",C608)),"Gin",
 TRUE,"Other")</f>
        <v>Whiskey</v>
      </c>
      <c r="E608" s="5">
        <v>300735</v>
      </c>
      <c r="F608" s="5">
        <v>5505730.7799997209</v>
      </c>
      <c r="G608" s="5">
        <v>296582.28999999579</v>
      </c>
      <c r="H608" s="5">
        <v>23110</v>
      </c>
    </row>
    <row r="609" spans="1:8">
      <c r="A609" s="5">
        <v>2024</v>
      </c>
      <c r="B609" s="6">
        <v>45323</v>
      </c>
      <c r="C609" s="5" t="s">
        <v>19</v>
      </c>
      <c r="D609" s="3" t="str" cm="1">
        <f t="array" ref="D609">_xlfn.IFS(
 ISNUMBER(SEARCH("WHISK",C609)),"Whiskey",
 ISNUMBER(SEARCH("BOURBON",C609)),"Whiskey",
 ISNUMBER(SEARCH("SCOTCH",C609)),"Whiskey",
 ISNUMBER(SEARCH("RYE",C609)),"Whiskey",
 ISNUMBER(SEARCH("VODKA",C609)),"Vodka",
 ISNUMBER(SEARCH("TEQUILA",C609)),"Tequila/Mezcal",
 ISNUMBER(SEARCH("MEZCAL",C609)),"Tequila/Mezcal",
 ISNUMBER(SEARCH("RUM",C609)),"Rum",
 ISNUMBER(SEARCH("BRAND",C609)),"Brandy",
 ISNUMBER(SEARCH("COGNAC",C609)),"Brandy",
 ISNUMBER(SEARCH("LIQUEUR",C609)),"Liqueurs",
 ISNUMBER(SEARCH("CORDIAL",C609)),"Liqueurs",
 ISNUMBER(SEARCH("SCHNAPP",C609)),"Liqueurs",
 ISNUMBER(SEARCH("GIN",C609)),"Gin",
 TRUE,"Other")</f>
        <v>Other</v>
      </c>
      <c r="E609" s="5">
        <v>50464</v>
      </c>
      <c r="F609" s="5">
        <v>609921.32999999006</v>
      </c>
      <c r="G609" s="5">
        <v>69295.880000000237</v>
      </c>
      <c r="H609" s="5">
        <v>6197</v>
      </c>
    </row>
    <row r="610" spans="1:8">
      <c r="A610" s="5">
        <v>2024</v>
      </c>
      <c r="B610" s="6">
        <v>45323</v>
      </c>
      <c r="C610" s="5" t="s">
        <v>20</v>
      </c>
      <c r="D610" s="3" t="str" cm="1">
        <f t="array" ref="D610">_xlfn.IFS(
 ISNUMBER(SEARCH("WHISK",C610)),"Whiskey",
 ISNUMBER(SEARCH("BOURBON",C610)),"Whiskey",
 ISNUMBER(SEARCH("SCOTCH",C610)),"Whiskey",
 ISNUMBER(SEARCH("RYE",C610)),"Whiskey",
 ISNUMBER(SEARCH("VODKA",C610)),"Vodka",
 ISNUMBER(SEARCH("TEQUILA",C610)),"Tequila/Mezcal",
 ISNUMBER(SEARCH("MEZCAL",C610)),"Tequila/Mezcal",
 ISNUMBER(SEARCH("RUM",C610)),"Rum",
 ISNUMBER(SEARCH("BRAND",C610)),"Brandy",
 ISNUMBER(SEARCH("COGNAC",C610)),"Brandy",
 ISNUMBER(SEARCH("LIQUEUR",C610)),"Liqueurs",
 ISNUMBER(SEARCH("CORDIAL",C610)),"Liqueurs",
 ISNUMBER(SEARCH("SCHNAPP",C610)),"Liqueurs",
 ISNUMBER(SEARCH("GIN",C610)),"Gin",
 TRUE,"Other")</f>
        <v>Liqueurs</v>
      </c>
      <c r="E610" s="5">
        <v>6342</v>
      </c>
      <c r="F610" s="5">
        <v>135650.51000000047</v>
      </c>
      <c r="G610" s="5">
        <v>5355.640000000004</v>
      </c>
      <c r="H610" s="5">
        <v>884</v>
      </c>
    </row>
    <row r="611" spans="1:8">
      <c r="A611" s="5">
        <v>2024</v>
      </c>
      <c r="B611" s="6">
        <v>45323</v>
      </c>
      <c r="C611" s="5" t="s">
        <v>22</v>
      </c>
      <c r="D611" s="3" t="str" cm="1">
        <f t="array" ref="D611">_xlfn.IFS(
 ISNUMBER(SEARCH("WHISK",C611)),"Whiskey",
 ISNUMBER(SEARCH("BOURBON",C611)),"Whiskey",
 ISNUMBER(SEARCH("SCOTCH",C611)),"Whiskey",
 ISNUMBER(SEARCH("RYE",C611)),"Whiskey",
 ISNUMBER(SEARCH("VODKA",C611)),"Vodka",
 ISNUMBER(SEARCH("TEQUILA",C611)),"Tequila/Mezcal",
 ISNUMBER(SEARCH("MEZCAL",C611)),"Tequila/Mezcal",
 ISNUMBER(SEARCH("RUM",C611)),"Rum",
 ISNUMBER(SEARCH("BRAND",C611)),"Brandy",
 ISNUMBER(SEARCH("COGNAC",C611)),"Brandy",
 ISNUMBER(SEARCH("LIQUEUR",C611)),"Liqueurs",
 ISNUMBER(SEARCH("CORDIAL",C611)),"Liqueurs",
 ISNUMBER(SEARCH("SCHNAPP",C611)),"Liqueurs",
 ISNUMBER(SEARCH("GIN",C611)),"Gin",
 TRUE,"Other")</f>
        <v>Liqueurs</v>
      </c>
      <c r="E611" s="5">
        <v>27030</v>
      </c>
      <c r="F611" s="5">
        <v>561212.79999999632</v>
      </c>
      <c r="G611" s="5">
        <v>21453.429999999909</v>
      </c>
      <c r="H611" s="5">
        <v>3678</v>
      </c>
    </row>
    <row r="612" spans="1:8">
      <c r="A612" s="5">
        <v>2024</v>
      </c>
      <c r="B612" s="6">
        <v>45323</v>
      </c>
      <c r="C612" s="5" t="s">
        <v>23</v>
      </c>
      <c r="D612" s="3" t="str" cm="1">
        <f t="array" ref="D612">_xlfn.IFS(
 ISNUMBER(SEARCH("WHISK",C612)),"Whiskey",
 ISNUMBER(SEARCH("BOURBON",C612)),"Whiskey",
 ISNUMBER(SEARCH("SCOTCH",C612)),"Whiskey",
 ISNUMBER(SEARCH("RYE",C612)),"Whiskey",
 ISNUMBER(SEARCH("VODKA",C612)),"Vodka",
 ISNUMBER(SEARCH("TEQUILA",C612)),"Tequila/Mezcal",
 ISNUMBER(SEARCH("MEZCAL",C612)),"Tequila/Mezcal",
 ISNUMBER(SEARCH("RUM",C612)),"Rum",
 ISNUMBER(SEARCH("BRAND",C612)),"Brandy",
 ISNUMBER(SEARCH("COGNAC",C612)),"Brandy",
 ISNUMBER(SEARCH("LIQUEUR",C612)),"Liqueurs",
 ISNUMBER(SEARCH("CORDIAL",C612)),"Liqueurs",
 ISNUMBER(SEARCH("SCHNAPP",C612)),"Liqueurs",
 ISNUMBER(SEARCH("GIN",C612)),"Gin",
 TRUE,"Other")</f>
        <v>Gin</v>
      </c>
      <c r="E612" s="5">
        <v>3655</v>
      </c>
      <c r="F612" s="5">
        <v>94638.9</v>
      </c>
      <c r="G612" s="5">
        <v>2754.75</v>
      </c>
      <c r="H612" s="5">
        <v>380</v>
      </c>
    </row>
    <row r="613" spans="1:8">
      <c r="A613" s="5">
        <v>2024</v>
      </c>
      <c r="B613" s="6">
        <v>45323</v>
      </c>
      <c r="C613" s="5" t="s">
        <v>24</v>
      </c>
      <c r="D613" s="3" t="str" cm="1">
        <f t="array" ref="D613">_xlfn.IFS(
 ISNUMBER(SEARCH("WHISK",C613)),"Whiskey",
 ISNUMBER(SEARCH("BOURBON",C613)),"Whiskey",
 ISNUMBER(SEARCH("SCOTCH",C613)),"Whiskey",
 ISNUMBER(SEARCH("RYE",C613)),"Whiskey",
 ISNUMBER(SEARCH("VODKA",C613)),"Vodka",
 ISNUMBER(SEARCH("TEQUILA",C613)),"Tequila/Mezcal",
 ISNUMBER(SEARCH("MEZCAL",C613)),"Tequila/Mezcal",
 ISNUMBER(SEARCH("RUM",C613)),"Rum",
 ISNUMBER(SEARCH("BRAND",C613)),"Brandy",
 ISNUMBER(SEARCH("COGNAC",C613)),"Brandy",
 ISNUMBER(SEARCH("LIQUEUR",C613)),"Liqueurs",
 ISNUMBER(SEARCH("CORDIAL",C613)),"Liqueurs",
 ISNUMBER(SEARCH("SCHNAPP",C613)),"Liqueurs",
 ISNUMBER(SEARCH("GIN",C613)),"Gin",
 TRUE,"Other")</f>
        <v>Rum</v>
      </c>
      <c r="E613" s="5">
        <v>34266</v>
      </c>
      <c r="F613" s="5">
        <v>531346.65000000037</v>
      </c>
      <c r="G613" s="5">
        <v>32064.109999999935</v>
      </c>
      <c r="H613" s="5">
        <v>3619</v>
      </c>
    </row>
    <row r="614" spans="1:8">
      <c r="A614" s="5">
        <v>2024</v>
      </c>
      <c r="B614" s="6">
        <v>45323</v>
      </c>
      <c r="C614" s="5" t="s">
        <v>25</v>
      </c>
      <c r="D614" s="3" t="str" cm="1">
        <f t="array" ref="D614">_xlfn.IFS(
 ISNUMBER(SEARCH("WHISK",C614)),"Whiskey",
 ISNUMBER(SEARCH("BOURBON",C614)),"Whiskey",
 ISNUMBER(SEARCH("SCOTCH",C614)),"Whiskey",
 ISNUMBER(SEARCH("RYE",C614)),"Whiskey",
 ISNUMBER(SEARCH("VODKA",C614)),"Vodka",
 ISNUMBER(SEARCH("TEQUILA",C614)),"Tequila/Mezcal",
 ISNUMBER(SEARCH("MEZCAL",C614)),"Tequila/Mezcal",
 ISNUMBER(SEARCH("RUM",C614)),"Rum",
 ISNUMBER(SEARCH("BRAND",C614)),"Brandy",
 ISNUMBER(SEARCH("COGNAC",C614)),"Brandy",
 ISNUMBER(SEARCH("LIQUEUR",C614)),"Liqueurs",
 ISNUMBER(SEARCH("CORDIAL",C614)),"Liqueurs",
 ISNUMBER(SEARCH("SCHNAPP",C614)),"Liqueurs",
 ISNUMBER(SEARCH("GIN",C614)),"Gin",
 TRUE,"Other")</f>
        <v>Rum</v>
      </c>
      <c r="E614" s="5">
        <v>5535</v>
      </c>
      <c r="F614" s="5">
        <v>76425.669999999853</v>
      </c>
      <c r="G614" s="5">
        <v>6104.5800000000054</v>
      </c>
      <c r="H614" s="5">
        <v>858</v>
      </c>
    </row>
    <row r="615" spans="1:8">
      <c r="A615" s="5">
        <v>2024</v>
      </c>
      <c r="B615" s="6">
        <v>45323</v>
      </c>
      <c r="C615" s="5" t="s">
        <v>26</v>
      </c>
      <c r="D615" s="3" t="str" cm="1">
        <f t="array" ref="D615">_xlfn.IFS(
 ISNUMBER(SEARCH("WHISK",C615)),"Whiskey",
 ISNUMBER(SEARCH("BOURBON",C615)),"Whiskey",
 ISNUMBER(SEARCH("SCOTCH",C615)),"Whiskey",
 ISNUMBER(SEARCH("RYE",C615)),"Whiskey",
 ISNUMBER(SEARCH("VODKA",C615)),"Vodka",
 ISNUMBER(SEARCH("TEQUILA",C615)),"Tequila/Mezcal",
 ISNUMBER(SEARCH("MEZCAL",C615)),"Tequila/Mezcal",
 ISNUMBER(SEARCH("RUM",C615)),"Rum",
 ISNUMBER(SEARCH("BRAND",C615)),"Brandy",
 ISNUMBER(SEARCH("COGNAC",C615)),"Brandy",
 ISNUMBER(SEARCH("LIQUEUR",C615)),"Liqueurs",
 ISNUMBER(SEARCH("CORDIAL",C615)),"Liqueurs",
 ISNUMBER(SEARCH("SCHNAPP",C615)),"Liqueurs",
 ISNUMBER(SEARCH("GIN",C615)),"Gin",
 TRUE,"Other")</f>
        <v>Brandy</v>
      </c>
      <c r="E615" s="5">
        <v>33436</v>
      </c>
      <c r="F615" s="5">
        <v>766501.88999999315</v>
      </c>
      <c r="G615" s="5">
        <v>15864.749999999991</v>
      </c>
      <c r="H615" s="5">
        <v>3182</v>
      </c>
    </row>
    <row r="616" spans="1:8">
      <c r="A616" s="5">
        <v>2024</v>
      </c>
      <c r="B616" s="6">
        <v>45323</v>
      </c>
      <c r="C616" s="5" t="s">
        <v>60</v>
      </c>
      <c r="D616" s="3" t="str" cm="1">
        <f t="array" ref="D616">_xlfn.IFS(
 ISNUMBER(SEARCH("WHISK",C616)),"Whiskey",
 ISNUMBER(SEARCH("BOURBON",C616)),"Whiskey",
 ISNUMBER(SEARCH("SCOTCH",C616)),"Whiskey",
 ISNUMBER(SEARCH("RYE",C616)),"Whiskey",
 ISNUMBER(SEARCH("VODKA",C616)),"Vodka",
 ISNUMBER(SEARCH("TEQUILA",C616)),"Tequila/Mezcal",
 ISNUMBER(SEARCH("MEZCAL",C616)),"Tequila/Mezcal",
 ISNUMBER(SEARCH("RUM",C616)),"Rum",
 ISNUMBER(SEARCH("BRAND",C616)),"Brandy",
 ISNUMBER(SEARCH("COGNAC",C616)),"Brandy",
 ISNUMBER(SEARCH("LIQUEUR",C616)),"Liqueurs",
 ISNUMBER(SEARCH("CORDIAL",C616)),"Liqueurs",
 ISNUMBER(SEARCH("SCHNAPP",C616)),"Liqueurs",
 ISNUMBER(SEARCH("GIN",C616)),"Gin",
 TRUE,"Other")</f>
        <v>Liqueurs</v>
      </c>
      <c r="E616" s="5">
        <v>36068</v>
      </c>
      <c r="F616" s="5">
        <v>855824.56000000413</v>
      </c>
      <c r="G616" s="5">
        <v>26393.14999999994</v>
      </c>
      <c r="H616" s="5">
        <v>4357</v>
      </c>
    </row>
    <row r="617" spans="1:8">
      <c r="A617" s="5">
        <v>2024</v>
      </c>
      <c r="B617" s="6">
        <v>45323</v>
      </c>
      <c r="C617" s="5" t="s">
        <v>28</v>
      </c>
      <c r="D617" s="3" t="str" cm="1">
        <f t="array" ref="D617">_xlfn.IFS(
 ISNUMBER(SEARCH("WHISK",C617)),"Whiskey",
 ISNUMBER(SEARCH("BOURBON",C617)),"Whiskey",
 ISNUMBER(SEARCH("SCOTCH",C617)),"Whiskey",
 ISNUMBER(SEARCH("RYE",C617)),"Whiskey",
 ISNUMBER(SEARCH("VODKA",C617)),"Vodka",
 ISNUMBER(SEARCH("TEQUILA",C617)),"Tequila/Mezcal",
 ISNUMBER(SEARCH("MEZCAL",C617)),"Tequila/Mezcal",
 ISNUMBER(SEARCH("RUM",C617)),"Rum",
 ISNUMBER(SEARCH("BRAND",C617)),"Brandy",
 ISNUMBER(SEARCH("COGNAC",C617)),"Brandy",
 ISNUMBER(SEARCH("LIQUEUR",C617)),"Liqueurs",
 ISNUMBER(SEARCH("CORDIAL",C617)),"Liqueurs",
 ISNUMBER(SEARCH("SCHNAPP",C617)),"Liqueurs",
 ISNUMBER(SEARCH("GIN",C617)),"Gin",
 TRUE,"Other")</f>
        <v>Other</v>
      </c>
      <c r="E617" s="5">
        <v>26383</v>
      </c>
      <c r="F617" s="5">
        <v>199837.22999999992</v>
      </c>
      <c r="G617" s="5">
        <v>22656.49</v>
      </c>
      <c r="H617" s="5">
        <v>715</v>
      </c>
    </row>
    <row r="618" spans="1:8">
      <c r="A618" s="5">
        <v>2024</v>
      </c>
      <c r="B618" s="6">
        <v>45323</v>
      </c>
      <c r="C618" s="5" t="s">
        <v>29</v>
      </c>
      <c r="D618" s="3" t="str" cm="1">
        <f t="array" ref="D618">_xlfn.IFS(
 ISNUMBER(SEARCH("WHISK",C618)),"Whiskey",
 ISNUMBER(SEARCH("BOURBON",C618)),"Whiskey",
 ISNUMBER(SEARCH("SCOTCH",C618)),"Whiskey",
 ISNUMBER(SEARCH("RYE",C618)),"Whiskey",
 ISNUMBER(SEARCH("VODKA",C618)),"Vodka",
 ISNUMBER(SEARCH("TEQUILA",C618)),"Tequila/Mezcal",
 ISNUMBER(SEARCH("MEZCAL",C618)),"Tequila/Mezcal",
 ISNUMBER(SEARCH("RUM",C618)),"Rum",
 ISNUMBER(SEARCH("BRAND",C618)),"Brandy",
 ISNUMBER(SEARCH("COGNAC",C618)),"Brandy",
 ISNUMBER(SEARCH("LIQUEUR",C618)),"Liqueurs",
 ISNUMBER(SEARCH("CORDIAL",C618)),"Liqueurs",
 ISNUMBER(SEARCH("SCHNAPP",C618)),"Liqueurs",
 ISNUMBER(SEARCH("GIN",C618)),"Gin",
 TRUE,"Other")</f>
        <v>Gin</v>
      </c>
      <c r="E618" s="5">
        <v>15397</v>
      </c>
      <c r="F618" s="5">
        <v>415337.17999999924</v>
      </c>
      <c r="G618" s="5">
        <v>14600.63000000001</v>
      </c>
      <c r="H618" s="5">
        <v>1751</v>
      </c>
    </row>
    <row r="619" spans="1:8">
      <c r="A619" s="5">
        <v>2024</v>
      </c>
      <c r="B619" s="6">
        <v>45323</v>
      </c>
      <c r="C619" s="5" t="s">
        <v>30</v>
      </c>
      <c r="D619" s="3" t="str" cm="1">
        <f t="array" ref="D619">_xlfn.IFS(
 ISNUMBER(SEARCH("WHISK",C619)),"Whiskey",
 ISNUMBER(SEARCH("BOURBON",C619)),"Whiskey",
 ISNUMBER(SEARCH("SCOTCH",C619)),"Whiskey",
 ISNUMBER(SEARCH("RYE",C619)),"Whiskey",
 ISNUMBER(SEARCH("VODKA",C619)),"Vodka",
 ISNUMBER(SEARCH("TEQUILA",C619)),"Tequila/Mezcal",
 ISNUMBER(SEARCH("MEZCAL",C619)),"Tequila/Mezcal",
 ISNUMBER(SEARCH("RUM",C619)),"Rum",
 ISNUMBER(SEARCH("BRAND",C619)),"Brandy",
 ISNUMBER(SEARCH("COGNAC",C619)),"Brandy",
 ISNUMBER(SEARCH("LIQUEUR",C619)),"Liqueurs",
 ISNUMBER(SEARCH("CORDIAL",C619)),"Liqueurs",
 ISNUMBER(SEARCH("SCHNAPP",C619)),"Liqueurs",
 ISNUMBER(SEARCH("GIN",C619)),"Gin",
 TRUE,"Other")</f>
        <v>Vodka</v>
      </c>
      <c r="E619" s="5">
        <v>15590</v>
      </c>
      <c r="F619" s="5">
        <v>276765.83000000165</v>
      </c>
      <c r="G619" s="5">
        <v>12496.830000000004</v>
      </c>
      <c r="H619" s="5">
        <v>2109</v>
      </c>
    </row>
    <row r="620" spans="1:8">
      <c r="A620" s="5">
        <v>2024</v>
      </c>
      <c r="B620" s="6">
        <v>45323</v>
      </c>
      <c r="C620" s="5" t="s">
        <v>31</v>
      </c>
      <c r="D620" s="3" t="str" cm="1">
        <f t="array" ref="D620">_xlfn.IFS(
 ISNUMBER(SEARCH("WHISK",C620)),"Whiskey",
 ISNUMBER(SEARCH("BOURBON",C620)),"Whiskey",
 ISNUMBER(SEARCH("SCOTCH",C620)),"Whiskey",
 ISNUMBER(SEARCH("RYE",C620)),"Whiskey",
 ISNUMBER(SEARCH("VODKA",C620)),"Vodka",
 ISNUMBER(SEARCH("TEQUILA",C620)),"Tequila/Mezcal",
 ISNUMBER(SEARCH("MEZCAL",C620)),"Tequila/Mezcal",
 ISNUMBER(SEARCH("RUM",C620)),"Rum",
 ISNUMBER(SEARCH("BRAND",C620)),"Brandy",
 ISNUMBER(SEARCH("COGNAC",C620)),"Brandy",
 ISNUMBER(SEARCH("LIQUEUR",C620)),"Liqueurs",
 ISNUMBER(SEARCH("CORDIAL",C620)),"Liqueurs",
 ISNUMBER(SEARCH("SCHNAPP",C620)),"Liqueurs",
 ISNUMBER(SEARCH("GIN",C620)),"Gin",
 TRUE,"Other")</f>
        <v>Liqueurs</v>
      </c>
      <c r="E620" s="5">
        <v>26119</v>
      </c>
      <c r="F620" s="5">
        <v>474985.64000000106</v>
      </c>
      <c r="G620" s="5">
        <v>24114.149999999863</v>
      </c>
      <c r="H620" s="5">
        <v>2475</v>
      </c>
    </row>
    <row r="621" spans="1:8">
      <c r="A621" s="5">
        <v>2024</v>
      </c>
      <c r="B621" s="6">
        <v>45323</v>
      </c>
      <c r="C621" s="5" t="s">
        <v>32</v>
      </c>
      <c r="D621" s="3" t="str" cm="1">
        <f t="array" ref="D621">_xlfn.IFS(
 ISNUMBER(SEARCH("WHISK",C621)),"Whiskey",
 ISNUMBER(SEARCH("BOURBON",C621)),"Whiskey",
 ISNUMBER(SEARCH("SCOTCH",C621)),"Whiskey",
 ISNUMBER(SEARCH("RYE",C621)),"Whiskey",
 ISNUMBER(SEARCH("VODKA",C621)),"Vodka",
 ISNUMBER(SEARCH("TEQUILA",C621)),"Tequila/Mezcal",
 ISNUMBER(SEARCH("MEZCAL",C621)),"Tequila/Mezcal",
 ISNUMBER(SEARCH("RUM",C621)),"Rum",
 ISNUMBER(SEARCH("BRAND",C621)),"Brandy",
 ISNUMBER(SEARCH("COGNAC",C621)),"Brandy",
 ISNUMBER(SEARCH("LIQUEUR",C621)),"Liqueurs",
 ISNUMBER(SEARCH("CORDIAL",C621)),"Liqueurs",
 ISNUMBER(SEARCH("SCHNAPP",C621)),"Liqueurs",
 ISNUMBER(SEARCH("GIN",C621)),"Gin",
 TRUE,"Other")</f>
        <v>Vodka</v>
      </c>
      <c r="E621" s="5">
        <v>47336</v>
      </c>
      <c r="F621" s="5">
        <v>820077.62999999186</v>
      </c>
      <c r="G621" s="5">
        <v>49133.18000000016</v>
      </c>
      <c r="H621" s="5">
        <v>4311</v>
      </c>
    </row>
    <row r="622" spans="1:8">
      <c r="A622" s="5">
        <v>2024</v>
      </c>
      <c r="B622" s="6">
        <v>45323</v>
      </c>
      <c r="C622" s="5" t="s">
        <v>33</v>
      </c>
      <c r="D622" s="3" t="str" cm="1">
        <f t="array" ref="D622">_xlfn.IFS(
 ISNUMBER(SEARCH("WHISK",C622)),"Whiskey",
 ISNUMBER(SEARCH("BOURBON",C622)),"Whiskey",
 ISNUMBER(SEARCH("SCOTCH",C622)),"Whiskey",
 ISNUMBER(SEARCH("RYE",C622)),"Whiskey",
 ISNUMBER(SEARCH("VODKA",C622)),"Vodka",
 ISNUMBER(SEARCH("TEQUILA",C622)),"Tequila/Mezcal",
 ISNUMBER(SEARCH("MEZCAL",C622)),"Tequila/Mezcal",
 ISNUMBER(SEARCH("RUM",C622)),"Rum",
 ISNUMBER(SEARCH("BRAND",C622)),"Brandy",
 ISNUMBER(SEARCH("COGNAC",C622)),"Brandy",
 ISNUMBER(SEARCH("LIQUEUR",C622)),"Liqueurs",
 ISNUMBER(SEARCH("CORDIAL",C622)),"Liqueurs",
 ISNUMBER(SEARCH("SCHNAPP",C622)),"Liqueurs",
 ISNUMBER(SEARCH("GIN",C622)),"Gin",
 TRUE,"Other")</f>
        <v>Whiskey</v>
      </c>
      <c r="E622" s="5">
        <v>35553</v>
      </c>
      <c r="F622" s="5">
        <v>987574.18999998958</v>
      </c>
      <c r="G622" s="5">
        <v>28721.069999999901</v>
      </c>
      <c r="H622" s="5">
        <v>2886</v>
      </c>
    </row>
    <row r="623" spans="1:8">
      <c r="A623" s="5">
        <v>2024</v>
      </c>
      <c r="B623" s="6">
        <v>45323</v>
      </c>
      <c r="C623" s="5" t="s">
        <v>34</v>
      </c>
      <c r="D623" s="3" t="str" cm="1">
        <f t="array" ref="D623">_xlfn.IFS(
 ISNUMBER(SEARCH("WHISK",C623)),"Whiskey",
 ISNUMBER(SEARCH("BOURBON",C623)),"Whiskey",
 ISNUMBER(SEARCH("SCOTCH",C623)),"Whiskey",
 ISNUMBER(SEARCH("RYE",C623)),"Whiskey",
 ISNUMBER(SEARCH("VODKA",C623)),"Vodka",
 ISNUMBER(SEARCH("TEQUILA",C623)),"Tequila/Mezcal",
 ISNUMBER(SEARCH("MEZCAL",C623)),"Tequila/Mezcal",
 ISNUMBER(SEARCH("RUM",C623)),"Rum",
 ISNUMBER(SEARCH("BRAND",C623)),"Brandy",
 ISNUMBER(SEARCH("COGNAC",C623)),"Brandy",
 ISNUMBER(SEARCH("LIQUEUR",C623)),"Liqueurs",
 ISNUMBER(SEARCH("CORDIAL",C623)),"Liqueurs",
 ISNUMBER(SEARCH("SCHNAPP",C623)),"Liqueurs",
 ISNUMBER(SEARCH("GIN",C623)),"Gin",
 TRUE,"Other")</f>
        <v>Tequila/Mezcal</v>
      </c>
      <c r="E623" s="5">
        <v>1123</v>
      </c>
      <c r="F623" s="5">
        <v>37182.210000000014</v>
      </c>
      <c r="G623" s="5">
        <v>847.25</v>
      </c>
      <c r="H623" s="5">
        <v>233</v>
      </c>
    </row>
    <row r="624" spans="1:8">
      <c r="A624" s="5">
        <v>2024</v>
      </c>
      <c r="B624" s="6">
        <v>45323</v>
      </c>
      <c r="C624" s="5" t="s">
        <v>35</v>
      </c>
      <c r="D624" s="3" t="str" cm="1">
        <f t="array" ref="D624">_xlfn.IFS(
 ISNUMBER(SEARCH("WHISK",C624)),"Whiskey",
 ISNUMBER(SEARCH("BOURBON",C624)),"Whiskey",
 ISNUMBER(SEARCH("SCOTCH",C624)),"Whiskey",
 ISNUMBER(SEARCH("RYE",C624)),"Whiskey",
 ISNUMBER(SEARCH("VODKA",C624)),"Vodka",
 ISNUMBER(SEARCH("TEQUILA",C624)),"Tequila/Mezcal",
 ISNUMBER(SEARCH("MEZCAL",C624)),"Tequila/Mezcal",
 ISNUMBER(SEARCH("RUM",C624)),"Rum",
 ISNUMBER(SEARCH("BRAND",C624)),"Brandy",
 ISNUMBER(SEARCH("COGNAC",C624)),"Brandy",
 ISNUMBER(SEARCH("LIQUEUR",C624)),"Liqueurs",
 ISNUMBER(SEARCH("CORDIAL",C624)),"Liqueurs",
 ISNUMBER(SEARCH("SCHNAPP",C624)),"Liqueurs",
 ISNUMBER(SEARCH("GIN",C624)),"Gin",
 TRUE,"Other")</f>
        <v>Tequila/Mezcal</v>
      </c>
      <c r="E624" s="5">
        <v>65274</v>
      </c>
      <c r="F624" s="5">
        <v>925720.37999999232</v>
      </c>
      <c r="G624" s="5">
        <v>50185.509999999937</v>
      </c>
      <c r="H624" s="5">
        <v>4362</v>
      </c>
    </row>
    <row r="625" spans="1:8">
      <c r="A625" s="5">
        <v>2024</v>
      </c>
      <c r="B625" s="6">
        <v>45323</v>
      </c>
      <c r="C625" s="5" t="s">
        <v>36</v>
      </c>
      <c r="D625" s="3" t="str" cm="1">
        <f t="array" ref="D625">_xlfn.IFS(
 ISNUMBER(SEARCH("WHISK",C625)),"Whiskey",
 ISNUMBER(SEARCH("BOURBON",C625)),"Whiskey",
 ISNUMBER(SEARCH("SCOTCH",C625)),"Whiskey",
 ISNUMBER(SEARCH("RYE",C625)),"Whiskey",
 ISNUMBER(SEARCH("VODKA",C625)),"Vodka",
 ISNUMBER(SEARCH("TEQUILA",C625)),"Tequila/Mezcal",
 ISNUMBER(SEARCH("MEZCAL",C625)),"Tequila/Mezcal",
 ISNUMBER(SEARCH("RUM",C625)),"Rum",
 ISNUMBER(SEARCH("BRAND",C625)),"Brandy",
 ISNUMBER(SEARCH("COGNAC",C625)),"Brandy",
 ISNUMBER(SEARCH("LIQUEUR",C625)),"Liqueurs",
 ISNUMBER(SEARCH("CORDIAL",C625)),"Liqueurs",
 ISNUMBER(SEARCH("SCHNAPP",C625)),"Liqueurs",
 ISNUMBER(SEARCH("GIN",C625)),"Gin",
 TRUE,"Other")</f>
        <v>Other</v>
      </c>
      <c r="E625" s="5">
        <v>2331</v>
      </c>
      <c r="F625" s="5">
        <v>33021.029999999992</v>
      </c>
      <c r="G625" s="5">
        <v>1740.5499999999997</v>
      </c>
      <c r="H625" s="5">
        <v>318</v>
      </c>
    </row>
    <row r="626" spans="1:8">
      <c r="A626" s="5">
        <v>2024</v>
      </c>
      <c r="B626" s="6">
        <v>45323</v>
      </c>
      <c r="C626" s="5" t="s">
        <v>37</v>
      </c>
      <c r="D626" s="3" t="str" cm="1">
        <f t="array" ref="D626">_xlfn.IFS(
 ISNUMBER(SEARCH("WHISK",C626)),"Whiskey",
 ISNUMBER(SEARCH("BOURBON",C626)),"Whiskey",
 ISNUMBER(SEARCH("SCOTCH",C626)),"Whiskey",
 ISNUMBER(SEARCH("RYE",C626)),"Whiskey",
 ISNUMBER(SEARCH("VODKA",C626)),"Vodka",
 ISNUMBER(SEARCH("TEQUILA",C626)),"Tequila/Mezcal",
 ISNUMBER(SEARCH("MEZCAL",C626)),"Tequila/Mezcal",
 ISNUMBER(SEARCH("RUM",C626)),"Rum",
 ISNUMBER(SEARCH("BRAND",C626)),"Brandy",
 ISNUMBER(SEARCH("COGNAC",C626)),"Brandy",
 ISNUMBER(SEARCH("LIQUEUR",C626)),"Liqueurs",
 ISNUMBER(SEARCH("CORDIAL",C626)),"Liqueurs",
 ISNUMBER(SEARCH("SCHNAPP",C626)),"Liqueurs",
 ISNUMBER(SEARCH("GIN",C626)),"Gin",
 TRUE,"Other")</f>
        <v>Other</v>
      </c>
      <c r="E626" s="5">
        <v>15452</v>
      </c>
      <c r="F626" s="5">
        <v>256717.70000000315</v>
      </c>
      <c r="G626" s="5">
        <v>8049.0999999999858</v>
      </c>
      <c r="H626" s="5">
        <v>2925</v>
      </c>
    </row>
    <row r="627" spans="1:8">
      <c r="A627" s="5">
        <v>2024</v>
      </c>
      <c r="B627" s="6">
        <v>45323</v>
      </c>
      <c r="C627" s="5" t="s">
        <v>38</v>
      </c>
      <c r="D627" s="3" t="str" cm="1">
        <f t="array" ref="D627">_xlfn.IFS(
 ISNUMBER(SEARCH("WHISK",C627)),"Whiskey",
 ISNUMBER(SEARCH("BOURBON",C627)),"Whiskey",
 ISNUMBER(SEARCH("SCOTCH",C627)),"Whiskey",
 ISNUMBER(SEARCH("RYE",C627)),"Whiskey",
 ISNUMBER(SEARCH("VODKA",C627)),"Vodka",
 ISNUMBER(SEARCH("TEQUILA",C627)),"Tequila/Mezcal",
 ISNUMBER(SEARCH("MEZCAL",C627)),"Tequila/Mezcal",
 ISNUMBER(SEARCH("RUM",C627)),"Rum",
 ISNUMBER(SEARCH("BRAND",C627)),"Brandy",
 ISNUMBER(SEARCH("COGNAC",C627)),"Brandy",
 ISNUMBER(SEARCH("LIQUEUR",C627)),"Liqueurs",
 ISNUMBER(SEARCH("CORDIAL",C627)),"Liqueurs",
 ISNUMBER(SEARCH("SCHNAPP",C627)),"Liqueurs",
 ISNUMBER(SEARCH("GIN",C627)),"Gin",
 TRUE,"Other")</f>
        <v>Whiskey</v>
      </c>
      <c r="E627" s="5">
        <v>12661</v>
      </c>
      <c r="F627" s="5">
        <v>348583.92999999947</v>
      </c>
      <c r="G627" s="5">
        <v>13725.97000000001</v>
      </c>
      <c r="H627" s="5">
        <v>2211</v>
      </c>
    </row>
    <row r="628" spans="1:8">
      <c r="A628" s="5">
        <v>2024</v>
      </c>
      <c r="B628" s="6">
        <v>45323</v>
      </c>
      <c r="C628" s="5" t="s">
        <v>39</v>
      </c>
      <c r="D628" s="3" t="str" cm="1">
        <f t="array" ref="D628">_xlfn.IFS(
 ISNUMBER(SEARCH("WHISK",C628)),"Whiskey",
 ISNUMBER(SEARCH("BOURBON",C628)),"Whiskey",
 ISNUMBER(SEARCH("SCOTCH",C628)),"Whiskey",
 ISNUMBER(SEARCH("RYE",C628)),"Whiskey",
 ISNUMBER(SEARCH("VODKA",C628)),"Vodka",
 ISNUMBER(SEARCH("TEQUILA",C628)),"Tequila/Mezcal",
 ISNUMBER(SEARCH("MEZCAL",C628)),"Tequila/Mezcal",
 ISNUMBER(SEARCH("RUM",C628)),"Rum",
 ISNUMBER(SEARCH("BRAND",C628)),"Brandy",
 ISNUMBER(SEARCH("COGNAC",C628)),"Brandy",
 ISNUMBER(SEARCH("LIQUEUR",C628)),"Liqueurs",
 ISNUMBER(SEARCH("CORDIAL",C628)),"Liqueurs",
 ISNUMBER(SEARCH("SCHNAPP",C628)),"Liqueurs",
 ISNUMBER(SEARCH("GIN",C628)),"Gin",
 TRUE,"Other")</f>
        <v>Whiskey</v>
      </c>
      <c r="E628" s="5">
        <v>5282</v>
      </c>
      <c r="F628" s="5">
        <v>219601.61999999997</v>
      </c>
      <c r="G628" s="5">
        <v>3961.5</v>
      </c>
      <c r="H628" s="5">
        <v>771</v>
      </c>
    </row>
    <row r="629" spans="1:8">
      <c r="A629" s="5">
        <v>2024</v>
      </c>
      <c r="B629" s="6">
        <v>45323</v>
      </c>
      <c r="C629" s="5" t="s">
        <v>40</v>
      </c>
      <c r="D629" s="3" t="str" cm="1">
        <f t="array" ref="D629">_xlfn.IFS(
 ISNUMBER(SEARCH("WHISK",C629)),"Whiskey",
 ISNUMBER(SEARCH("BOURBON",C629)),"Whiskey",
 ISNUMBER(SEARCH("SCOTCH",C629)),"Whiskey",
 ISNUMBER(SEARCH("RYE",C629)),"Whiskey",
 ISNUMBER(SEARCH("VODKA",C629)),"Vodka",
 ISNUMBER(SEARCH("TEQUILA",C629)),"Tequila/Mezcal",
 ISNUMBER(SEARCH("MEZCAL",C629)),"Tequila/Mezcal",
 ISNUMBER(SEARCH("RUM",C629)),"Rum",
 ISNUMBER(SEARCH("BRAND",C629)),"Brandy",
 ISNUMBER(SEARCH("COGNAC",C629)),"Brandy",
 ISNUMBER(SEARCH("LIQUEUR",C629)),"Liqueurs",
 ISNUMBER(SEARCH("CORDIAL",C629)),"Liqueurs",
 ISNUMBER(SEARCH("SCHNAPP",C629)),"Liqueurs",
 ISNUMBER(SEARCH("GIN",C629)),"Gin",
 TRUE,"Other")</f>
        <v>Whiskey</v>
      </c>
      <c r="E629" s="5">
        <v>4453</v>
      </c>
      <c r="F629" s="5">
        <v>254369.29999999996</v>
      </c>
      <c r="G629" s="5">
        <v>3464.900000000001</v>
      </c>
      <c r="H629" s="5">
        <v>1225</v>
      </c>
    </row>
    <row r="630" spans="1:8">
      <c r="A630" s="5">
        <v>2024</v>
      </c>
      <c r="B630" s="6">
        <v>45323</v>
      </c>
      <c r="C630" s="5" t="s">
        <v>41</v>
      </c>
      <c r="D630" s="3" t="str" cm="1">
        <f t="array" ref="D630">_xlfn.IFS(
 ISNUMBER(SEARCH("WHISK",C630)),"Whiskey",
 ISNUMBER(SEARCH("BOURBON",C630)),"Whiskey",
 ISNUMBER(SEARCH("SCOTCH",C630)),"Whiskey",
 ISNUMBER(SEARCH("RYE",C630)),"Whiskey",
 ISNUMBER(SEARCH("VODKA",C630)),"Vodka",
 ISNUMBER(SEARCH("TEQUILA",C630)),"Tequila/Mezcal",
 ISNUMBER(SEARCH("MEZCAL",C630)),"Tequila/Mezcal",
 ISNUMBER(SEARCH("RUM",C630)),"Rum",
 ISNUMBER(SEARCH("BRAND",C630)),"Brandy",
 ISNUMBER(SEARCH("COGNAC",C630)),"Brandy",
 ISNUMBER(SEARCH("LIQUEUR",C630)),"Liqueurs",
 ISNUMBER(SEARCH("CORDIAL",C630)),"Liqueurs",
 ISNUMBER(SEARCH("SCHNAPP",C630)),"Liqueurs",
 ISNUMBER(SEARCH("GIN",C630)),"Gin",
 TRUE,"Other")</f>
        <v>Other</v>
      </c>
      <c r="E630" s="5">
        <v>5725</v>
      </c>
      <c r="F630" s="5">
        <v>68401.140000000029</v>
      </c>
      <c r="G630" s="5">
        <v>7877.4499999999989</v>
      </c>
      <c r="H630" s="5">
        <v>189</v>
      </c>
    </row>
    <row r="631" spans="1:8">
      <c r="A631" s="5">
        <v>2024</v>
      </c>
      <c r="B631" s="6">
        <v>45323</v>
      </c>
      <c r="C631" s="5" t="s">
        <v>42</v>
      </c>
      <c r="D631" s="3" t="str" cm="1">
        <f t="array" ref="D631">_xlfn.IFS(
 ISNUMBER(SEARCH("WHISK",C631)),"Whiskey",
 ISNUMBER(SEARCH("BOURBON",C631)),"Whiskey",
 ISNUMBER(SEARCH("SCOTCH",C631)),"Whiskey",
 ISNUMBER(SEARCH("RYE",C631)),"Whiskey",
 ISNUMBER(SEARCH("VODKA",C631)),"Vodka",
 ISNUMBER(SEARCH("TEQUILA",C631)),"Tequila/Mezcal",
 ISNUMBER(SEARCH("MEZCAL",C631)),"Tequila/Mezcal",
 ISNUMBER(SEARCH("RUM",C631)),"Rum",
 ISNUMBER(SEARCH("BRAND",C631)),"Brandy",
 ISNUMBER(SEARCH("COGNAC",C631)),"Brandy",
 ISNUMBER(SEARCH("LIQUEUR",C631)),"Liqueurs",
 ISNUMBER(SEARCH("CORDIAL",C631)),"Liqueurs",
 ISNUMBER(SEARCH("SCHNAPP",C631)),"Liqueurs",
 ISNUMBER(SEARCH("GIN",C631)),"Gin",
 TRUE,"Other")</f>
        <v>Rum</v>
      </c>
      <c r="E631" s="5">
        <v>97546</v>
      </c>
      <c r="F631" s="5">
        <v>1366084.9399999315</v>
      </c>
      <c r="G631" s="5">
        <v>83347.390000000305</v>
      </c>
      <c r="H631" s="5">
        <v>7799</v>
      </c>
    </row>
    <row r="632" spans="1:8">
      <c r="A632" s="5">
        <v>2024</v>
      </c>
      <c r="B632" s="6">
        <v>45323</v>
      </c>
      <c r="C632" s="5" t="s">
        <v>43</v>
      </c>
      <c r="D632" s="3" t="str" cm="1">
        <f t="array" ref="D632">_xlfn.IFS(
 ISNUMBER(SEARCH("WHISK",C632)),"Whiskey",
 ISNUMBER(SEARCH("BOURBON",C632)),"Whiskey",
 ISNUMBER(SEARCH("SCOTCH",C632)),"Whiskey",
 ISNUMBER(SEARCH("RYE",C632)),"Whiskey",
 ISNUMBER(SEARCH("VODKA",C632)),"Vodka",
 ISNUMBER(SEARCH("TEQUILA",C632)),"Tequila/Mezcal",
 ISNUMBER(SEARCH("MEZCAL",C632)),"Tequila/Mezcal",
 ISNUMBER(SEARCH("RUM",C632)),"Rum",
 ISNUMBER(SEARCH("BRAND",C632)),"Brandy",
 ISNUMBER(SEARCH("COGNAC",C632)),"Brandy",
 ISNUMBER(SEARCH("LIQUEUR",C632)),"Liqueurs",
 ISNUMBER(SEARCH("CORDIAL",C632)),"Liqueurs",
 ISNUMBER(SEARCH("SCHNAPP",C632)),"Liqueurs",
 ISNUMBER(SEARCH("GIN",C632)),"Gin",
 TRUE,"Other")</f>
        <v>Whiskey</v>
      </c>
      <c r="E632" s="5">
        <v>131425</v>
      </c>
      <c r="F632" s="5">
        <v>3069533.3200000012</v>
      </c>
      <c r="G632" s="5">
        <v>105023.97000000194</v>
      </c>
      <c r="H632" s="5">
        <v>16796</v>
      </c>
    </row>
    <row r="633" spans="1:8">
      <c r="A633" s="5">
        <v>2024</v>
      </c>
      <c r="B633" s="6">
        <v>45323</v>
      </c>
      <c r="C633" s="5" t="s">
        <v>44</v>
      </c>
      <c r="D633" s="3" t="str" cm="1">
        <f t="array" ref="D633">_xlfn.IFS(
 ISNUMBER(SEARCH("WHISK",C633)),"Whiskey",
 ISNUMBER(SEARCH("BOURBON",C633)),"Whiskey",
 ISNUMBER(SEARCH("SCOTCH",C633)),"Whiskey",
 ISNUMBER(SEARCH("RYE",C633)),"Whiskey",
 ISNUMBER(SEARCH("VODKA",C633)),"Vodka",
 ISNUMBER(SEARCH("TEQUILA",C633)),"Tequila/Mezcal",
 ISNUMBER(SEARCH("MEZCAL",C633)),"Tequila/Mezcal",
 ISNUMBER(SEARCH("RUM",C633)),"Rum",
 ISNUMBER(SEARCH("BRAND",C633)),"Brandy",
 ISNUMBER(SEARCH("COGNAC",C633)),"Brandy",
 ISNUMBER(SEARCH("LIQUEUR",C633)),"Liqueurs",
 ISNUMBER(SEARCH("CORDIAL",C633)),"Liqueurs",
 ISNUMBER(SEARCH("SCHNAPP",C633)),"Liqueurs",
 ISNUMBER(SEARCH("GIN",C633)),"Gin",
 TRUE,"Other")</f>
        <v>Whiskey</v>
      </c>
      <c r="E633" s="5">
        <v>10195</v>
      </c>
      <c r="F633" s="5">
        <v>304050.2899999994</v>
      </c>
      <c r="G633" s="5">
        <v>7856.0099999999984</v>
      </c>
      <c r="H633" s="5">
        <v>1763</v>
      </c>
    </row>
    <row r="634" spans="1:8">
      <c r="A634" s="5">
        <v>2024</v>
      </c>
      <c r="B634" s="6">
        <v>45323</v>
      </c>
      <c r="C634" s="5" t="s">
        <v>45</v>
      </c>
      <c r="D634" s="3" t="str" cm="1">
        <f t="array" ref="D634">_xlfn.IFS(
 ISNUMBER(SEARCH("WHISK",C634)),"Whiskey",
 ISNUMBER(SEARCH("BOURBON",C634)),"Whiskey",
 ISNUMBER(SEARCH("SCOTCH",C634)),"Whiskey",
 ISNUMBER(SEARCH("RYE",C634)),"Whiskey",
 ISNUMBER(SEARCH("VODKA",C634)),"Vodka",
 ISNUMBER(SEARCH("TEQUILA",C634)),"Tequila/Mezcal",
 ISNUMBER(SEARCH("MEZCAL",C634)),"Tequila/Mezcal",
 ISNUMBER(SEARCH("RUM",C634)),"Rum",
 ISNUMBER(SEARCH("BRAND",C634)),"Brandy",
 ISNUMBER(SEARCH("COGNAC",C634)),"Brandy",
 ISNUMBER(SEARCH("LIQUEUR",C634)),"Liqueurs",
 ISNUMBER(SEARCH("CORDIAL",C634)),"Liqueurs",
 ISNUMBER(SEARCH("SCHNAPP",C634)),"Liqueurs",
 ISNUMBER(SEARCH("GIN",C634)),"Gin",
 TRUE,"Other")</f>
        <v>Other</v>
      </c>
      <c r="E634" s="5">
        <v>14968</v>
      </c>
      <c r="F634" s="5">
        <v>513388.91999999934</v>
      </c>
      <c r="G634" s="5">
        <v>9731.3200000000015</v>
      </c>
      <c r="H634" s="5">
        <v>2662</v>
      </c>
    </row>
    <row r="635" spans="1:8">
      <c r="A635" s="5">
        <v>2024</v>
      </c>
      <c r="B635" s="6">
        <v>45323</v>
      </c>
      <c r="C635" s="5" t="s">
        <v>46</v>
      </c>
      <c r="D635" s="3" t="str" cm="1">
        <f t="array" ref="D635">_xlfn.IFS(
 ISNUMBER(SEARCH("WHISK",C635)),"Whiskey",
 ISNUMBER(SEARCH("BOURBON",C635)),"Whiskey",
 ISNUMBER(SEARCH("SCOTCH",C635)),"Whiskey",
 ISNUMBER(SEARCH("RYE",C635)),"Whiskey",
 ISNUMBER(SEARCH("VODKA",C635)),"Vodka",
 ISNUMBER(SEARCH("TEQUILA",C635)),"Tequila/Mezcal",
 ISNUMBER(SEARCH("MEZCAL",C635)),"Tequila/Mezcal",
 ISNUMBER(SEARCH("RUM",C635)),"Rum",
 ISNUMBER(SEARCH("BRAND",C635)),"Brandy",
 ISNUMBER(SEARCH("COGNAC",C635)),"Brandy",
 ISNUMBER(SEARCH("LIQUEUR",C635)),"Liqueurs",
 ISNUMBER(SEARCH("CORDIAL",C635)),"Liqueurs",
 ISNUMBER(SEARCH("SCHNAPP",C635)),"Liqueurs",
 ISNUMBER(SEARCH("GIN",C635)),"Gin",
 TRUE,"Other")</f>
        <v>Whiskey</v>
      </c>
      <c r="E635" s="5">
        <v>51853</v>
      </c>
      <c r="F635" s="5">
        <v>1181479.3299999922</v>
      </c>
      <c r="G635" s="5">
        <v>35541.40999999956</v>
      </c>
      <c r="H635" s="5">
        <v>6060</v>
      </c>
    </row>
    <row r="636" spans="1:8">
      <c r="A636" s="5">
        <v>2024</v>
      </c>
      <c r="B636" s="6">
        <v>45323</v>
      </c>
      <c r="C636" s="5" t="s">
        <v>47</v>
      </c>
      <c r="D636" s="3" t="str" cm="1">
        <f t="array" ref="D636">_xlfn.IFS(
 ISNUMBER(SEARCH("WHISK",C636)),"Whiskey",
 ISNUMBER(SEARCH("BOURBON",C636)),"Whiskey",
 ISNUMBER(SEARCH("SCOTCH",C636)),"Whiskey",
 ISNUMBER(SEARCH("RYE",C636)),"Whiskey",
 ISNUMBER(SEARCH("VODKA",C636)),"Vodka",
 ISNUMBER(SEARCH("TEQUILA",C636)),"Tequila/Mezcal",
 ISNUMBER(SEARCH("MEZCAL",C636)),"Tequila/Mezcal",
 ISNUMBER(SEARCH("RUM",C636)),"Rum",
 ISNUMBER(SEARCH("BRAND",C636)),"Brandy",
 ISNUMBER(SEARCH("COGNAC",C636)),"Brandy",
 ISNUMBER(SEARCH("LIQUEUR",C636)),"Liqueurs",
 ISNUMBER(SEARCH("CORDIAL",C636)),"Liqueurs",
 ISNUMBER(SEARCH("SCHNAPP",C636)),"Liqueurs",
 ISNUMBER(SEARCH("GIN",C636)),"Gin",
 TRUE,"Other")</f>
        <v>Other</v>
      </c>
      <c r="E636" s="5">
        <v>17684</v>
      </c>
      <c r="F636" s="5">
        <v>72911.940000000075</v>
      </c>
      <c r="G636" s="5">
        <v>17539</v>
      </c>
      <c r="H636" s="5">
        <v>627</v>
      </c>
    </row>
    <row r="637" spans="1:8">
      <c r="A637" s="5">
        <v>2024</v>
      </c>
      <c r="B637" s="6">
        <v>45323</v>
      </c>
      <c r="C637" s="5" t="s">
        <v>48</v>
      </c>
      <c r="D637" s="3" t="str" cm="1">
        <f t="array" ref="D637">_xlfn.IFS(
 ISNUMBER(SEARCH("WHISK",C637)),"Whiskey",
 ISNUMBER(SEARCH("BOURBON",C637)),"Whiskey",
 ISNUMBER(SEARCH("SCOTCH",C637)),"Whiskey",
 ISNUMBER(SEARCH("RYE",C637)),"Whiskey",
 ISNUMBER(SEARCH("VODKA",C637)),"Vodka",
 ISNUMBER(SEARCH("TEQUILA",C637)),"Tequila/Mezcal",
 ISNUMBER(SEARCH("MEZCAL",C637)),"Tequila/Mezcal",
 ISNUMBER(SEARCH("RUM",C637)),"Rum",
 ISNUMBER(SEARCH("BRAND",C637)),"Brandy",
 ISNUMBER(SEARCH("COGNAC",C637)),"Brandy",
 ISNUMBER(SEARCH("LIQUEUR",C637)),"Liqueurs",
 ISNUMBER(SEARCH("CORDIAL",C637)),"Liqueurs",
 ISNUMBER(SEARCH("SCHNAPP",C637)),"Liqueurs",
 ISNUMBER(SEARCH("GIN",C637)),"Gin",
 TRUE,"Other")</f>
        <v>Whiskey</v>
      </c>
      <c r="E637" s="5">
        <v>352909</v>
      </c>
      <c r="F637" s="5">
        <v>1953283.1999999525</v>
      </c>
      <c r="G637" s="5">
        <v>79256.340000004246</v>
      </c>
      <c r="H637" s="5">
        <v>12977</v>
      </c>
    </row>
    <row r="638" spans="1:8">
      <c r="A638" s="5">
        <v>2024</v>
      </c>
      <c r="B638" s="6">
        <v>45323</v>
      </c>
      <c r="C638" s="5" t="s">
        <v>49</v>
      </c>
      <c r="D638" s="3" t="str" cm="1">
        <f t="array" ref="D638">_xlfn.IFS(
 ISNUMBER(SEARCH("WHISK",C638)),"Whiskey",
 ISNUMBER(SEARCH("BOURBON",C638)),"Whiskey",
 ISNUMBER(SEARCH("SCOTCH",C638)),"Whiskey",
 ISNUMBER(SEARCH("RYE",C638)),"Whiskey",
 ISNUMBER(SEARCH("VODKA",C638)),"Vodka",
 ISNUMBER(SEARCH("TEQUILA",C638)),"Tequila/Mezcal",
 ISNUMBER(SEARCH("MEZCAL",C638)),"Tequila/Mezcal",
 ISNUMBER(SEARCH("RUM",C638)),"Rum",
 ISNUMBER(SEARCH("BRAND",C638)),"Brandy",
 ISNUMBER(SEARCH("COGNAC",C638)),"Brandy",
 ISNUMBER(SEARCH("LIQUEUR",C638)),"Liqueurs",
 ISNUMBER(SEARCH("CORDIAL",C638)),"Liqueurs",
 ISNUMBER(SEARCH("SCHNAPP",C638)),"Liqueurs",
 ISNUMBER(SEARCH("GIN",C638)),"Gin",
 TRUE,"Other")</f>
        <v>Rum</v>
      </c>
      <c r="E638" s="5">
        <v>33553</v>
      </c>
      <c r="F638" s="5">
        <v>398413.71999999753</v>
      </c>
      <c r="G638" s="5">
        <v>34894.069999999876</v>
      </c>
      <c r="H638" s="5">
        <v>3143</v>
      </c>
    </row>
    <row r="639" spans="1:8">
      <c r="A639" s="5">
        <v>2024</v>
      </c>
      <c r="B639" s="6">
        <v>45323</v>
      </c>
      <c r="C639" s="5" t="s">
        <v>21</v>
      </c>
      <c r="D639" s="3" t="str" cm="1">
        <f t="array" ref="D639">_xlfn.IFS(
 ISNUMBER(SEARCH("WHISK",C639)),"Whiskey",
 ISNUMBER(SEARCH("BOURBON",C639)),"Whiskey",
 ISNUMBER(SEARCH("SCOTCH",C639)),"Whiskey",
 ISNUMBER(SEARCH("RYE",C639)),"Whiskey",
 ISNUMBER(SEARCH("VODKA",C639)),"Vodka",
 ISNUMBER(SEARCH("TEQUILA",C639)),"Tequila/Mezcal",
 ISNUMBER(SEARCH("MEZCAL",C639)),"Tequila/Mezcal",
 ISNUMBER(SEARCH("RUM",C639)),"Rum",
 ISNUMBER(SEARCH("BRAND",C639)),"Brandy",
 ISNUMBER(SEARCH("COGNAC",C639)),"Brandy",
 ISNUMBER(SEARCH("LIQUEUR",C639)),"Liqueurs",
 ISNUMBER(SEARCH("CORDIAL",C639)),"Liqueurs",
 ISNUMBER(SEARCH("SCHNAPP",C639)),"Liqueurs",
 ISNUMBER(SEARCH("GIN",C639)),"Gin",
 TRUE,"Other")</f>
        <v>Whiskey</v>
      </c>
      <c r="E639" s="5">
        <v>606</v>
      </c>
      <c r="F639" s="5">
        <v>15342.93</v>
      </c>
      <c r="G639" s="5">
        <v>404.98</v>
      </c>
      <c r="H639" s="5">
        <v>101</v>
      </c>
    </row>
    <row r="640" spans="1:8">
      <c r="A640" s="5">
        <v>2024</v>
      </c>
      <c r="B640" s="6">
        <v>45323</v>
      </c>
      <c r="C640" s="5" t="s">
        <v>14</v>
      </c>
      <c r="D640" s="3" t="str" cm="1">
        <f t="array" ref="D640">_xlfn.IFS(
 ISNUMBER(SEARCH("WHISK",C640)),"Whiskey",
 ISNUMBER(SEARCH("BOURBON",C640)),"Whiskey",
 ISNUMBER(SEARCH("SCOTCH",C640)),"Whiskey",
 ISNUMBER(SEARCH("RYE",C640)),"Whiskey",
 ISNUMBER(SEARCH("VODKA",C640)),"Vodka",
 ISNUMBER(SEARCH("TEQUILA",C640)),"Tequila/Mezcal",
 ISNUMBER(SEARCH("MEZCAL",C640)),"Tequila/Mezcal",
 ISNUMBER(SEARCH("RUM",C640)),"Rum",
 ISNUMBER(SEARCH("BRAND",C640)),"Brandy",
 ISNUMBER(SEARCH("COGNAC",C640)),"Brandy",
 ISNUMBER(SEARCH("LIQUEUR",C640)),"Liqueurs",
 ISNUMBER(SEARCH("CORDIAL",C640)),"Liqueurs",
 ISNUMBER(SEARCH("SCHNAPP",C640)),"Liqueurs",
 ISNUMBER(SEARCH("GIN",C640)),"Gin",
 TRUE,"Other")</f>
        <v>Gin</v>
      </c>
      <c r="E640" s="5">
        <v>273</v>
      </c>
      <c r="F640" s="5">
        <v>2297.4099999999994</v>
      </c>
      <c r="G640" s="5">
        <v>268.25</v>
      </c>
      <c r="H640" s="5">
        <v>45</v>
      </c>
    </row>
    <row r="641" spans="1:8">
      <c r="A641" s="5">
        <v>2024</v>
      </c>
      <c r="B641" s="6">
        <v>45352</v>
      </c>
      <c r="C641" s="5" t="s">
        <v>50</v>
      </c>
      <c r="D641" s="3" t="str" cm="1">
        <f t="array" ref="D641">_xlfn.IFS(
 ISNUMBER(SEARCH("WHISK",C641)),"Whiskey",
 ISNUMBER(SEARCH("BOURBON",C641)),"Whiskey",
 ISNUMBER(SEARCH("SCOTCH",C641)),"Whiskey",
 ISNUMBER(SEARCH("RYE",C641)),"Whiskey",
 ISNUMBER(SEARCH("VODKA",C641)),"Vodka",
 ISNUMBER(SEARCH("TEQUILA",C641)),"Tequila/Mezcal",
 ISNUMBER(SEARCH("MEZCAL",C641)),"Tequila/Mezcal",
 ISNUMBER(SEARCH("RUM",C641)),"Rum",
 ISNUMBER(SEARCH("BRAND",C641)),"Brandy",
 ISNUMBER(SEARCH("COGNAC",C641)),"Brandy",
 ISNUMBER(SEARCH("LIQUEUR",C641)),"Liqueurs",
 ISNUMBER(SEARCH("CORDIAL",C641)),"Liqueurs",
 ISNUMBER(SEARCH("SCHNAPP",C641)),"Liqueurs",
 ISNUMBER(SEARCH("GIN",C641)),"Gin",
 TRUE,"Other")</f>
        <v>Tequila/Mezcal</v>
      </c>
      <c r="E641" s="5">
        <v>81041</v>
      </c>
      <c r="F641" s="5">
        <v>2290314.4899999429</v>
      </c>
      <c r="G641" s="5">
        <v>53788.200000000521</v>
      </c>
      <c r="H641" s="5">
        <v>10123</v>
      </c>
    </row>
    <row r="642" spans="1:8">
      <c r="A642" s="5">
        <v>2024</v>
      </c>
      <c r="B642" s="6">
        <v>45352</v>
      </c>
      <c r="C642" s="5" t="s">
        <v>12</v>
      </c>
      <c r="D642" s="3" t="str" cm="1">
        <f t="array" ref="D642">_xlfn.IFS(
 ISNUMBER(SEARCH("WHISK",C642)),"Whiskey",
 ISNUMBER(SEARCH("BOURBON",C642)),"Whiskey",
 ISNUMBER(SEARCH("SCOTCH",C642)),"Whiskey",
 ISNUMBER(SEARCH("RYE",C642)),"Whiskey",
 ISNUMBER(SEARCH("VODKA",C642)),"Vodka",
 ISNUMBER(SEARCH("TEQUILA",C642)),"Tequila/Mezcal",
 ISNUMBER(SEARCH("MEZCAL",C642)),"Tequila/Mezcal",
 ISNUMBER(SEARCH("RUM",C642)),"Rum",
 ISNUMBER(SEARCH("BRAND",C642)),"Brandy",
 ISNUMBER(SEARCH("COGNAC",C642)),"Brandy",
 ISNUMBER(SEARCH("LIQUEUR",C642)),"Liqueurs",
 ISNUMBER(SEARCH("CORDIAL",C642)),"Liqueurs",
 ISNUMBER(SEARCH("SCHNAPP",C642)),"Liqueurs",
 ISNUMBER(SEARCH("GIN",C642)),"Gin",
 TRUE,"Other")</f>
        <v>Vodka</v>
      </c>
      <c r="E642" s="5">
        <v>77911</v>
      </c>
      <c r="F642" s="5">
        <v>893122.030000036</v>
      </c>
      <c r="G642" s="5">
        <v>56675.740000000187</v>
      </c>
      <c r="H642" s="5">
        <v>9237</v>
      </c>
    </row>
    <row r="643" spans="1:8">
      <c r="A643" s="5">
        <v>2024</v>
      </c>
      <c r="B643" s="6">
        <v>45352</v>
      </c>
      <c r="C643" s="5" t="s">
        <v>15</v>
      </c>
      <c r="D643" s="3" t="str" cm="1">
        <f t="array" ref="D643">_xlfn.IFS(
 ISNUMBER(SEARCH("WHISK",C643)),"Whiskey",
 ISNUMBER(SEARCH("BOURBON",C643)),"Whiskey",
 ISNUMBER(SEARCH("SCOTCH",C643)),"Whiskey",
 ISNUMBER(SEARCH("RYE",C643)),"Whiskey",
 ISNUMBER(SEARCH("VODKA",C643)),"Vodka",
 ISNUMBER(SEARCH("TEQUILA",C643)),"Tequila/Mezcal",
 ISNUMBER(SEARCH("MEZCAL",C643)),"Tequila/Mezcal",
 ISNUMBER(SEARCH("RUM",C643)),"Rum",
 ISNUMBER(SEARCH("BRAND",C643)),"Brandy",
 ISNUMBER(SEARCH("COGNAC",C643)),"Brandy",
 ISNUMBER(SEARCH("LIQUEUR",C643)),"Liqueurs",
 ISNUMBER(SEARCH("CORDIAL",C643)),"Liqueurs",
 ISNUMBER(SEARCH("SCHNAPP",C643)),"Liqueurs",
 ISNUMBER(SEARCH("GIN",C643)),"Gin",
 TRUE,"Other")</f>
        <v>Vodka</v>
      </c>
      <c r="E643" s="5">
        <v>496478</v>
      </c>
      <c r="F643" s="5">
        <v>4851894.1600001445</v>
      </c>
      <c r="G643" s="5">
        <v>430088.63999997859</v>
      </c>
      <c r="H643" s="5">
        <v>31698</v>
      </c>
    </row>
    <row r="644" spans="1:8">
      <c r="A644" s="5">
        <v>2024</v>
      </c>
      <c r="B644" s="6">
        <v>45352</v>
      </c>
      <c r="C644" s="5" t="s">
        <v>18</v>
      </c>
      <c r="D644" s="3" t="str" cm="1">
        <f t="array" ref="D644">_xlfn.IFS(
 ISNUMBER(SEARCH("WHISK",C644)),"Whiskey",
 ISNUMBER(SEARCH("BOURBON",C644)),"Whiskey",
 ISNUMBER(SEARCH("SCOTCH",C644)),"Whiskey",
 ISNUMBER(SEARCH("RYE",C644)),"Whiskey",
 ISNUMBER(SEARCH("VODKA",C644)),"Vodka",
 ISNUMBER(SEARCH("TEQUILA",C644)),"Tequila/Mezcal",
 ISNUMBER(SEARCH("MEZCAL",C644)),"Tequila/Mezcal",
 ISNUMBER(SEARCH("RUM",C644)),"Rum",
 ISNUMBER(SEARCH("BRAND",C644)),"Brandy",
 ISNUMBER(SEARCH("COGNAC",C644)),"Brandy",
 ISNUMBER(SEARCH("LIQUEUR",C644)),"Liqueurs",
 ISNUMBER(SEARCH("CORDIAL",C644)),"Liqueurs",
 ISNUMBER(SEARCH("SCHNAPP",C644)),"Liqueurs",
 ISNUMBER(SEARCH("GIN",C644)),"Gin",
 TRUE,"Other")</f>
        <v>Whiskey</v>
      </c>
      <c r="E644" s="5">
        <v>218917</v>
      </c>
      <c r="F644" s="5">
        <v>3463355.8799998825</v>
      </c>
      <c r="G644" s="5">
        <v>198641.41999999806</v>
      </c>
      <c r="H644" s="5">
        <v>19665</v>
      </c>
    </row>
    <row r="645" spans="1:8">
      <c r="A645" s="5">
        <v>2024</v>
      </c>
      <c r="B645" s="6">
        <v>45352</v>
      </c>
      <c r="C645" s="5" t="s">
        <v>24</v>
      </c>
      <c r="D645" s="3" t="str" cm="1">
        <f t="array" ref="D645">_xlfn.IFS(
 ISNUMBER(SEARCH("WHISK",C645)),"Whiskey",
 ISNUMBER(SEARCH("BOURBON",C645)),"Whiskey",
 ISNUMBER(SEARCH("SCOTCH",C645)),"Whiskey",
 ISNUMBER(SEARCH("RYE",C645)),"Whiskey",
 ISNUMBER(SEARCH("VODKA",C645)),"Vodka",
 ISNUMBER(SEARCH("TEQUILA",C645)),"Tequila/Mezcal",
 ISNUMBER(SEARCH("MEZCAL",C645)),"Tequila/Mezcal",
 ISNUMBER(SEARCH("RUM",C645)),"Rum",
 ISNUMBER(SEARCH("BRAND",C645)),"Brandy",
 ISNUMBER(SEARCH("COGNAC",C645)),"Brandy",
 ISNUMBER(SEARCH("LIQUEUR",C645)),"Liqueurs",
 ISNUMBER(SEARCH("CORDIAL",C645)),"Liqueurs",
 ISNUMBER(SEARCH("SCHNAPP",C645)),"Liqueurs",
 ISNUMBER(SEARCH("GIN",C645)),"Gin",
 TRUE,"Other")</f>
        <v>Rum</v>
      </c>
      <c r="E645" s="5">
        <v>35901</v>
      </c>
      <c r="F645" s="5">
        <v>552626.57000000018</v>
      </c>
      <c r="G645" s="5">
        <v>33311.729999999952</v>
      </c>
      <c r="H645" s="5">
        <v>3591</v>
      </c>
    </row>
    <row r="646" spans="1:8">
      <c r="A646" s="5">
        <v>2024</v>
      </c>
      <c r="B646" s="6">
        <v>45352</v>
      </c>
      <c r="C646" s="5" t="s">
        <v>26</v>
      </c>
      <c r="D646" s="3" t="str" cm="1">
        <f t="array" ref="D646">_xlfn.IFS(
 ISNUMBER(SEARCH("WHISK",C646)),"Whiskey",
 ISNUMBER(SEARCH("BOURBON",C646)),"Whiskey",
 ISNUMBER(SEARCH("SCOTCH",C646)),"Whiskey",
 ISNUMBER(SEARCH("RYE",C646)),"Whiskey",
 ISNUMBER(SEARCH("VODKA",C646)),"Vodka",
 ISNUMBER(SEARCH("TEQUILA",C646)),"Tequila/Mezcal",
 ISNUMBER(SEARCH("MEZCAL",C646)),"Tequila/Mezcal",
 ISNUMBER(SEARCH("RUM",C646)),"Rum",
 ISNUMBER(SEARCH("BRAND",C646)),"Brandy",
 ISNUMBER(SEARCH("COGNAC",C646)),"Brandy",
 ISNUMBER(SEARCH("LIQUEUR",C646)),"Liqueurs",
 ISNUMBER(SEARCH("CORDIAL",C646)),"Liqueurs",
 ISNUMBER(SEARCH("SCHNAPP",C646)),"Liqueurs",
 ISNUMBER(SEARCH("GIN",C646)),"Gin",
 TRUE,"Other")</f>
        <v>Brandy</v>
      </c>
      <c r="E646" s="5">
        <v>35833</v>
      </c>
      <c r="F646" s="5">
        <v>789140.929999994</v>
      </c>
      <c r="G646" s="5">
        <v>16274.210000000019</v>
      </c>
      <c r="H646" s="5">
        <v>3308</v>
      </c>
    </row>
    <row r="647" spans="1:8">
      <c r="A647" s="5">
        <v>2024</v>
      </c>
      <c r="B647" s="6">
        <v>45352</v>
      </c>
      <c r="C647" s="5" t="s">
        <v>37</v>
      </c>
      <c r="D647" s="3" t="str" cm="1">
        <f t="array" ref="D647">_xlfn.IFS(
 ISNUMBER(SEARCH("WHISK",C647)),"Whiskey",
 ISNUMBER(SEARCH("BOURBON",C647)),"Whiskey",
 ISNUMBER(SEARCH("SCOTCH",C647)),"Whiskey",
 ISNUMBER(SEARCH("RYE",C647)),"Whiskey",
 ISNUMBER(SEARCH("VODKA",C647)),"Vodka",
 ISNUMBER(SEARCH("TEQUILA",C647)),"Tequila/Mezcal",
 ISNUMBER(SEARCH("MEZCAL",C647)),"Tequila/Mezcal",
 ISNUMBER(SEARCH("RUM",C647)),"Rum",
 ISNUMBER(SEARCH("BRAND",C647)),"Brandy",
 ISNUMBER(SEARCH("COGNAC",C647)),"Brandy",
 ISNUMBER(SEARCH("LIQUEUR",C647)),"Liqueurs",
 ISNUMBER(SEARCH("CORDIAL",C647)),"Liqueurs",
 ISNUMBER(SEARCH("SCHNAPP",C647)),"Liqueurs",
 ISNUMBER(SEARCH("GIN",C647)),"Gin",
 TRUE,"Other")</f>
        <v>Other</v>
      </c>
      <c r="E647" s="5">
        <v>15624</v>
      </c>
      <c r="F647" s="5">
        <v>261014.45000000292</v>
      </c>
      <c r="G647" s="5">
        <v>7968.1000000000013</v>
      </c>
      <c r="H647" s="5">
        <v>3018</v>
      </c>
    </row>
    <row r="648" spans="1:8">
      <c r="A648" s="5">
        <v>2024</v>
      </c>
      <c r="B648" s="6">
        <v>45352</v>
      </c>
      <c r="C648" s="5" t="s">
        <v>42</v>
      </c>
      <c r="D648" s="3" t="str" cm="1">
        <f t="array" ref="D648">_xlfn.IFS(
 ISNUMBER(SEARCH("WHISK",C648)),"Whiskey",
 ISNUMBER(SEARCH("BOURBON",C648)),"Whiskey",
 ISNUMBER(SEARCH("SCOTCH",C648)),"Whiskey",
 ISNUMBER(SEARCH("RYE",C648)),"Whiskey",
 ISNUMBER(SEARCH("VODKA",C648)),"Vodka",
 ISNUMBER(SEARCH("TEQUILA",C648)),"Tequila/Mezcal",
 ISNUMBER(SEARCH("MEZCAL",C648)),"Tequila/Mezcal",
 ISNUMBER(SEARCH("RUM",C648)),"Rum",
 ISNUMBER(SEARCH("BRAND",C648)),"Brandy",
 ISNUMBER(SEARCH("COGNAC",C648)),"Brandy",
 ISNUMBER(SEARCH("LIQUEUR",C648)),"Liqueurs",
 ISNUMBER(SEARCH("CORDIAL",C648)),"Liqueurs",
 ISNUMBER(SEARCH("SCHNAPP",C648)),"Liqueurs",
 ISNUMBER(SEARCH("GIN",C648)),"Gin",
 TRUE,"Other")</f>
        <v>Rum</v>
      </c>
      <c r="E648" s="5">
        <v>132069</v>
      </c>
      <c r="F648" s="5">
        <v>2468083.719999861</v>
      </c>
      <c r="G648" s="5">
        <v>150510.05000000112</v>
      </c>
      <c r="H648" s="5">
        <v>7529</v>
      </c>
    </row>
    <row r="649" spans="1:8">
      <c r="A649" s="5">
        <v>2024</v>
      </c>
      <c r="B649" s="6">
        <v>45352</v>
      </c>
      <c r="C649" s="5" t="s">
        <v>43</v>
      </c>
      <c r="D649" s="3" t="str" cm="1">
        <f t="array" ref="D649">_xlfn.IFS(
 ISNUMBER(SEARCH("WHISK",C649)),"Whiskey",
 ISNUMBER(SEARCH("BOURBON",C649)),"Whiskey",
 ISNUMBER(SEARCH("SCOTCH",C649)),"Whiskey",
 ISNUMBER(SEARCH("RYE",C649)),"Whiskey",
 ISNUMBER(SEARCH("VODKA",C649)),"Vodka",
 ISNUMBER(SEARCH("TEQUILA",C649)),"Tequila/Mezcal",
 ISNUMBER(SEARCH("MEZCAL",C649)),"Tequila/Mezcal",
 ISNUMBER(SEARCH("RUM",C649)),"Rum",
 ISNUMBER(SEARCH("BRAND",C649)),"Brandy",
 ISNUMBER(SEARCH("COGNAC",C649)),"Brandy",
 ISNUMBER(SEARCH("LIQUEUR",C649)),"Liqueurs",
 ISNUMBER(SEARCH("CORDIAL",C649)),"Liqueurs",
 ISNUMBER(SEARCH("SCHNAPP",C649)),"Liqueurs",
 ISNUMBER(SEARCH("GIN",C649)),"Gin",
 TRUE,"Other")</f>
        <v>Whiskey</v>
      </c>
      <c r="E649" s="5">
        <v>134450</v>
      </c>
      <c r="F649" s="5">
        <v>3029026.460000006</v>
      </c>
      <c r="G649" s="5">
        <v>106167.48000000144</v>
      </c>
      <c r="H649" s="5">
        <v>16195</v>
      </c>
    </row>
    <row r="650" spans="1:8">
      <c r="A650" s="5">
        <v>2024</v>
      </c>
      <c r="B650" s="6">
        <v>45352</v>
      </c>
      <c r="C650" s="5" t="s">
        <v>48</v>
      </c>
      <c r="D650" s="3" t="str" cm="1">
        <f t="array" ref="D650">_xlfn.IFS(
 ISNUMBER(SEARCH("WHISK",C650)),"Whiskey",
 ISNUMBER(SEARCH("BOURBON",C650)),"Whiskey",
 ISNUMBER(SEARCH("SCOTCH",C650)),"Whiskey",
 ISNUMBER(SEARCH("RYE",C650)),"Whiskey",
 ISNUMBER(SEARCH("VODKA",C650)),"Vodka",
 ISNUMBER(SEARCH("TEQUILA",C650)),"Tequila/Mezcal",
 ISNUMBER(SEARCH("MEZCAL",C650)),"Tequila/Mezcal",
 ISNUMBER(SEARCH("RUM",C650)),"Rum",
 ISNUMBER(SEARCH("BRAND",C650)),"Brandy",
 ISNUMBER(SEARCH("COGNAC",C650)),"Brandy",
 ISNUMBER(SEARCH("LIQUEUR",C650)),"Liqueurs",
 ISNUMBER(SEARCH("CORDIAL",C650)),"Liqueurs",
 ISNUMBER(SEARCH("SCHNAPP",C650)),"Liqueurs",
 ISNUMBER(SEARCH("GIN",C650)),"Gin",
 TRUE,"Other")</f>
        <v>Whiskey</v>
      </c>
      <c r="E650" s="5">
        <v>353149</v>
      </c>
      <c r="F650" s="5">
        <v>2016970.4699999462</v>
      </c>
      <c r="G650" s="5">
        <v>81782.800000004252</v>
      </c>
      <c r="H650" s="5">
        <v>12799</v>
      </c>
    </row>
    <row r="651" spans="1:8">
      <c r="A651" s="5">
        <v>2024</v>
      </c>
      <c r="B651" s="6">
        <v>45352</v>
      </c>
      <c r="C651" s="5" t="s">
        <v>8</v>
      </c>
      <c r="D651" s="3" t="str" cm="1">
        <f t="array" ref="D651">_xlfn.IFS(
 ISNUMBER(SEARCH("WHISK",C651)),"Whiskey",
 ISNUMBER(SEARCH("BOURBON",C651)),"Whiskey",
 ISNUMBER(SEARCH("SCOTCH",C651)),"Whiskey",
 ISNUMBER(SEARCH("RYE",C651)),"Whiskey",
 ISNUMBER(SEARCH("VODKA",C651)),"Vodka",
 ISNUMBER(SEARCH("TEQUILA",C651)),"Tequila/Mezcal",
 ISNUMBER(SEARCH("MEZCAL",C651)),"Tequila/Mezcal",
 ISNUMBER(SEARCH("RUM",C651)),"Rum",
 ISNUMBER(SEARCH("BRAND",C651)),"Brandy",
 ISNUMBER(SEARCH("COGNAC",C651)),"Brandy",
 ISNUMBER(SEARCH("LIQUEUR",C651)),"Liqueurs",
 ISNUMBER(SEARCH("CORDIAL",C651)),"Liqueurs",
 ISNUMBER(SEARCH("SCHNAPP",C651)),"Liqueurs",
 ISNUMBER(SEARCH("GIN",C651)),"Gin",
 TRUE,"Other")</f>
        <v>Brandy</v>
      </c>
      <c r="E651" s="5">
        <v>55314</v>
      </c>
      <c r="F651" s="5">
        <v>360432.76000000222</v>
      </c>
      <c r="G651" s="5">
        <v>28299.449999999717</v>
      </c>
      <c r="H651" s="5">
        <v>4270</v>
      </c>
    </row>
    <row r="652" spans="1:8">
      <c r="A652" s="5">
        <v>2024</v>
      </c>
      <c r="B652" s="6">
        <v>45352</v>
      </c>
      <c r="C652" s="5" t="s">
        <v>13</v>
      </c>
      <c r="D652" s="3" t="str" cm="1">
        <f t="array" ref="D652">_xlfn.IFS(
 ISNUMBER(SEARCH("WHISK",C652)),"Whiskey",
 ISNUMBER(SEARCH("BOURBON",C652)),"Whiskey",
 ISNUMBER(SEARCH("SCOTCH",C652)),"Whiskey",
 ISNUMBER(SEARCH("RYE",C652)),"Whiskey",
 ISNUMBER(SEARCH("VODKA",C652)),"Vodka",
 ISNUMBER(SEARCH("TEQUILA",C652)),"Tequila/Mezcal",
 ISNUMBER(SEARCH("MEZCAL",C652)),"Tequila/Mezcal",
 ISNUMBER(SEARCH("RUM",C652)),"Rum",
 ISNUMBER(SEARCH("BRAND",C652)),"Brandy",
 ISNUMBER(SEARCH("COGNAC",C652)),"Brandy",
 ISNUMBER(SEARCH("LIQUEUR",C652)),"Liqueurs",
 ISNUMBER(SEARCH("CORDIAL",C652)),"Liqueurs",
 ISNUMBER(SEARCH("SCHNAPP",C652)),"Liqueurs",
 ISNUMBER(SEARCH("GIN",C652)),"Gin",
 TRUE,"Other")</f>
        <v>Liqueurs</v>
      </c>
      <c r="E652" s="5">
        <v>82548</v>
      </c>
      <c r="F652" s="5">
        <v>605613.34000002127</v>
      </c>
      <c r="G652" s="5">
        <v>37057.429999999484</v>
      </c>
      <c r="H652" s="5">
        <v>6579</v>
      </c>
    </row>
    <row r="653" spans="1:8">
      <c r="A653" s="5">
        <v>2024</v>
      </c>
      <c r="B653" s="6">
        <v>45352</v>
      </c>
      <c r="C653" s="5" t="s">
        <v>16</v>
      </c>
      <c r="D653" s="3" t="str" cm="1">
        <f t="array" ref="D653">_xlfn.IFS(
 ISNUMBER(SEARCH("WHISK",C653)),"Whiskey",
 ISNUMBER(SEARCH("BOURBON",C653)),"Whiskey",
 ISNUMBER(SEARCH("SCOTCH",C653)),"Whiskey",
 ISNUMBER(SEARCH("RYE",C653)),"Whiskey",
 ISNUMBER(SEARCH("VODKA",C653)),"Vodka",
 ISNUMBER(SEARCH("TEQUILA",C653)),"Tequila/Mezcal",
 ISNUMBER(SEARCH("MEZCAL",C653)),"Tequila/Mezcal",
 ISNUMBER(SEARCH("RUM",C653)),"Rum",
 ISNUMBER(SEARCH("BRAND",C653)),"Brandy",
 ISNUMBER(SEARCH("COGNAC",C653)),"Brandy",
 ISNUMBER(SEARCH("LIQUEUR",C653)),"Liqueurs",
 ISNUMBER(SEARCH("CORDIAL",C653)),"Liqueurs",
 ISNUMBER(SEARCH("SCHNAPP",C653)),"Liqueurs",
 ISNUMBER(SEARCH("GIN",C653)),"Gin",
 TRUE,"Other")</f>
        <v>Whiskey</v>
      </c>
      <c r="E653" s="5">
        <v>67537</v>
      </c>
      <c r="F653" s="5">
        <v>904186.79999998829</v>
      </c>
      <c r="G653" s="5">
        <v>57105.63000000023</v>
      </c>
      <c r="H653" s="5">
        <v>7197</v>
      </c>
    </row>
    <row r="654" spans="1:8">
      <c r="A654" s="5">
        <v>2024</v>
      </c>
      <c r="B654" s="6">
        <v>45352</v>
      </c>
      <c r="C654" s="5" t="s">
        <v>19</v>
      </c>
      <c r="D654" s="3" t="str" cm="1">
        <f t="array" ref="D654">_xlfn.IFS(
 ISNUMBER(SEARCH("WHISK",C654)),"Whiskey",
 ISNUMBER(SEARCH("BOURBON",C654)),"Whiskey",
 ISNUMBER(SEARCH("SCOTCH",C654)),"Whiskey",
 ISNUMBER(SEARCH("RYE",C654)),"Whiskey",
 ISNUMBER(SEARCH("VODKA",C654)),"Vodka",
 ISNUMBER(SEARCH("TEQUILA",C654)),"Tequila/Mezcal",
 ISNUMBER(SEARCH("MEZCAL",C654)),"Tequila/Mezcal",
 ISNUMBER(SEARCH("RUM",C654)),"Rum",
 ISNUMBER(SEARCH("BRAND",C654)),"Brandy",
 ISNUMBER(SEARCH("COGNAC",C654)),"Brandy",
 ISNUMBER(SEARCH("LIQUEUR",C654)),"Liqueurs",
 ISNUMBER(SEARCH("CORDIAL",C654)),"Liqueurs",
 ISNUMBER(SEARCH("SCHNAPP",C654)),"Liqueurs",
 ISNUMBER(SEARCH("GIN",C654)),"Gin",
 TRUE,"Other")</f>
        <v>Other</v>
      </c>
      <c r="E654" s="5">
        <v>49436</v>
      </c>
      <c r="F654" s="5">
        <v>579357.97999998508</v>
      </c>
      <c r="G654" s="5">
        <v>66770.600000000282</v>
      </c>
      <c r="H654" s="5">
        <v>5965</v>
      </c>
    </row>
    <row r="655" spans="1:8">
      <c r="A655" s="5">
        <v>2024</v>
      </c>
      <c r="B655" s="6">
        <v>45352</v>
      </c>
      <c r="C655" s="5" t="s">
        <v>22</v>
      </c>
      <c r="D655" s="3" t="str" cm="1">
        <f t="array" ref="D655">_xlfn.IFS(
 ISNUMBER(SEARCH("WHISK",C655)),"Whiskey",
 ISNUMBER(SEARCH("BOURBON",C655)),"Whiskey",
 ISNUMBER(SEARCH("SCOTCH",C655)),"Whiskey",
 ISNUMBER(SEARCH("RYE",C655)),"Whiskey",
 ISNUMBER(SEARCH("VODKA",C655)),"Vodka",
 ISNUMBER(SEARCH("TEQUILA",C655)),"Tequila/Mezcal",
 ISNUMBER(SEARCH("MEZCAL",C655)),"Tequila/Mezcal",
 ISNUMBER(SEARCH("RUM",C655)),"Rum",
 ISNUMBER(SEARCH("BRAND",C655)),"Brandy",
 ISNUMBER(SEARCH("COGNAC",C655)),"Brandy",
 ISNUMBER(SEARCH("LIQUEUR",C655)),"Liqueurs",
 ISNUMBER(SEARCH("CORDIAL",C655)),"Liqueurs",
 ISNUMBER(SEARCH("SCHNAPP",C655)),"Liqueurs",
 ISNUMBER(SEARCH("GIN",C655)),"Gin",
 TRUE,"Other")</f>
        <v>Liqueurs</v>
      </c>
      <c r="E655" s="5">
        <v>28321</v>
      </c>
      <c r="F655" s="5">
        <v>580398.65999999293</v>
      </c>
      <c r="G655" s="5">
        <v>23465.359999999811</v>
      </c>
      <c r="H655" s="5">
        <v>3793</v>
      </c>
    </row>
    <row r="656" spans="1:8">
      <c r="A656" s="5">
        <v>2024</v>
      </c>
      <c r="B656" s="6">
        <v>45352</v>
      </c>
      <c r="C656" s="5" t="s">
        <v>47</v>
      </c>
      <c r="D656" s="3" t="str" cm="1">
        <f t="array" ref="D656">_xlfn.IFS(
 ISNUMBER(SEARCH("WHISK",C656)),"Whiskey",
 ISNUMBER(SEARCH("BOURBON",C656)),"Whiskey",
 ISNUMBER(SEARCH("SCOTCH",C656)),"Whiskey",
 ISNUMBER(SEARCH("RYE",C656)),"Whiskey",
 ISNUMBER(SEARCH("VODKA",C656)),"Vodka",
 ISNUMBER(SEARCH("TEQUILA",C656)),"Tequila/Mezcal",
 ISNUMBER(SEARCH("MEZCAL",C656)),"Tequila/Mezcal",
 ISNUMBER(SEARCH("RUM",C656)),"Rum",
 ISNUMBER(SEARCH("BRAND",C656)),"Brandy",
 ISNUMBER(SEARCH("COGNAC",C656)),"Brandy",
 ISNUMBER(SEARCH("LIQUEUR",C656)),"Liqueurs",
 ISNUMBER(SEARCH("CORDIAL",C656)),"Liqueurs",
 ISNUMBER(SEARCH("SCHNAPP",C656)),"Liqueurs",
 ISNUMBER(SEARCH("GIN",C656)),"Gin",
 TRUE,"Other")</f>
        <v>Other</v>
      </c>
      <c r="E656" s="5">
        <v>14877</v>
      </c>
      <c r="F656" s="5">
        <v>61213.890000000058</v>
      </c>
      <c r="G656" s="5">
        <v>14713.5</v>
      </c>
      <c r="H656" s="5">
        <v>625</v>
      </c>
    </row>
    <row r="657" spans="1:8">
      <c r="A657" s="5">
        <v>2024</v>
      </c>
      <c r="B657" s="6">
        <v>45352</v>
      </c>
      <c r="C657" s="5" t="s">
        <v>49</v>
      </c>
      <c r="D657" s="3" t="str" cm="1">
        <f t="array" ref="D657">_xlfn.IFS(
 ISNUMBER(SEARCH("WHISK",C657)),"Whiskey",
 ISNUMBER(SEARCH("BOURBON",C657)),"Whiskey",
 ISNUMBER(SEARCH("SCOTCH",C657)),"Whiskey",
 ISNUMBER(SEARCH("RYE",C657)),"Whiskey",
 ISNUMBER(SEARCH("VODKA",C657)),"Vodka",
 ISNUMBER(SEARCH("TEQUILA",C657)),"Tequila/Mezcal",
 ISNUMBER(SEARCH("MEZCAL",C657)),"Tequila/Mezcal",
 ISNUMBER(SEARCH("RUM",C657)),"Rum",
 ISNUMBER(SEARCH("BRAND",C657)),"Brandy",
 ISNUMBER(SEARCH("COGNAC",C657)),"Brandy",
 ISNUMBER(SEARCH("LIQUEUR",C657)),"Liqueurs",
 ISNUMBER(SEARCH("CORDIAL",C657)),"Liqueurs",
 ISNUMBER(SEARCH("SCHNAPP",C657)),"Liqueurs",
 ISNUMBER(SEARCH("GIN",C657)),"Gin",
 TRUE,"Other")</f>
        <v>Rum</v>
      </c>
      <c r="E657" s="5">
        <v>33440</v>
      </c>
      <c r="F657" s="5">
        <v>405560.69999999716</v>
      </c>
      <c r="G657" s="5">
        <v>34400.599999999882</v>
      </c>
      <c r="H657" s="5">
        <v>3211</v>
      </c>
    </row>
    <row r="658" spans="1:8">
      <c r="A658" s="5">
        <v>2024</v>
      </c>
      <c r="B658" s="6">
        <v>45352</v>
      </c>
      <c r="C658" s="5" t="s">
        <v>59</v>
      </c>
      <c r="D658" s="3" t="str" cm="1">
        <f t="array" ref="D658">_xlfn.IFS(
 ISNUMBER(SEARCH("WHISK",C658)),"Whiskey",
 ISNUMBER(SEARCH("BOURBON",C658)),"Whiskey",
 ISNUMBER(SEARCH("SCOTCH",C658)),"Whiskey",
 ISNUMBER(SEARCH("RYE",C658)),"Whiskey",
 ISNUMBER(SEARCH("VODKA",C658)),"Vodka",
 ISNUMBER(SEARCH("TEQUILA",C658)),"Tequila/Mezcal",
 ISNUMBER(SEARCH("MEZCAL",C658)),"Tequila/Mezcal",
 ISNUMBER(SEARCH("RUM",C658)),"Rum",
 ISNUMBER(SEARCH("BRAND",C658)),"Brandy",
 ISNUMBER(SEARCH("COGNAC",C658)),"Brandy",
 ISNUMBER(SEARCH("LIQUEUR",C658)),"Liqueurs",
 ISNUMBER(SEARCH("CORDIAL",C658)),"Liqueurs",
 ISNUMBER(SEARCH("SCHNAPP",C658)),"Liqueurs",
 ISNUMBER(SEARCH("GIN",C658)),"Gin",
 TRUE,"Other")</f>
        <v>Liqueurs</v>
      </c>
      <c r="E658" s="5">
        <v>32888</v>
      </c>
      <c r="F658" s="5">
        <v>356295.59000000823</v>
      </c>
      <c r="G658" s="5">
        <v>14981.799999999532</v>
      </c>
      <c r="H658" s="5">
        <v>4724</v>
      </c>
    </row>
    <row r="659" spans="1:8">
      <c r="A659" s="5">
        <v>2024</v>
      </c>
      <c r="B659" s="6">
        <v>45352</v>
      </c>
      <c r="C659" s="5" t="s">
        <v>33</v>
      </c>
      <c r="D659" s="3" t="str" cm="1">
        <f t="array" ref="D659">_xlfn.IFS(
 ISNUMBER(SEARCH("WHISK",C659)),"Whiskey",
 ISNUMBER(SEARCH("BOURBON",C659)),"Whiskey",
 ISNUMBER(SEARCH("SCOTCH",C659)),"Whiskey",
 ISNUMBER(SEARCH("RYE",C659)),"Whiskey",
 ISNUMBER(SEARCH("VODKA",C659)),"Vodka",
 ISNUMBER(SEARCH("TEQUILA",C659)),"Tequila/Mezcal",
 ISNUMBER(SEARCH("MEZCAL",C659)),"Tequila/Mezcal",
 ISNUMBER(SEARCH("RUM",C659)),"Rum",
 ISNUMBER(SEARCH("BRAND",C659)),"Brandy",
 ISNUMBER(SEARCH("COGNAC",C659)),"Brandy",
 ISNUMBER(SEARCH("LIQUEUR",C659)),"Liqueurs",
 ISNUMBER(SEARCH("CORDIAL",C659)),"Liqueurs",
 ISNUMBER(SEARCH("SCHNAPP",C659)),"Liqueurs",
 ISNUMBER(SEARCH("GIN",C659)),"Gin",
 TRUE,"Other")</f>
        <v>Whiskey</v>
      </c>
      <c r="E659" s="5">
        <v>31689</v>
      </c>
      <c r="F659" s="5">
        <v>882475.26999998116</v>
      </c>
      <c r="G659" s="5">
        <v>26202.209999999908</v>
      </c>
      <c r="H659" s="5">
        <v>2853</v>
      </c>
    </row>
    <row r="660" spans="1:8">
      <c r="A660" s="5">
        <v>2024</v>
      </c>
      <c r="B660" s="6">
        <v>45352</v>
      </c>
      <c r="C660" s="5" t="s">
        <v>35</v>
      </c>
      <c r="D660" s="3" t="str" cm="1">
        <f t="array" ref="D660">_xlfn.IFS(
 ISNUMBER(SEARCH("WHISK",C660)),"Whiskey",
 ISNUMBER(SEARCH("BOURBON",C660)),"Whiskey",
 ISNUMBER(SEARCH("SCOTCH",C660)),"Whiskey",
 ISNUMBER(SEARCH("RYE",C660)),"Whiskey",
 ISNUMBER(SEARCH("VODKA",C660)),"Vodka",
 ISNUMBER(SEARCH("TEQUILA",C660)),"Tequila/Mezcal",
 ISNUMBER(SEARCH("MEZCAL",C660)),"Tequila/Mezcal",
 ISNUMBER(SEARCH("RUM",C660)),"Rum",
 ISNUMBER(SEARCH("BRAND",C660)),"Brandy",
 ISNUMBER(SEARCH("COGNAC",C660)),"Brandy",
 ISNUMBER(SEARCH("LIQUEUR",C660)),"Liqueurs",
 ISNUMBER(SEARCH("CORDIAL",C660)),"Liqueurs",
 ISNUMBER(SEARCH("SCHNAPP",C660)),"Liqueurs",
 ISNUMBER(SEARCH("GIN",C660)),"Gin",
 TRUE,"Other")</f>
        <v>Tequila/Mezcal</v>
      </c>
      <c r="E660" s="5">
        <v>58654</v>
      </c>
      <c r="F660" s="5">
        <v>809662.46999999369</v>
      </c>
      <c r="G660" s="5">
        <v>43941.929999999862</v>
      </c>
      <c r="H660" s="5">
        <v>4340</v>
      </c>
    </row>
    <row r="661" spans="1:8">
      <c r="A661" s="5">
        <v>2024</v>
      </c>
      <c r="B661" s="6">
        <v>45352</v>
      </c>
      <c r="C661" s="5" t="s">
        <v>45</v>
      </c>
      <c r="D661" s="3" t="str" cm="1">
        <f t="array" ref="D661">_xlfn.IFS(
 ISNUMBER(SEARCH("WHISK",C661)),"Whiskey",
 ISNUMBER(SEARCH("BOURBON",C661)),"Whiskey",
 ISNUMBER(SEARCH("SCOTCH",C661)),"Whiskey",
 ISNUMBER(SEARCH("RYE",C661)),"Whiskey",
 ISNUMBER(SEARCH("VODKA",C661)),"Vodka",
 ISNUMBER(SEARCH("TEQUILA",C661)),"Tequila/Mezcal",
 ISNUMBER(SEARCH("MEZCAL",C661)),"Tequila/Mezcal",
 ISNUMBER(SEARCH("RUM",C661)),"Rum",
 ISNUMBER(SEARCH("BRAND",C661)),"Brandy",
 ISNUMBER(SEARCH("COGNAC",C661)),"Brandy",
 ISNUMBER(SEARCH("LIQUEUR",C661)),"Liqueurs",
 ISNUMBER(SEARCH("CORDIAL",C661)),"Liqueurs",
 ISNUMBER(SEARCH("SCHNAPP",C661)),"Liqueurs",
 ISNUMBER(SEARCH("GIN",C661)),"Gin",
 TRUE,"Other")</f>
        <v>Other</v>
      </c>
      <c r="E661" s="5">
        <v>38584</v>
      </c>
      <c r="F661" s="5">
        <v>1175945.180000012</v>
      </c>
      <c r="G661" s="5">
        <v>29080.909999999934</v>
      </c>
      <c r="H661" s="5">
        <v>4408</v>
      </c>
    </row>
    <row r="662" spans="1:8">
      <c r="A662" s="5">
        <v>2024</v>
      </c>
      <c r="B662" s="6">
        <v>45352</v>
      </c>
      <c r="C662" s="5" t="s">
        <v>46</v>
      </c>
      <c r="D662" s="3" t="str" cm="1">
        <f t="array" ref="D662">_xlfn.IFS(
 ISNUMBER(SEARCH("WHISK",C662)),"Whiskey",
 ISNUMBER(SEARCH("BOURBON",C662)),"Whiskey",
 ISNUMBER(SEARCH("SCOTCH",C662)),"Whiskey",
 ISNUMBER(SEARCH("RYE",C662)),"Whiskey",
 ISNUMBER(SEARCH("VODKA",C662)),"Vodka",
 ISNUMBER(SEARCH("TEQUILA",C662)),"Tequila/Mezcal",
 ISNUMBER(SEARCH("MEZCAL",C662)),"Tequila/Mezcal",
 ISNUMBER(SEARCH("RUM",C662)),"Rum",
 ISNUMBER(SEARCH("BRAND",C662)),"Brandy",
 ISNUMBER(SEARCH("COGNAC",C662)),"Brandy",
 ISNUMBER(SEARCH("LIQUEUR",C662)),"Liqueurs",
 ISNUMBER(SEARCH("CORDIAL",C662)),"Liqueurs",
 ISNUMBER(SEARCH("SCHNAPP",C662)),"Liqueurs",
 ISNUMBER(SEARCH("GIN",C662)),"Gin",
 TRUE,"Other")</f>
        <v>Whiskey</v>
      </c>
      <c r="E662" s="5">
        <v>61335</v>
      </c>
      <c r="F662" s="5">
        <v>1460896.3599999903</v>
      </c>
      <c r="G662" s="5">
        <v>44482.149999999798</v>
      </c>
      <c r="H662" s="5">
        <v>6430</v>
      </c>
    </row>
    <row r="663" spans="1:8">
      <c r="A663" s="5">
        <v>2024</v>
      </c>
      <c r="B663" s="6">
        <v>45352</v>
      </c>
      <c r="C663" s="5" t="s">
        <v>14</v>
      </c>
      <c r="D663" s="3" t="str" cm="1">
        <f t="array" ref="D663">_xlfn.IFS(
 ISNUMBER(SEARCH("WHISK",C663)),"Whiskey",
 ISNUMBER(SEARCH("BOURBON",C663)),"Whiskey",
 ISNUMBER(SEARCH("SCOTCH",C663)),"Whiskey",
 ISNUMBER(SEARCH("RYE",C663)),"Whiskey",
 ISNUMBER(SEARCH("VODKA",C663)),"Vodka",
 ISNUMBER(SEARCH("TEQUILA",C663)),"Tequila/Mezcal",
 ISNUMBER(SEARCH("MEZCAL",C663)),"Tequila/Mezcal",
 ISNUMBER(SEARCH("RUM",C663)),"Rum",
 ISNUMBER(SEARCH("BRAND",C663)),"Brandy",
 ISNUMBER(SEARCH("COGNAC",C663)),"Brandy",
 ISNUMBER(SEARCH("LIQUEUR",C663)),"Liqueurs",
 ISNUMBER(SEARCH("CORDIAL",C663)),"Liqueurs",
 ISNUMBER(SEARCH("SCHNAPP",C663)),"Liqueurs",
 ISNUMBER(SEARCH("GIN",C663)),"Gin",
 TRUE,"Other")</f>
        <v>Gin</v>
      </c>
      <c r="E663" s="5">
        <v>215</v>
      </c>
      <c r="F663" s="5">
        <v>1825.3599999999994</v>
      </c>
      <c r="G663" s="5">
        <v>213.5</v>
      </c>
      <c r="H663" s="5">
        <v>46</v>
      </c>
    </row>
    <row r="664" spans="1:8">
      <c r="A664" s="5">
        <v>2024</v>
      </c>
      <c r="B664" s="6">
        <v>45352</v>
      </c>
      <c r="C664" s="5" t="s">
        <v>60</v>
      </c>
      <c r="D664" s="3" t="str" cm="1">
        <f t="array" ref="D664">_xlfn.IFS(
 ISNUMBER(SEARCH("WHISK",C664)),"Whiskey",
 ISNUMBER(SEARCH("BOURBON",C664)),"Whiskey",
 ISNUMBER(SEARCH("SCOTCH",C664)),"Whiskey",
 ISNUMBER(SEARCH("RYE",C664)),"Whiskey",
 ISNUMBER(SEARCH("VODKA",C664)),"Vodka",
 ISNUMBER(SEARCH("TEQUILA",C664)),"Tequila/Mezcal",
 ISNUMBER(SEARCH("MEZCAL",C664)),"Tequila/Mezcal",
 ISNUMBER(SEARCH("RUM",C664)),"Rum",
 ISNUMBER(SEARCH("BRAND",C664)),"Brandy",
 ISNUMBER(SEARCH("COGNAC",C664)),"Brandy",
 ISNUMBER(SEARCH("LIQUEUR",C664)),"Liqueurs",
 ISNUMBER(SEARCH("CORDIAL",C664)),"Liqueurs",
 ISNUMBER(SEARCH("SCHNAPP",C664)),"Liqueurs",
 ISNUMBER(SEARCH("GIN",C664)),"Gin",
 TRUE,"Other")</f>
        <v>Liqueurs</v>
      </c>
      <c r="E664" s="5">
        <v>43723</v>
      </c>
      <c r="F664" s="5">
        <v>1046032.0800000008</v>
      </c>
      <c r="G664" s="5">
        <v>32747.799999999916</v>
      </c>
      <c r="H664" s="5">
        <v>4451</v>
      </c>
    </row>
    <row r="665" spans="1:8">
      <c r="A665" s="5">
        <v>2024</v>
      </c>
      <c r="B665" s="6">
        <v>45352</v>
      </c>
      <c r="C665" s="5" t="s">
        <v>28</v>
      </c>
      <c r="D665" s="3" t="str" cm="1">
        <f t="array" ref="D665">_xlfn.IFS(
 ISNUMBER(SEARCH("WHISK",C665)),"Whiskey",
 ISNUMBER(SEARCH("BOURBON",C665)),"Whiskey",
 ISNUMBER(SEARCH("SCOTCH",C665)),"Whiskey",
 ISNUMBER(SEARCH("RYE",C665)),"Whiskey",
 ISNUMBER(SEARCH("VODKA",C665)),"Vodka",
 ISNUMBER(SEARCH("TEQUILA",C665)),"Tequila/Mezcal",
 ISNUMBER(SEARCH("MEZCAL",C665)),"Tequila/Mezcal",
 ISNUMBER(SEARCH("RUM",C665)),"Rum",
 ISNUMBER(SEARCH("BRAND",C665)),"Brandy",
 ISNUMBER(SEARCH("COGNAC",C665)),"Brandy",
 ISNUMBER(SEARCH("LIQUEUR",C665)),"Liqueurs",
 ISNUMBER(SEARCH("CORDIAL",C665)),"Liqueurs",
 ISNUMBER(SEARCH("SCHNAPP",C665)),"Liqueurs",
 ISNUMBER(SEARCH("GIN",C665)),"Gin",
 TRUE,"Other")</f>
        <v>Other</v>
      </c>
      <c r="E665" s="5">
        <v>32776</v>
      </c>
      <c r="F665" s="5">
        <v>244016.88000000035</v>
      </c>
      <c r="G665" s="5">
        <v>28579.459999999974</v>
      </c>
      <c r="H665" s="5">
        <v>728</v>
      </c>
    </row>
    <row r="666" spans="1:8">
      <c r="A666" s="5">
        <v>2024</v>
      </c>
      <c r="B666" s="6">
        <v>45352</v>
      </c>
      <c r="C666" s="5" t="s">
        <v>29</v>
      </c>
      <c r="D666" s="3" t="str" cm="1">
        <f t="array" ref="D666">_xlfn.IFS(
 ISNUMBER(SEARCH("WHISK",C666)),"Whiskey",
 ISNUMBER(SEARCH("BOURBON",C666)),"Whiskey",
 ISNUMBER(SEARCH("SCOTCH",C666)),"Whiskey",
 ISNUMBER(SEARCH("RYE",C666)),"Whiskey",
 ISNUMBER(SEARCH("VODKA",C666)),"Vodka",
 ISNUMBER(SEARCH("TEQUILA",C666)),"Tequila/Mezcal",
 ISNUMBER(SEARCH("MEZCAL",C666)),"Tequila/Mezcal",
 ISNUMBER(SEARCH("RUM",C666)),"Rum",
 ISNUMBER(SEARCH("BRAND",C666)),"Brandy",
 ISNUMBER(SEARCH("COGNAC",C666)),"Brandy",
 ISNUMBER(SEARCH("LIQUEUR",C666)),"Liqueurs",
 ISNUMBER(SEARCH("CORDIAL",C666)),"Liqueurs",
 ISNUMBER(SEARCH("SCHNAPP",C666)),"Liqueurs",
 ISNUMBER(SEARCH("GIN",C666)),"Gin",
 TRUE,"Other")</f>
        <v>Gin</v>
      </c>
      <c r="E666" s="5">
        <v>14107</v>
      </c>
      <c r="F666" s="5">
        <v>356539.78000000061</v>
      </c>
      <c r="G666" s="5">
        <v>13397.900000000007</v>
      </c>
      <c r="H666" s="5">
        <v>1655</v>
      </c>
    </row>
    <row r="667" spans="1:8">
      <c r="A667" s="5">
        <v>2024</v>
      </c>
      <c r="B667" s="6">
        <v>45352</v>
      </c>
      <c r="C667" s="5" t="s">
        <v>31</v>
      </c>
      <c r="D667" s="3" t="str" cm="1">
        <f t="array" ref="D667">_xlfn.IFS(
 ISNUMBER(SEARCH("WHISK",C667)),"Whiskey",
 ISNUMBER(SEARCH("BOURBON",C667)),"Whiskey",
 ISNUMBER(SEARCH("SCOTCH",C667)),"Whiskey",
 ISNUMBER(SEARCH("RYE",C667)),"Whiskey",
 ISNUMBER(SEARCH("VODKA",C667)),"Vodka",
 ISNUMBER(SEARCH("TEQUILA",C667)),"Tequila/Mezcal",
 ISNUMBER(SEARCH("MEZCAL",C667)),"Tequila/Mezcal",
 ISNUMBER(SEARCH("RUM",C667)),"Rum",
 ISNUMBER(SEARCH("BRAND",C667)),"Brandy",
 ISNUMBER(SEARCH("COGNAC",C667)),"Brandy",
 ISNUMBER(SEARCH("LIQUEUR",C667)),"Liqueurs",
 ISNUMBER(SEARCH("CORDIAL",C667)),"Liqueurs",
 ISNUMBER(SEARCH("SCHNAPP",C667)),"Liqueurs",
 ISNUMBER(SEARCH("GIN",C667)),"Gin",
 TRUE,"Other")</f>
        <v>Liqueurs</v>
      </c>
      <c r="E667" s="5">
        <v>25068</v>
      </c>
      <c r="F667" s="5">
        <v>457865.10000000126</v>
      </c>
      <c r="G667" s="5">
        <v>22662.889999999825</v>
      </c>
      <c r="H667" s="5">
        <v>2394</v>
      </c>
    </row>
    <row r="668" spans="1:8">
      <c r="A668" s="5">
        <v>2024</v>
      </c>
      <c r="B668" s="6">
        <v>45352</v>
      </c>
      <c r="C668" s="5" t="s">
        <v>44</v>
      </c>
      <c r="D668" s="3" t="str" cm="1">
        <f t="array" ref="D668">_xlfn.IFS(
 ISNUMBER(SEARCH("WHISK",C668)),"Whiskey",
 ISNUMBER(SEARCH("BOURBON",C668)),"Whiskey",
 ISNUMBER(SEARCH("SCOTCH",C668)),"Whiskey",
 ISNUMBER(SEARCH("RYE",C668)),"Whiskey",
 ISNUMBER(SEARCH("VODKA",C668)),"Vodka",
 ISNUMBER(SEARCH("TEQUILA",C668)),"Tequila/Mezcal",
 ISNUMBER(SEARCH("MEZCAL",C668)),"Tequila/Mezcal",
 ISNUMBER(SEARCH("RUM",C668)),"Rum",
 ISNUMBER(SEARCH("BRAND",C668)),"Brandy",
 ISNUMBER(SEARCH("COGNAC",C668)),"Brandy",
 ISNUMBER(SEARCH("LIQUEUR",C668)),"Liqueurs",
 ISNUMBER(SEARCH("CORDIAL",C668)),"Liqueurs",
 ISNUMBER(SEARCH("SCHNAPP",C668)),"Liqueurs",
 ISNUMBER(SEARCH("GIN",C668)),"Gin",
 TRUE,"Other")</f>
        <v>Whiskey</v>
      </c>
      <c r="E668" s="5">
        <v>9072</v>
      </c>
      <c r="F668" s="5">
        <v>265489.10000000068</v>
      </c>
      <c r="G668" s="5">
        <v>6978.619999999999</v>
      </c>
      <c r="H668" s="5">
        <v>1409</v>
      </c>
    </row>
    <row r="669" spans="1:8">
      <c r="A669" s="5">
        <v>2024</v>
      </c>
      <c r="B669" s="6">
        <v>45352</v>
      </c>
      <c r="C669" s="5" t="s">
        <v>30</v>
      </c>
      <c r="D669" s="3" t="str" cm="1">
        <f t="array" ref="D669">_xlfn.IFS(
 ISNUMBER(SEARCH("WHISK",C669)),"Whiskey",
 ISNUMBER(SEARCH("BOURBON",C669)),"Whiskey",
 ISNUMBER(SEARCH("SCOTCH",C669)),"Whiskey",
 ISNUMBER(SEARCH("RYE",C669)),"Whiskey",
 ISNUMBER(SEARCH("VODKA",C669)),"Vodka",
 ISNUMBER(SEARCH("TEQUILA",C669)),"Tequila/Mezcal",
 ISNUMBER(SEARCH("MEZCAL",C669)),"Tequila/Mezcal",
 ISNUMBER(SEARCH("RUM",C669)),"Rum",
 ISNUMBER(SEARCH("BRAND",C669)),"Brandy",
 ISNUMBER(SEARCH("COGNAC",C669)),"Brandy",
 ISNUMBER(SEARCH("LIQUEUR",C669)),"Liqueurs",
 ISNUMBER(SEARCH("CORDIAL",C669)),"Liqueurs",
 ISNUMBER(SEARCH("SCHNAPP",C669)),"Liqueurs",
 ISNUMBER(SEARCH("GIN",C669)),"Gin",
 TRUE,"Other")</f>
        <v>Vodka</v>
      </c>
      <c r="E669" s="5">
        <v>17815</v>
      </c>
      <c r="F669" s="5">
        <v>308886.36000000098</v>
      </c>
      <c r="G669" s="5">
        <v>13874.260000000011</v>
      </c>
      <c r="H669" s="5">
        <v>2169</v>
      </c>
    </row>
    <row r="670" spans="1:8">
      <c r="A670" s="5">
        <v>2024</v>
      </c>
      <c r="B670" s="6">
        <v>45352</v>
      </c>
      <c r="C670" s="5" t="s">
        <v>11</v>
      </c>
      <c r="D670" s="3" t="str" cm="1">
        <f t="array" ref="D670">_xlfn.IFS(
 ISNUMBER(SEARCH("WHISK",C670)),"Whiskey",
 ISNUMBER(SEARCH("BOURBON",C670)),"Whiskey",
 ISNUMBER(SEARCH("SCOTCH",C670)),"Whiskey",
 ISNUMBER(SEARCH("RYE",C670)),"Whiskey",
 ISNUMBER(SEARCH("VODKA",C670)),"Vodka",
 ISNUMBER(SEARCH("TEQUILA",C670)),"Tequila/Mezcal",
 ISNUMBER(SEARCH("MEZCAL",C670)),"Tequila/Mezcal",
 ISNUMBER(SEARCH("RUM",C670)),"Rum",
 ISNUMBER(SEARCH("BRAND",C670)),"Brandy",
 ISNUMBER(SEARCH("COGNAC",C670)),"Brandy",
 ISNUMBER(SEARCH("LIQUEUR",C670)),"Liqueurs",
 ISNUMBER(SEARCH("CORDIAL",C670)),"Liqueurs",
 ISNUMBER(SEARCH("SCHNAPP",C670)),"Liqueurs",
 ISNUMBER(SEARCH("GIN",C670)),"Gin",
 TRUE,"Other")</f>
        <v>Gin</v>
      </c>
      <c r="E670" s="5">
        <v>25970</v>
      </c>
      <c r="F670" s="5">
        <v>238583.12000000084</v>
      </c>
      <c r="G670" s="5">
        <v>21518.589999999989</v>
      </c>
      <c r="H670" s="5">
        <v>2360</v>
      </c>
    </row>
    <row r="671" spans="1:8">
      <c r="A671" s="5">
        <v>2024</v>
      </c>
      <c r="B671" s="6">
        <v>45352</v>
      </c>
      <c r="C671" s="5" t="s">
        <v>32</v>
      </c>
      <c r="D671" s="3" t="str" cm="1">
        <f t="array" ref="D671">_xlfn.IFS(
 ISNUMBER(SEARCH("WHISK",C671)),"Whiskey",
 ISNUMBER(SEARCH("BOURBON",C671)),"Whiskey",
 ISNUMBER(SEARCH("SCOTCH",C671)),"Whiskey",
 ISNUMBER(SEARCH("RYE",C671)),"Whiskey",
 ISNUMBER(SEARCH("VODKA",C671)),"Vodka",
 ISNUMBER(SEARCH("TEQUILA",C671)),"Tequila/Mezcal",
 ISNUMBER(SEARCH("MEZCAL",C671)),"Tequila/Mezcal",
 ISNUMBER(SEARCH("RUM",C671)),"Rum",
 ISNUMBER(SEARCH("BRAND",C671)),"Brandy",
 ISNUMBER(SEARCH("COGNAC",C671)),"Brandy",
 ISNUMBER(SEARCH("LIQUEUR",C671)),"Liqueurs",
 ISNUMBER(SEARCH("CORDIAL",C671)),"Liqueurs",
 ISNUMBER(SEARCH("SCHNAPP",C671)),"Liqueurs",
 ISNUMBER(SEARCH("GIN",C671)),"Gin",
 TRUE,"Other")</f>
        <v>Vodka</v>
      </c>
      <c r="E671" s="5">
        <v>56447</v>
      </c>
      <c r="F671" s="5">
        <v>951595.49999998603</v>
      </c>
      <c r="G671" s="5">
        <v>58348.520000000382</v>
      </c>
      <c r="H671" s="5">
        <v>4489</v>
      </c>
    </row>
    <row r="672" spans="1:8">
      <c r="A672" s="5">
        <v>2024</v>
      </c>
      <c r="B672" s="6">
        <v>45352</v>
      </c>
      <c r="C672" s="5" t="s">
        <v>38</v>
      </c>
      <c r="D672" s="3" t="str" cm="1">
        <f t="array" ref="D672">_xlfn.IFS(
 ISNUMBER(SEARCH("WHISK",C672)),"Whiskey",
 ISNUMBER(SEARCH("BOURBON",C672)),"Whiskey",
 ISNUMBER(SEARCH("SCOTCH",C672)),"Whiskey",
 ISNUMBER(SEARCH("RYE",C672)),"Whiskey",
 ISNUMBER(SEARCH("VODKA",C672)),"Vodka",
 ISNUMBER(SEARCH("TEQUILA",C672)),"Tequila/Mezcal",
 ISNUMBER(SEARCH("MEZCAL",C672)),"Tequila/Mezcal",
 ISNUMBER(SEARCH("RUM",C672)),"Rum",
 ISNUMBER(SEARCH("BRAND",C672)),"Brandy",
 ISNUMBER(SEARCH("COGNAC",C672)),"Brandy",
 ISNUMBER(SEARCH("LIQUEUR",C672)),"Liqueurs",
 ISNUMBER(SEARCH("CORDIAL",C672)),"Liqueurs",
 ISNUMBER(SEARCH("SCHNAPP",C672)),"Liqueurs",
 ISNUMBER(SEARCH("GIN",C672)),"Gin",
 TRUE,"Other")</f>
        <v>Whiskey</v>
      </c>
      <c r="E672" s="5">
        <v>15023</v>
      </c>
      <c r="F672" s="5">
        <v>403474.4</v>
      </c>
      <c r="G672" s="5">
        <v>16765.780000000002</v>
      </c>
      <c r="H672" s="5">
        <v>2219</v>
      </c>
    </row>
    <row r="673" spans="1:8">
      <c r="A673" s="5">
        <v>2024</v>
      </c>
      <c r="B673" s="6">
        <v>45352</v>
      </c>
      <c r="C673" s="5" t="s">
        <v>40</v>
      </c>
      <c r="D673" s="3" t="str" cm="1">
        <f t="array" ref="D673">_xlfn.IFS(
 ISNUMBER(SEARCH("WHISK",C673)),"Whiskey",
 ISNUMBER(SEARCH("BOURBON",C673)),"Whiskey",
 ISNUMBER(SEARCH("SCOTCH",C673)),"Whiskey",
 ISNUMBER(SEARCH("RYE",C673)),"Whiskey",
 ISNUMBER(SEARCH("VODKA",C673)),"Vodka",
 ISNUMBER(SEARCH("TEQUILA",C673)),"Tequila/Mezcal",
 ISNUMBER(SEARCH("MEZCAL",C673)),"Tequila/Mezcal",
 ISNUMBER(SEARCH("RUM",C673)),"Rum",
 ISNUMBER(SEARCH("BRAND",C673)),"Brandy",
 ISNUMBER(SEARCH("COGNAC",C673)),"Brandy",
 ISNUMBER(SEARCH("LIQUEUR",C673)),"Liqueurs",
 ISNUMBER(SEARCH("CORDIAL",C673)),"Liqueurs",
 ISNUMBER(SEARCH("SCHNAPP",C673)),"Liqueurs",
 ISNUMBER(SEARCH("GIN",C673)),"Gin",
 TRUE,"Other")</f>
        <v>Whiskey</v>
      </c>
      <c r="E673" s="5">
        <v>4455</v>
      </c>
      <c r="F673" s="5">
        <v>241378.15000000023</v>
      </c>
      <c r="G673" s="5">
        <v>3556.25</v>
      </c>
      <c r="H673" s="5">
        <v>1048</v>
      </c>
    </row>
    <row r="674" spans="1:8">
      <c r="A674" s="5">
        <v>2024</v>
      </c>
      <c r="B674" s="6">
        <v>45352</v>
      </c>
      <c r="C674" s="5" t="s">
        <v>20</v>
      </c>
      <c r="D674" s="3" t="str" cm="1">
        <f t="array" ref="D674">_xlfn.IFS(
 ISNUMBER(SEARCH("WHISK",C674)),"Whiskey",
 ISNUMBER(SEARCH("BOURBON",C674)),"Whiskey",
 ISNUMBER(SEARCH("SCOTCH",C674)),"Whiskey",
 ISNUMBER(SEARCH("RYE",C674)),"Whiskey",
 ISNUMBER(SEARCH("VODKA",C674)),"Vodka",
 ISNUMBER(SEARCH("TEQUILA",C674)),"Tequila/Mezcal",
 ISNUMBER(SEARCH("MEZCAL",C674)),"Tequila/Mezcal",
 ISNUMBER(SEARCH("RUM",C674)),"Rum",
 ISNUMBER(SEARCH("BRAND",C674)),"Brandy",
 ISNUMBER(SEARCH("COGNAC",C674)),"Brandy",
 ISNUMBER(SEARCH("LIQUEUR",C674)),"Liqueurs",
 ISNUMBER(SEARCH("CORDIAL",C674)),"Liqueurs",
 ISNUMBER(SEARCH("SCHNAPP",C674)),"Liqueurs",
 ISNUMBER(SEARCH("GIN",C674)),"Gin",
 TRUE,"Other")</f>
        <v>Liqueurs</v>
      </c>
      <c r="E674" s="5">
        <v>6432</v>
      </c>
      <c r="F674" s="5">
        <v>140313.00000000044</v>
      </c>
      <c r="G674" s="5">
        <v>5556.1800000000021</v>
      </c>
      <c r="H674" s="5">
        <v>787</v>
      </c>
    </row>
    <row r="675" spans="1:8">
      <c r="A675" s="5">
        <v>2024</v>
      </c>
      <c r="B675" s="6">
        <v>45352</v>
      </c>
      <c r="C675" s="5" t="s">
        <v>23</v>
      </c>
      <c r="D675" s="3" t="str" cm="1">
        <f t="array" ref="D675">_xlfn.IFS(
 ISNUMBER(SEARCH("WHISK",C675)),"Whiskey",
 ISNUMBER(SEARCH("BOURBON",C675)),"Whiskey",
 ISNUMBER(SEARCH("SCOTCH",C675)),"Whiskey",
 ISNUMBER(SEARCH("RYE",C675)),"Whiskey",
 ISNUMBER(SEARCH("VODKA",C675)),"Vodka",
 ISNUMBER(SEARCH("TEQUILA",C675)),"Tequila/Mezcal",
 ISNUMBER(SEARCH("MEZCAL",C675)),"Tequila/Mezcal",
 ISNUMBER(SEARCH("RUM",C675)),"Rum",
 ISNUMBER(SEARCH("BRAND",C675)),"Brandy",
 ISNUMBER(SEARCH("COGNAC",C675)),"Brandy",
 ISNUMBER(SEARCH("LIQUEUR",C675)),"Liqueurs",
 ISNUMBER(SEARCH("CORDIAL",C675)),"Liqueurs",
 ISNUMBER(SEARCH("SCHNAPP",C675)),"Liqueurs",
 ISNUMBER(SEARCH("GIN",C675)),"Gin",
 TRUE,"Other")</f>
        <v>Gin</v>
      </c>
      <c r="E675" s="5">
        <v>2732</v>
      </c>
      <c r="F675" s="5">
        <v>69128.910000000018</v>
      </c>
      <c r="G675" s="5">
        <v>2049.8000000000002</v>
      </c>
      <c r="H675" s="5">
        <v>347</v>
      </c>
    </row>
    <row r="676" spans="1:8">
      <c r="A676" s="5">
        <v>2024</v>
      </c>
      <c r="B676" s="6">
        <v>45352</v>
      </c>
      <c r="C676" s="5" t="s">
        <v>36</v>
      </c>
      <c r="D676" s="3" t="str" cm="1">
        <f t="array" ref="D676">_xlfn.IFS(
 ISNUMBER(SEARCH("WHISK",C676)),"Whiskey",
 ISNUMBER(SEARCH("BOURBON",C676)),"Whiskey",
 ISNUMBER(SEARCH("SCOTCH",C676)),"Whiskey",
 ISNUMBER(SEARCH("RYE",C676)),"Whiskey",
 ISNUMBER(SEARCH("VODKA",C676)),"Vodka",
 ISNUMBER(SEARCH("TEQUILA",C676)),"Tequila/Mezcal",
 ISNUMBER(SEARCH("MEZCAL",C676)),"Tequila/Mezcal",
 ISNUMBER(SEARCH("RUM",C676)),"Rum",
 ISNUMBER(SEARCH("BRAND",C676)),"Brandy",
 ISNUMBER(SEARCH("COGNAC",C676)),"Brandy",
 ISNUMBER(SEARCH("LIQUEUR",C676)),"Liqueurs",
 ISNUMBER(SEARCH("CORDIAL",C676)),"Liqueurs",
 ISNUMBER(SEARCH("SCHNAPP",C676)),"Liqueurs",
 ISNUMBER(SEARCH("GIN",C676)),"Gin",
 TRUE,"Other")</f>
        <v>Other</v>
      </c>
      <c r="E676" s="5">
        <v>2573</v>
      </c>
      <c r="F676" s="5">
        <v>35607.859999999979</v>
      </c>
      <c r="G676" s="5">
        <v>1963.9499999999998</v>
      </c>
      <c r="H676" s="5">
        <v>291</v>
      </c>
    </row>
    <row r="677" spans="1:8">
      <c r="A677" s="5">
        <v>2024</v>
      </c>
      <c r="B677" s="6">
        <v>45352</v>
      </c>
      <c r="C677" s="5" t="s">
        <v>25</v>
      </c>
      <c r="D677" s="3" t="str" cm="1">
        <f t="array" ref="D677">_xlfn.IFS(
 ISNUMBER(SEARCH("WHISK",C677)),"Whiskey",
 ISNUMBER(SEARCH("BOURBON",C677)),"Whiskey",
 ISNUMBER(SEARCH("SCOTCH",C677)),"Whiskey",
 ISNUMBER(SEARCH("RYE",C677)),"Whiskey",
 ISNUMBER(SEARCH("VODKA",C677)),"Vodka",
 ISNUMBER(SEARCH("TEQUILA",C677)),"Tequila/Mezcal",
 ISNUMBER(SEARCH("MEZCAL",C677)),"Tequila/Mezcal",
 ISNUMBER(SEARCH("RUM",C677)),"Rum",
 ISNUMBER(SEARCH("BRAND",C677)),"Brandy",
 ISNUMBER(SEARCH("COGNAC",C677)),"Brandy",
 ISNUMBER(SEARCH("LIQUEUR",C677)),"Liqueurs",
 ISNUMBER(SEARCH("CORDIAL",C677)),"Liqueurs",
 ISNUMBER(SEARCH("SCHNAPP",C677)),"Liqueurs",
 ISNUMBER(SEARCH("GIN",C677)),"Gin",
 TRUE,"Other")</f>
        <v>Rum</v>
      </c>
      <c r="E677" s="5">
        <v>5067</v>
      </c>
      <c r="F677" s="5">
        <v>69625.049999999901</v>
      </c>
      <c r="G677" s="5">
        <v>5740.980000000005</v>
      </c>
      <c r="H677" s="5">
        <v>786</v>
      </c>
    </row>
    <row r="678" spans="1:8">
      <c r="A678" s="5">
        <v>2024</v>
      </c>
      <c r="B678" s="6">
        <v>45352</v>
      </c>
      <c r="C678" s="5" t="s">
        <v>17</v>
      </c>
      <c r="D678" s="3" t="str" cm="1">
        <f t="array" ref="D678">_xlfn.IFS(
 ISNUMBER(SEARCH("WHISK",C678)),"Whiskey",
 ISNUMBER(SEARCH("BOURBON",C678)),"Whiskey",
 ISNUMBER(SEARCH("SCOTCH",C678)),"Whiskey",
 ISNUMBER(SEARCH("RYE",C678)),"Whiskey",
 ISNUMBER(SEARCH("VODKA",C678)),"Vodka",
 ISNUMBER(SEARCH("TEQUILA",C678)),"Tequila/Mezcal",
 ISNUMBER(SEARCH("MEZCAL",C678)),"Tequila/Mezcal",
 ISNUMBER(SEARCH("RUM",C678)),"Rum",
 ISNUMBER(SEARCH("BRAND",C678)),"Brandy",
 ISNUMBER(SEARCH("COGNAC",C678)),"Brandy",
 ISNUMBER(SEARCH("LIQUEUR",C678)),"Liqueurs",
 ISNUMBER(SEARCH("CORDIAL",C678)),"Liqueurs",
 ISNUMBER(SEARCH("SCHNAPP",C678)),"Liqueurs",
 ISNUMBER(SEARCH("GIN",C678)),"Gin",
 TRUE,"Other")</f>
        <v>Whiskey</v>
      </c>
      <c r="E678" s="5">
        <v>4287</v>
      </c>
      <c r="F678" s="5">
        <v>139133.82000000004</v>
      </c>
      <c r="G678" s="5">
        <v>3494.25</v>
      </c>
      <c r="H678" s="5">
        <v>661</v>
      </c>
    </row>
    <row r="679" spans="1:8">
      <c r="A679" s="5">
        <v>2024</v>
      </c>
      <c r="B679" s="6">
        <v>45352</v>
      </c>
      <c r="C679" s="5" t="s">
        <v>10</v>
      </c>
      <c r="D679" s="3" t="str" cm="1">
        <f t="array" ref="D679">_xlfn.IFS(
 ISNUMBER(SEARCH("WHISK",C679)),"Whiskey",
 ISNUMBER(SEARCH("BOURBON",C679)),"Whiskey",
 ISNUMBER(SEARCH("SCOTCH",C679)),"Whiskey",
 ISNUMBER(SEARCH("RYE",C679)),"Whiskey",
 ISNUMBER(SEARCH("VODKA",C679)),"Vodka",
 ISNUMBER(SEARCH("TEQUILA",C679)),"Tequila/Mezcal",
 ISNUMBER(SEARCH("MEZCAL",C679)),"Tequila/Mezcal",
 ISNUMBER(SEARCH("RUM",C679)),"Rum",
 ISNUMBER(SEARCH("BRAND",C679)),"Brandy",
 ISNUMBER(SEARCH("COGNAC",C679)),"Brandy",
 ISNUMBER(SEARCH("LIQUEUR",C679)),"Liqueurs",
 ISNUMBER(SEARCH("CORDIAL",C679)),"Liqueurs",
 ISNUMBER(SEARCH("SCHNAPP",C679)),"Liqueurs",
 ISNUMBER(SEARCH("GIN",C679)),"Gin",
 TRUE,"Other")</f>
        <v>Other</v>
      </c>
      <c r="E679" s="5">
        <v>6910</v>
      </c>
      <c r="F679" s="5">
        <v>127867.25000000023</v>
      </c>
      <c r="G679" s="5">
        <v>4978.579999999999</v>
      </c>
      <c r="H679" s="5">
        <v>744</v>
      </c>
    </row>
    <row r="680" spans="1:8">
      <c r="A680" s="5">
        <v>2024</v>
      </c>
      <c r="B680" s="6">
        <v>45352</v>
      </c>
      <c r="C680" s="5" t="s">
        <v>39</v>
      </c>
      <c r="D680" s="3" t="str" cm="1">
        <f t="array" ref="D680">_xlfn.IFS(
 ISNUMBER(SEARCH("WHISK",C680)),"Whiskey",
 ISNUMBER(SEARCH("BOURBON",C680)),"Whiskey",
 ISNUMBER(SEARCH("SCOTCH",C680)),"Whiskey",
 ISNUMBER(SEARCH("RYE",C680)),"Whiskey",
 ISNUMBER(SEARCH("VODKA",C680)),"Vodka",
 ISNUMBER(SEARCH("TEQUILA",C680)),"Tequila/Mezcal",
 ISNUMBER(SEARCH("MEZCAL",C680)),"Tequila/Mezcal",
 ISNUMBER(SEARCH("RUM",C680)),"Rum",
 ISNUMBER(SEARCH("BRAND",C680)),"Brandy",
 ISNUMBER(SEARCH("COGNAC",C680)),"Brandy",
 ISNUMBER(SEARCH("LIQUEUR",C680)),"Liqueurs",
 ISNUMBER(SEARCH("CORDIAL",C680)),"Liqueurs",
 ISNUMBER(SEARCH("SCHNAPP",C680)),"Liqueurs",
 ISNUMBER(SEARCH("GIN",C680)),"Gin",
 TRUE,"Other")</f>
        <v>Whiskey</v>
      </c>
      <c r="E680" s="5">
        <v>2576</v>
      </c>
      <c r="F680" s="5">
        <v>102002.98000000003</v>
      </c>
      <c r="G680" s="5">
        <v>1932</v>
      </c>
      <c r="H680" s="5">
        <v>482</v>
      </c>
    </row>
    <row r="681" spans="1:8">
      <c r="A681" s="5">
        <v>2024</v>
      </c>
      <c r="B681" s="6">
        <v>45352</v>
      </c>
      <c r="C681" s="5" t="s">
        <v>34</v>
      </c>
      <c r="D681" s="3" t="str" cm="1">
        <f t="array" ref="D681">_xlfn.IFS(
 ISNUMBER(SEARCH("WHISK",C681)),"Whiskey",
 ISNUMBER(SEARCH("BOURBON",C681)),"Whiskey",
 ISNUMBER(SEARCH("SCOTCH",C681)),"Whiskey",
 ISNUMBER(SEARCH("RYE",C681)),"Whiskey",
 ISNUMBER(SEARCH("VODKA",C681)),"Vodka",
 ISNUMBER(SEARCH("TEQUILA",C681)),"Tequila/Mezcal",
 ISNUMBER(SEARCH("MEZCAL",C681)),"Tequila/Mezcal",
 ISNUMBER(SEARCH("RUM",C681)),"Rum",
 ISNUMBER(SEARCH("BRAND",C681)),"Brandy",
 ISNUMBER(SEARCH("COGNAC",C681)),"Brandy",
 ISNUMBER(SEARCH("LIQUEUR",C681)),"Liqueurs",
 ISNUMBER(SEARCH("CORDIAL",C681)),"Liqueurs",
 ISNUMBER(SEARCH("SCHNAPP",C681)),"Liqueurs",
 ISNUMBER(SEARCH("GIN",C681)),"Gin",
 TRUE,"Other")</f>
        <v>Tequila/Mezcal</v>
      </c>
      <c r="E681" s="5">
        <v>1178</v>
      </c>
      <c r="F681" s="5">
        <v>40318.669999999991</v>
      </c>
      <c r="G681" s="5">
        <v>887.25</v>
      </c>
      <c r="H681" s="5">
        <v>218</v>
      </c>
    </row>
    <row r="682" spans="1:8">
      <c r="A682" s="5">
        <v>2024</v>
      </c>
      <c r="B682" s="6">
        <v>45352</v>
      </c>
      <c r="C682" s="5" t="s">
        <v>7</v>
      </c>
      <c r="D682" s="3" t="str" cm="1">
        <f t="array" ref="D682">_xlfn.IFS(
 ISNUMBER(SEARCH("WHISK",C682)),"Whiskey",
 ISNUMBER(SEARCH("BOURBON",C682)),"Whiskey",
 ISNUMBER(SEARCH("SCOTCH",C682)),"Whiskey",
 ISNUMBER(SEARCH("RYE",C682)),"Whiskey",
 ISNUMBER(SEARCH("VODKA",C682)),"Vodka",
 ISNUMBER(SEARCH("TEQUILA",C682)),"Tequila/Mezcal",
 ISNUMBER(SEARCH("MEZCAL",C682)),"Tequila/Mezcal",
 ISNUMBER(SEARCH("RUM",C682)),"Rum",
 ISNUMBER(SEARCH("BRAND",C682)),"Brandy",
 ISNUMBER(SEARCH("COGNAC",C682)),"Brandy",
 ISNUMBER(SEARCH("LIQUEUR",C682)),"Liqueurs",
 ISNUMBER(SEARCH("CORDIAL",C682)),"Liqueurs",
 ISNUMBER(SEARCH("SCHNAPP",C682)),"Liqueurs",
 ISNUMBER(SEARCH("GIN",C682)),"Gin",
 TRUE,"Other")</f>
        <v>Rum</v>
      </c>
      <c r="E682" s="5">
        <v>4031</v>
      </c>
      <c r="F682" s="5">
        <v>83893.460000000065</v>
      </c>
      <c r="G682" s="5">
        <v>3367.25</v>
      </c>
      <c r="H682" s="5">
        <v>579</v>
      </c>
    </row>
    <row r="683" spans="1:8">
      <c r="A683" s="5">
        <v>2024</v>
      </c>
      <c r="B683" s="6">
        <v>45352</v>
      </c>
      <c r="C683" s="5" t="s">
        <v>41</v>
      </c>
      <c r="D683" s="3" t="str" cm="1">
        <f t="array" ref="D683">_xlfn.IFS(
 ISNUMBER(SEARCH("WHISK",C683)),"Whiskey",
 ISNUMBER(SEARCH("BOURBON",C683)),"Whiskey",
 ISNUMBER(SEARCH("SCOTCH",C683)),"Whiskey",
 ISNUMBER(SEARCH("RYE",C683)),"Whiskey",
 ISNUMBER(SEARCH("VODKA",C683)),"Vodka",
 ISNUMBER(SEARCH("TEQUILA",C683)),"Tequila/Mezcal",
 ISNUMBER(SEARCH("MEZCAL",C683)),"Tequila/Mezcal",
 ISNUMBER(SEARCH("RUM",C683)),"Rum",
 ISNUMBER(SEARCH("BRAND",C683)),"Brandy",
 ISNUMBER(SEARCH("COGNAC",C683)),"Brandy",
 ISNUMBER(SEARCH("LIQUEUR",C683)),"Liqueurs",
 ISNUMBER(SEARCH("CORDIAL",C683)),"Liqueurs",
 ISNUMBER(SEARCH("SCHNAPP",C683)),"Liqueurs",
 ISNUMBER(SEARCH("GIN",C683)),"Gin",
 TRUE,"Other")</f>
        <v>Other</v>
      </c>
      <c r="E683" s="5">
        <v>2493</v>
      </c>
      <c r="F683" s="5">
        <v>33641.260000000024</v>
      </c>
      <c r="G683" s="5">
        <v>1528.3999999999987</v>
      </c>
      <c r="H683" s="5">
        <v>186</v>
      </c>
    </row>
    <row r="684" spans="1:8">
      <c r="A684" s="5">
        <v>2024</v>
      </c>
      <c r="B684" s="6">
        <v>45352</v>
      </c>
      <c r="C684" s="5" t="s">
        <v>21</v>
      </c>
      <c r="D684" s="3" t="str" cm="1">
        <f t="array" ref="D684">_xlfn.IFS(
 ISNUMBER(SEARCH("WHISK",C684)),"Whiskey",
 ISNUMBER(SEARCH("BOURBON",C684)),"Whiskey",
 ISNUMBER(SEARCH("SCOTCH",C684)),"Whiskey",
 ISNUMBER(SEARCH("RYE",C684)),"Whiskey",
 ISNUMBER(SEARCH("VODKA",C684)),"Vodka",
 ISNUMBER(SEARCH("TEQUILA",C684)),"Tequila/Mezcal",
 ISNUMBER(SEARCH("MEZCAL",C684)),"Tequila/Mezcal",
 ISNUMBER(SEARCH("RUM",C684)),"Rum",
 ISNUMBER(SEARCH("BRAND",C684)),"Brandy",
 ISNUMBER(SEARCH("COGNAC",C684)),"Brandy",
 ISNUMBER(SEARCH("LIQUEUR",C684)),"Liqueurs",
 ISNUMBER(SEARCH("CORDIAL",C684)),"Liqueurs",
 ISNUMBER(SEARCH("SCHNAPP",C684)),"Liqueurs",
 ISNUMBER(SEARCH("GIN",C684)),"Gin",
 TRUE,"Other")</f>
        <v>Whiskey</v>
      </c>
      <c r="E684" s="5">
        <v>459</v>
      </c>
      <c r="F684" s="5">
        <v>9363.0399999999991</v>
      </c>
      <c r="G684" s="5">
        <v>303.74</v>
      </c>
      <c r="H684" s="5">
        <v>83</v>
      </c>
    </row>
    <row r="685" spans="1:8">
      <c r="A685" s="5">
        <v>2024</v>
      </c>
      <c r="B685" s="6">
        <v>45383</v>
      </c>
      <c r="C685" s="5" t="s">
        <v>59</v>
      </c>
      <c r="D685" s="3" t="str" cm="1">
        <f t="array" ref="D685">_xlfn.IFS(
 ISNUMBER(SEARCH("WHISK",C685)),"Whiskey",
 ISNUMBER(SEARCH("BOURBON",C685)),"Whiskey",
 ISNUMBER(SEARCH("SCOTCH",C685)),"Whiskey",
 ISNUMBER(SEARCH("RYE",C685)),"Whiskey",
 ISNUMBER(SEARCH("VODKA",C685)),"Vodka",
 ISNUMBER(SEARCH("TEQUILA",C685)),"Tequila/Mezcal",
 ISNUMBER(SEARCH("MEZCAL",C685)),"Tequila/Mezcal",
 ISNUMBER(SEARCH("RUM",C685)),"Rum",
 ISNUMBER(SEARCH("BRAND",C685)),"Brandy",
 ISNUMBER(SEARCH("COGNAC",C685)),"Brandy",
 ISNUMBER(SEARCH("LIQUEUR",C685)),"Liqueurs",
 ISNUMBER(SEARCH("CORDIAL",C685)),"Liqueurs",
 ISNUMBER(SEARCH("SCHNAPP",C685)),"Liqueurs",
 ISNUMBER(SEARCH("GIN",C685)),"Gin",
 TRUE,"Other")</f>
        <v>Liqueurs</v>
      </c>
      <c r="E685" s="5">
        <v>34131</v>
      </c>
      <c r="F685" s="5">
        <v>378096.18000000773</v>
      </c>
      <c r="G685" s="5">
        <v>14491.009999999649</v>
      </c>
      <c r="H685" s="5">
        <v>5080</v>
      </c>
    </row>
    <row r="686" spans="1:8">
      <c r="A686" s="5">
        <v>2024</v>
      </c>
      <c r="B686" s="6">
        <v>45383</v>
      </c>
      <c r="C686" s="5" t="s">
        <v>13</v>
      </c>
      <c r="D686" s="3" t="str" cm="1">
        <f t="array" ref="D686">_xlfn.IFS(
 ISNUMBER(SEARCH("WHISK",C686)),"Whiskey",
 ISNUMBER(SEARCH("BOURBON",C686)),"Whiskey",
 ISNUMBER(SEARCH("SCOTCH",C686)),"Whiskey",
 ISNUMBER(SEARCH("RYE",C686)),"Whiskey",
 ISNUMBER(SEARCH("VODKA",C686)),"Vodka",
 ISNUMBER(SEARCH("TEQUILA",C686)),"Tequila/Mezcal",
 ISNUMBER(SEARCH("MEZCAL",C686)),"Tequila/Mezcal",
 ISNUMBER(SEARCH("RUM",C686)),"Rum",
 ISNUMBER(SEARCH("BRAND",C686)),"Brandy",
 ISNUMBER(SEARCH("COGNAC",C686)),"Brandy",
 ISNUMBER(SEARCH("LIQUEUR",C686)),"Liqueurs",
 ISNUMBER(SEARCH("CORDIAL",C686)),"Liqueurs",
 ISNUMBER(SEARCH("SCHNAPP",C686)),"Liqueurs",
 ISNUMBER(SEARCH("GIN",C686)),"Gin",
 TRUE,"Other")</f>
        <v>Liqueurs</v>
      </c>
      <c r="E686" s="5">
        <v>88291</v>
      </c>
      <c r="F686" s="5">
        <v>642000.23000002792</v>
      </c>
      <c r="G686" s="5">
        <v>37716.129999999808</v>
      </c>
      <c r="H686" s="5">
        <v>7080</v>
      </c>
    </row>
    <row r="687" spans="1:8">
      <c r="A687" s="5">
        <v>2024</v>
      </c>
      <c r="B687" s="6">
        <v>45383</v>
      </c>
      <c r="C687" s="5" t="s">
        <v>15</v>
      </c>
      <c r="D687" s="3" t="str" cm="1">
        <f t="array" ref="D687">_xlfn.IFS(
 ISNUMBER(SEARCH("WHISK",C687)),"Whiskey",
 ISNUMBER(SEARCH("BOURBON",C687)),"Whiskey",
 ISNUMBER(SEARCH("SCOTCH",C687)),"Whiskey",
 ISNUMBER(SEARCH("RYE",C687)),"Whiskey",
 ISNUMBER(SEARCH("VODKA",C687)),"Vodka",
 ISNUMBER(SEARCH("TEQUILA",C687)),"Tequila/Mezcal",
 ISNUMBER(SEARCH("MEZCAL",C687)),"Tequila/Mezcal",
 ISNUMBER(SEARCH("RUM",C687)),"Rum",
 ISNUMBER(SEARCH("BRAND",C687)),"Brandy",
 ISNUMBER(SEARCH("COGNAC",C687)),"Brandy",
 ISNUMBER(SEARCH("LIQUEUR",C687)),"Liqueurs",
 ISNUMBER(SEARCH("CORDIAL",C687)),"Liqueurs",
 ISNUMBER(SEARCH("SCHNAPP",C687)),"Liqueurs",
 ISNUMBER(SEARCH("GIN",C687)),"Gin",
 TRUE,"Other")</f>
        <v>Vodka</v>
      </c>
      <c r="E687" s="5">
        <v>552072</v>
      </c>
      <c r="F687" s="5">
        <v>5409313.6000000862</v>
      </c>
      <c r="G687" s="5">
        <v>472444.77999997814</v>
      </c>
      <c r="H687" s="5">
        <v>34229</v>
      </c>
    </row>
    <row r="688" spans="1:8">
      <c r="A688" s="5">
        <v>2024</v>
      </c>
      <c r="B688" s="6">
        <v>45383</v>
      </c>
      <c r="C688" s="5" t="s">
        <v>16</v>
      </c>
      <c r="D688" s="3" t="str" cm="1">
        <f t="array" ref="D688">_xlfn.IFS(
 ISNUMBER(SEARCH("WHISK",C688)),"Whiskey",
 ISNUMBER(SEARCH("BOURBON",C688)),"Whiskey",
 ISNUMBER(SEARCH("SCOTCH",C688)),"Whiskey",
 ISNUMBER(SEARCH("RYE",C688)),"Whiskey",
 ISNUMBER(SEARCH("VODKA",C688)),"Vodka",
 ISNUMBER(SEARCH("TEQUILA",C688)),"Tequila/Mezcal",
 ISNUMBER(SEARCH("MEZCAL",C688)),"Tequila/Mezcal",
 ISNUMBER(SEARCH("RUM",C688)),"Rum",
 ISNUMBER(SEARCH("BRAND",C688)),"Brandy",
 ISNUMBER(SEARCH("COGNAC",C688)),"Brandy",
 ISNUMBER(SEARCH("LIQUEUR",C688)),"Liqueurs",
 ISNUMBER(SEARCH("CORDIAL",C688)),"Liqueurs",
 ISNUMBER(SEARCH("SCHNAPP",C688)),"Liqueurs",
 ISNUMBER(SEARCH("GIN",C688)),"Gin",
 TRUE,"Other")</f>
        <v>Whiskey</v>
      </c>
      <c r="E688" s="5">
        <v>69354</v>
      </c>
      <c r="F688" s="5">
        <v>920757.36999998963</v>
      </c>
      <c r="G688" s="5">
        <v>56393.270000000273</v>
      </c>
      <c r="H688" s="5">
        <v>7563</v>
      </c>
    </row>
    <row r="689" spans="1:8">
      <c r="A689" s="5">
        <v>2024</v>
      </c>
      <c r="B689" s="6">
        <v>45383</v>
      </c>
      <c r="C689" s="5" t="s">
        <v>17</v>
      </c>
      <c r="D689" s="3" t="str" cm="1">
        <f t="array" ref="D689">_xlfn.IFS(
 ISNUMBER(SEARCH("WHISK",C689)),"Whiskey",
 ISNUMBER(SEARCH("BOURBON",C689)),"Whiskey",
 ISNUMBER(SEARCH("SCOTCH",C689)),"Whiskey",
 ISNUMBER(SEARCH("RYE",C689)),"Whiskey",
 ISNUMBER(SEARCH("VODKA",C689)),"Vodka",
 ISNUMBER(SEARCH("TEQUILA",C689)),"Tequila/Mezcal",
 ISNUMBER(SEARCH("MEZCAL",C689)),"Tequila/Mezcal",
 ISNUMBER(SEARCH("RUM",C689)),"Rum",
 ISNUMBER(SEARCH("BRAND",C689)),"Brandy",
 ISNUMBER(SEARCH("COGNAC",C689)),"Brandy",
 ISNUMBER(SEARCH("LIQUEUR",C689)),"Liqueurs",
 ISNUMBER(SEARCH("CORDIAL",C689)),"Liqueurs",
 ISNUMBER(SEARCH("SCHNAPP",C689)),"Liqueurs",
 ISNUMBER(SEARCH("GIN",C689)),"Gin",
 TRUE,"Other")</f>
        <v>Whiskey</v>
      </c>
      <c r="E689" s="5">
        <v>4797</v>
      </c>
      <c r="F689" s="5">
        <v>157647.65000000005</v>
      </c>
      <c r="G689" s="5">
        <v>3941.2499999999745</v>
      </c>
      <c r="H689" s="5">
        <v>877</v>
      </c>
    </row>
    <row r="690" spans="1:8">
      <c r="A690" s="5">
        <v>2024</v>
      </c>
      <c r="B690" s="6">
        <v>45383</v>
      </c>
      <c r="C690" s="5" t="s">
        <v>18</v>
      </c>
      <c r="D690" s="3" t="str" cm="1">
        <f t="array" ref="D690">_xlfn.IFS(
 ISNUMBER(SEARCH("WHISK",C690)),"Whiskey",
 ISNUMBER(SEARCH("BOURBON",C690)),"Whiskey",
 ISNUMBER(SEARCH("SCOTCH",C690)),"Whiskey",
 ISNUMBER(SEARCH("RYE",C690)),"Whiskey",
 ISNUMBER(SEARCH("VODKA",C690)),"Vodka",
 ISNUMBER(SEARCH("TEQUILA",C690)),"Tequila/Mezcal",
 ISNUMBER(SEARCH("MEZCAL",C690)),"Tequila/Mezcal",
 ISNUMBER(SEARCH("RUM",C690)),"Rum",
 ISNUMBER(SEARCH("BRAND",C690)),"Brandy",
 ISNUMBER(SEARCH("COGNAC",C690)),"Brandy",
 ISNUMBER(SEARCH("LIQUEUR",C690)),"Liqueurs",
 ISNUMBER(SEARCH("CORDIAL",C690)),"Liqueurs",
 ISNUMBER(SEARCH("SCHNAPP",C690)),"Liqueurs",
 ISNUMBER(SEARCH("GIN",C690)),"Gin",
 TRUE,"Other")</f>
        <v>Whiskey</v>
      </c>
      <c r="E690" s="5">
        <v>237045</v>
      </c>
      <c r="F690" s="5">
        <v>3928942.9499999508</v>
      </c>
      <c r="G690" s="5">
        <v>211622.78999999751</v>
      </c>
      <c r="H690" s="5">
        <v>20811</v>
      </c>
    </row>
    <row r="691" spans="1:8">
      <c r="A691" s="5">
        <v>2024</v>
      </c>
      <c r="B691" s="6">
        <v>45383</v>
      </c>
      <c r="C691" s="5" t="s">
        <v>60</v>
      </c>
      <c r="D691" s="3" t="str" cm="1">
        <f t="array" ref="D691">_xlfn.IFS(
 ISNUMBER(SEARCH("WHISK",C691)),"Whiskey",
 ISNUMBER(SEARCH("BOURBON",C691)),"Whiskey",
 ISNUMBER(SEARCH("SCOTCH",C691)),"Whiskey",
 ISNUMBER(SEARCH("RYE",C691)),"Whiskey",
 ISNUMBER(SEARCH("VODKA",C691)),"Vodka",
 ISNUMBER(SEARCH("TEQUILA",C691)),"Tequila/Mezcal",
 ISNUMBER(SEARCH("MEZCAL",C691)),"Tequila/Mezcal",
 ISNUMBER(SEARCH("RUM",C691)),"Rum",
 ISNUMBER(SEARCH("BRAND",C691)),"Brandy",
 ISNUMBER(SEARCH("COGNAC",C691)),"Brandy",
 ISNUMBER(SEARCH("LIQUEUR",C691)),"Liqueurs",
 ISNUMBER(SEARCH("CORDIAL",C691)),"Liqueurs",
 ISNUMBER(SEARCH("SCHNAPP",C691)),"Liqueurs",
 ISNUMBER(SEARCH("GIN",C691)),"Gin",
 TRUE,"Other")</f>
        <v>Liqueurs</v>
      </c>
      <c r="E691" s="5">
        <v>46299</v>
      </c>
      <c r="F691" s="5">
        <v>1087604.7500000009</v>
      </c>
      <c r="G691" s="5">
        <v>33973.369999999937</v>
      </c>
      <c r="H691" s="5">
        <v>4871</v>
      </c>
    </row>
    <row r="692" spans="1:8">
      <c r="A692" s="5">
        <v>2024</v>
      </c>
      <c r="B692" s="6">
        <v>45383</v>
      </c>
      <c r="C692" s="5" t="s">
        <v>29</v>
      </c>
      <c r="D692" s="3" t="str" cm="1">
        <f t="array" ref="D692">_xlfn.IFS(
 ISNUMBER(SEARCH("WHISK",C692)),"Whiskey",
 ISNUMBER(SEARCH("BOURBON",C692)),"Whiskey",
 ISNUMBER(SEARCH("SCOTCH",C692)),"Whiskey",
 ISNUMBER(SEARCH("RYE",C692)),"Whiskey",
 ISNUMBER(SEARCH("VODKA",C692)),"Vodka",
 ISNUMBER(SEARCH("TEQUILA",C692)),"Tequila/Mezcal",
 ISNUMBER(SEARCH("MEZCAL",C692)),"Tequila/Mezcal",
 ISNUMBER(SEARCH("RUM",C692)),"Rum",
 ISNUMBER(SEARCH("BRAND",C692)),"Brandy",
 ISNUMBER(SEARCH("COGNAC",C692)),"Brandy",
 ISNUMBER(SEARCH("LIQUEUR",C692)),"Liqueurs",
 ISNUMBER(SEARCH("CORDIAL",C692)),"Liqueurs",
 ISNUMBER(SEARCH("SCHNAPP",C692)),"Liqueurs",
 ISNUMBER(SEARCH("GIN",C692)),"Gin",
 TRUE,"Other")</f>
        <v>Gin</v>
      </c>
      <c r="E692" s="5">
        <v>17329</v>
      </c>
      <c r="F692" s="5">
        <v>452269.42999999895</v>
      </c>
      <c r="G692" s="5">
        <v>16488.340000000011</v>
      </c>
      <c r="H692" s="5">
        <v>2116</v>
      </c>
    </row>
    <row r="693" spans="1:8">
      <c r="A693" s="5">
        <v>2024</v>
      </c>
      <c r="B693" s="6">
        <v>45383</v>
      </c>
      <c r="C693" s="5" t="s">
        <v>30</v>
      </c>
      <c r="D693" s="3" t="str" cm="1">
        <f t="array" ref="D693">_xlfn.IFS(
 ISNUMBER(SEARCH("WHISK",C693)),"Whiskey",
 ISNUMBER(SEARCH("BOURBON",C693)),"Whiskey",
 ISNUMBER(SEARCH("SCOTCH",C693)),"Whiskey",
 ISNUMBER(SEARCH("RYE",C693)),"Whiskey",
 ISNUMBER(SEARCH("VODKA",C693)),"Vodka",
 ISNUMBER(SEARCH("TEQUILA",C693)),"Tequila/Mezcal",
 ISNUMBER(SEARCH("MEZCAL",C693)),"Tequila/Mezcal",
 ISNUMBER(SEARCH("RUM",C693)),"Rum",
 ISNUMBER(SEARCH("BRAND",C693)),"Brandy",
 ISNUMBER(SEARCH("COGNAC",C693)),"Brandy",
 ISNUMBER(SEARCH("LIQUEUR",C693)),"Liqueurs",
 ISNUMBER(SEARCH("CORDIAL",C693)),"Liqueurs",
 ISNUMBER(SEARCH("SCHNAPP",C693)),"Liqueurs",
 ISNUMBER(SEARCH("GIN",C693)),"Gin",
 TRUE,"Other")</f>
        <v>Vodka</v>
      </c>
      <c r="E693" s="5">
        <v>20858</v>
      </c>
      <c r="F693" s="5">
        <v>358646.03000000049</v>
      </c>
      <c r="G693" s="5">
        <v>16265.299999999996</v>
      </c>
      <c r="H693" s="5">
        <v>2500</v>
      </c>
    </row>
    <row r="694" spans="1:8">
      <c r="A694" s="5">
        <v>2024</v>
      </c>
      <c r="B694" s="6">
        <v>45383</v>
      </c>
      <c r="C694" s="5" t="s">
        <v>32</v>
      </c>
      <c r="D694" s="3" t="str" cm="1">
        <f t="array" ref="D694">_xlfn.IFS(
 ISNUMBER(SEARCH("WHISK",C694)),"Whiskey",
 ISNUMBER(SEARCH("BOURBON",C694)),"Whiskey",
 ISNUMBER(SEARCH("SCOTCH",C694)),"Whiskey",
 ISNUMBER(SEARCH("RYE",C694)),"Whiskey",
 ISNUMBER(SEARCH("VODKA",C694)),"Vodka",
 ISNUMBER(SEARCH("TEQUILA",C694)),"Tequila/Mezcal",
 ISNUMBER(SEARCH("MEZCAL",C694)),"Tequila/Mezcal",
 ISNUMBER(SEARCH("RUM",C694)),"Rum",
 ISNUMBER(SEARCH("BRAND",C694)),"Brandy",
 ISNUMBER(SEARCH("COGNAC",C694)),"Brandy",
 ISNUMBER(SEARCH("LIQUEUR",C694)),"Liqueurs",
 ISNUMBER(SEARCH("CORDIAL",C694)),"Liqueurs",
 ISNUMBER(SEARCH("SCHNAPP",C694)),"Liqueurs",
 ISNUMBER(SEARCH("GIN",C694)),"Gin",
 TRUE,"Other")</f>
        <v>Vodka</v>
      </c>
      <c r="E694" s="5">
        <v>57282</v>
      </c>
      <c r="F694" s="5">
        <v>962671.87999998918</v>
      </c>
      <c r="G694" s="5">
        <v>59145.980000000229</v>
      </c>
      <c r="H694" s="5">
        <v>4703</v>
      </c>
    </row>
    <row r="695" spans="1:8">
      <c r="A695" s="5">
        <v>2024</v>
      </c>
      <c r="B695" s="6">
        <v>45383</v>
      </c>
      <c r="C695" s="5" t="s">
        <v>33</v>
      </c>
      <c r="D695" s="3" t="str" cm="1">
        <f t="array" ref="D695">_xlfn.IFS(
 ISNUMBER(SEARCH("WHISK",C695)),"Whiskey",
 ISNUMBER(SEARCH("BOURBON",C695)),"Whiskey",
 ISNUMBER(SEARCH("SCOTCH",C695)),"Whiskey",
 ISNUMBER(SEARCH("RYE",C695)),"Whiskey",
 ISNUMBER(SEARCH("VODKA",C695)),"Vodka",
 ISNUMBER(SEARCH("TEQUILA",C695)),"Tequila/Mezcal",
 ISNUMBER(SEARCH("MEZCAL",C695)),"Tequila/Mezcal",
 ISNUMBER(SEARCH("RUM",C695)),"Rum",
 ISNUMBER(SEARCH("BRAND",C695)),"Brandy",
 ISNUMBER(SEARCH("COGNAC",C695)),"Brandy",
 ISNUMBER(SEARCH("LIQUEUR",C695)),"Liqueurs",
 ISNUMBER(SEARCH("CORDIAL",C695)),"Liqueurs",
 ISNUMBER(SEARCH("SCHNAPP",C695)),"Liqueurs",
 ISNUMBER(SEARCH("GIN",C695)),"Gin",
 TRUE,"Other")</f>
        <v>Whiskey</v>
      </c>
      <c r="E695" s="5">
        <v>22251</v>
      </c>
      <c r="F695" s="5">
        <v>622244.43999999459</v>
      </c>
      <c r="G695" s="5">
        <v>18543.989999999991</v>
      </c>
      <c r="H695" s="5">
        <v>2348</v>
      </c>
    </row>
    <row r="696" spans="1:8">
      <c r="A696" s="5">
        <v>2024</v>
      </c>
      <c r="B696" s="6">
        <v>45383</v>
      </c>
      <c r="C696" s="5" t="s">
        <v>35</v>
      </c>
      <c r="D696" s="3" t="str" cm="1">
        <f t="array" ref="D696">_xlfn.IFS(
 ISNUMBER(SEARCH("WHISK",C696)),"Whiskey",
 ISNUMBER(SEARCH("BOURBON",C696)),"Whiskey",
 ISNUMBER(SEARCH("SCOTCH",C696)),"Whiskey",
 ISNUMBER(SEARCH("RYE",C696)),"Whiskey",
 ISNUMBER(SEARCH("VODKA",C696)),"Vodka",
 ISNUMBER(SEARCH("TEQUILA",C696)),"Tequila/Mezcal",
 ISNUMBER(SEARCH("MEZCAL",C696)),"Tequila/Mezcal",
 ISNUMBER(SEARCH("RUM",C696)),"Rum",
 ISNUMBER(SEARCH("BRAND",C696)),"Brandy",
 ISNUMBER(SEARCH("COGNAC",C696)),"Brandy",
 ISNUMBER(SEARCH("LIQUEUR",C696)),"Liqueurs",
 ISNUMBER(SEARCH("CORDIAL",C696)),"Liqueurs",
 ISNUMBER(SEARCH("SCHNAPP",C696)),"Liqueurs",
 ISNUMBER(SEARCH("GIN",C696)),"Gin",
 TRUE,"Other")</f>
        <v>Tequila/Mezcal</v>
      </c>
      <c r="E696" s="5">
        <v>78407</v>
      </c>
      <c r="F696" s="5">
        <v>1154487.8799999936</v>
      </c>
      <c r="G696" s="5">
        <v>60189.900000000103</v>
      </c>
      <c r="H696" s="5">
        <v>4880</v>
      </c>
    </row>
    <row r="697" spans="1:8">
      <c r="A697" s="5">
        <v>2024</v>
      </c>
      <c r="B697" s="6">
        <v>45383</v>
      </c>
      <c r="C697" s="5" t="s">
        <v>37</v>
      </c>
      <c r="D697" s="3" t="str" cm="1">
        <f t="array" ref="D697">_xlfn.IFS(
 ISNUMBER(SEARCH("WHISK",C697)),"Whiskey",
 ISNUMBER(SEARCH("BOURBON",C697)),"Whiskey",
 ISNUMBER(SEARCH("SCOTCH",C697)),"Whiskey",
 ISNUMBER(SEARCH("RYE",C697)),"Whiskey",
 ISNUMBER(SEARCH("VODKA",C697)),"Vodka",
 ISNUMBER(SEARCH("TEQUILA",C697)),"Tequila/Mezcal",
 ISNUMBER(SEARCH("MEZCAL",C697)),"Tequila/Mezcal",
 ISNUMBER(SEARCH("RUM",C697)),"Rum",
 ISNUMBER(SEARCH("BRAND",C697)),"Brandy",
 ISNUMBER(SEARCH("COGNAC",C697)),"Brandy",
 ISNUMBER(SEARCH("LIQUEUR",C697)),"Liqueurs",
 ISNUMBER(SEARCH("CORDIAL",C697)),"Liqueurs",
 ISNUMBER(SEARCH("SCHNAPP",C697)),"Liqueurs",
 ISNUMBER(SEARCH("GIN",C697)),"Gin",
 TRUE,"Other")</f>
        <v>Other</v>
      </c>
      <c r="E697" s="5">
        <v>15735</v>
      </c>
      <c r="F697" s="5">
        <v>258336.78000000288</v>
      </c>
      <c r="G697" s="5">
        <v>7629.2500000000164</v>
      </c>
      <c r="H697" s="5">
        <v>3096</v>
      </c>
    </row>
    <row r="698" spans="1:8">
      <c r="A698" s="5">
        <v>2024</v>
      </c>
      <c r="B698" s="6">
        <v>45383</v>
      </c>
      <c r="C698" s="5" t="s">
        <v>40</v>
      </c>
      <c r="D698" s="3" t="str" cm="1">
        <f t="array" ref="D698">_xlfn.IFS(
 ISNUMBER(SEARCH("WHISK",C698)),"Whiskey",
 ISNUMBER(SEARCH("BOURBON",C698)),"Whiskey",
 ISNUMBER(SEARCH("SCOTCH",C698)),"Whiskey",
 ISNUMBER(SEARCH("RYE",C698)),"Whiskey",
 ISNUMBER(SEARCH("VODKA",C698)),"Vodka",
 ISNUMBER(SEARCH("TEQUILA",C698)),"Tequila/Mezcal",
 ISNUMBER(SEARCH("MEZCAL",C698)),"Tequila/Mezcal",
 ISNUMBER(SEARCH("RUM",C698)),"Rum",
 ISNUMBER(SEARCH("BRAND",C698)),"Brandy",
 ISNUMBER(SEARCH("COGNAC",C698)),"Brandy",
 ISNUMBER(SEARCH("LIQUEUR",C698)),"Liqueurs",
 ISNUMBER(SEARCH("CORDIAL",C698)),"Liqueurs",
 ISNUMBER(SEARCH("SCHNAPP",C698)),"Liqueurs",
 ISNUMBER(SEARCH("GIN",C698)),"Gin",
 TRUE,"Other")</f>
        <v>Whiskey</v>
      </c>
      <c r="E698" s="5">
        <v>5087</v>
      </c>
      <c r="F698" s="5">
        <v>281529.38000000053</v>
      </c>
      <c r="G698" s="5">
        <v>3915.6000000000022</v>
      </c>
      <c r="H698" s="5">
        <v>1333</v>
      </c>
    </row>
    <row r="699" spans="1:8">
      <c r="A699" s="5">
        <v>2024</v>
      </c>
      <c r="B699" s="6">
        <v>45383</v>
      </c>
      <c r="C699" s="5" t="s">
        <v>42</v>
      </c>
      <c r="D699" s="3" t="str" cm="1">
        <f t="array" ref="D699">_xlfn.IFS(
 ISNUMBER(SEARCH("WHISK",C699)),"Whiskey",
 ISNUMBER(SEARCH("BOURBON",C699)),"Whiskey",
 ISNUMBER(SEARCH("SCOTCH",C699)),"Whiskey",
 ISNUMBER(SEARCH("RYE",C699)),"Whiskey",
 ISNUMBER(SEARCH("VODKA",C699)),"Vodka",
 ISNUMBER(SEARCH("TEQUILA",C699)),"Tequila/Mezcal",
 ISNUMBER(SEARCH("MEZCAL",C699)),"Tequila/Mezcal",
 ISNUMBER(SEARCH("RUM",C699)),"Rum",
 ISNUMBER(SEARCH("BRAND",C699)),"Brandy",
 ISNUMBER(SEARCH("COGNAC",C699)),"Brandy",
 ISNUMBER(SEARCH("LIQUEUR",C699)),"Liqueurs",
 ISNUMBER(SEARCH("CORDIAL",C699)),"Liqueurs",
 ISNUMBER(SEARCH("SCHNAPP",C699)),"Liqueurs",
 ISNUMBER(SEARCH("GIN",C699)),"Gin",
 TRUE,"Other")</f>
        <v>Rum</v>
      </c>
      <c r="E699" s="5">
        <v>100501</v>
      </c>
      <c r="F699" s="5">
        <v>1393476.3999999312</v>
      </c>
      <c r="G699" s="5">
        <v>86777.720000000423</v>
      </c>
      <c r="H699" s="5">
        <v>7952</v>
      </c>
    </row>
    <row r="700" spans="1:8">
      <c r="A700" s="5">
        <v>2024</v>
      </c>
      <c r="B700" s="6">
        <v>45383</v>
      </c>
      <c r="C700" s="5" t="s">
        <v>43</v>
      </c>
      <c r="D700" s="3" t="str" cm="1">
        <f t="array" ref="D700">_xlfn.IFS(
 ISNUMBER(SEARCH("WHISK",C700)),"Whiskey",
 ISNUMBER(SEARCH("BOURBON",C700)),"Whiskey",
 ISNUMBER(SEARCH("SCOTCH",C700)),"Whiskey",
 ISNUMBER(SEARCH("RYE",C700)),"Whiskey",
 ISNUMBER(SEARCH("VODKA",C700)),"Vodka",
 ISNUMBER(SEARCH("TEQUILA",C700)),"Tequila/Mezcal",
 ISNUMBER(SEARCH("MEZCAL",C700)),"Tequila/Mezcal",
 ISNUMBER(SEARCH("RUM",C700)),"Rum",
 ISNUMBER(SEARCH("BRAND",C700)),"Brandy",
 ISNUMBER(SEARCH("COGNAC",C700)),"Brandy",
 ISNUMBER(SEARCH("LIQUEUR",C700)),"Liqueurs",
 ISNUMBER(SEARCH("CORDIAL",C700)),"Liqueurs",
 ISNUMBER(SEARCH("SCHNAPP",C700)),"Liqueurs",
 ISNUMBER(SEARCH("GIN",C700)),"Gin",
 TRUE,"Other")</f>
        <v>Whiskey</v>
      </c>
      <c r="E700" s="5">
        <v>140502</v>
      </c>
      <c r="F700" s="5">
        <v>3196848.2999999779</v>
      </c>
      <c r="G700" s="5">
        <v>111954.73000000195</v>
      </c>
      <c r="H700" s="5">
        <v>17006</v>
      </c>
    </row>
    <row r="701" spans="1:8">
      <c r="A701" s="5">
        <v>2024</v>
      </c>
      <c r="B701" s="6">
        <v>45383</v>
      </c>
      <c r="C701" s="5" t="s">
        <v>46</v>
      </c>
      <c r="D701" s="3" t="str" cm="1">
        <f t="array" ref="D701">_xlfn.IFS(
 ISNUMBER(SEARCH("WHISK",C701)),"Whiskey",
 ISNUMBER(SEARCH("BOURBON",C701)),"Whiskey",
 ISNUMBER(SEARCH("SCOTCH",C701)),"Whiskey",
 ISNUMBER(SEARCH("RYE",C701)),"Whiskey",
 ISNUMBER(SEARCH("VODKA",C701)),"Vodka",
 ISNUMBER(SEARCH("TEQUILA",C701)),"Tequila/Mezcal",
 ISNUMBER(SEARCH("MEZCAL",C701)),"Tequila/Mezcal",
 ISNUMBER(SEARCH("RUM",C701)),"Rum",
 ISNUMBER(SEARCH("BRAND",C701)),"Brandy",
 ISNUMBER(SEARCH("COGNAC",C701)),"Brandy",
 ISNUMBER(SEARCH("LIQUEUR",C701)),"Liqueurs",
 ISNUMBER(SEARCH("CORDIAL",C701)),"Liqueurs",
 ISNUMBER(SEARCH("SCHNAPP",C701)),"Liqueurs",
 ISNUMBER(SEARCH("GIN",C701)),"Gin",
 TRUE,"Other")</f>
        <v>Whiskey</v>
      </c>
      <c r="E701" s="5">
        <v>59689</v>
      </c>
      <c r="F701" s="5">
        <v>1347415.7599999921</v>
      </c>
      <c r="G701" s="5">
        <v>41343.739999999787</v>
      </c>
      <c r="H701" s="5">
        <v>6156</v>
      </c>
    </row>
    <row r="702" spans="1:8">
      <c r="A702" s="5">
        <v>2024</v>
      </c>
      <c r="B702" s="6">
        <v>45383</v>
      </c>
      <c r="C702" s="5" t="s">
        <v>47</v>
      </c>
      <c r="D702" s="3" t="str" cm="1">
        <f t="array" ref="D702">_xlfn.IFS(
 ISNUMBER(SEARCH("WHISK",C702)),"Whiskey",
 ISNUMBER(SEARCH("BOURBON",C702)),"Whiskey",
 ISNUMBER(SEARCH("SCOTCH",C702)),"Whiskey",
 ISNUMBER(SEARCH("RYE",C702)),"Whiskey",
 ISNUMBER(SEARCH("VODKA",C702)),"Vodka",
 ISNUMBER(SEARCH("TEQUILA",C702)),"Tequila/Mezcal",
 ISNUMBER(SEARCH("MEZCAL",C702)),"Tequila/Mezcal",
 ISNUMBER(SEARCH("RUM",C702)),"Rum",
 ISNUMBER(SEARCH("BRAND",C702)),"Brandy",
 ISNUMBER(SEARCH("COGNAC",C702)),"Brandy",
 ISNUMBER(SEARCH("LIQUEUR",C702)),"Liqueurs",
 ISNUMBER(SEARCH("CORDIAL",C702)),"Liqueurs",
 ISNUMBER(SEARCH("SCHNAPP",C702)),"Liqueurs",
 ISNUMBER(SEARCH("GIN",C702)),"Gin",
 TRUE,"Other")</f>
        <v>Other</v>
      </c>
      <c r="E702" s="5">
        <v>19878</v>
      </c>
      <c r="F702" s="5">
        <v>81638.489999999874</v>
      </c>
      <c r="G702" s="5">
        <v>19642.25</v>
      </c>
      <c r="H702" s="5">
        <v>693</v>
      </c>
    </row>
    <row r="703" spans="1:8">
      <c r="A703" s="5">
        <v>2024</v>
      </c>
      <c r="B703" s="6">
        <v>45383</v>
      </c>
      <c r="C703" s="5" t="s">
        <v>48</v>
      </c>
      <c r="D703" s="3" t="str" cm="1">
        <f t="array" ref="D703">_xlfn.IFS(
 ISNUMBER(SEARCH("WHISK",C703)),"Whiskey",
 ISNUMBER(SEARCH("BOURBON",C703)),"Whiskey",
 ISNUMBER(SEARCH("SCOTCH",C703)),"Whiskey",
 ISNUMBER(SEARCH("RYE",C703)),"Whiskey",
 ISNUMBER(SEARCH("VODKA",C703)),"Vodka",
 ISNUMBER(SEARCH("TEQUILA",C703)),"Tequila/Mezcal",
 ISNUMBER(SEARCH("MEZCAL",C703)),"Tequila/Mezcal",
 ISNUMBER(SEARCH("RUM",C703)),"Rum",
 ISNUMBER(SEARCH("BRAND",C703)),"Brandy",
 ISNUMBER(SEARCH("COGNAC",C703)),"Brandy",
 ISNUMBER(SEARCH("LIQUEUR",C703)),"Liqueurs",
 ISNUMBER(SEARCH("CORDIAL",C703)),"Liqueurs",
 ISNUMBER(SEARCH("SCHNAPP",C703)),"Liqueurs",
 ISNUMBER(SEARCH("GIN",C703)),"Gin",
 TRUE,"Other")</f>
        <v>Whiskey</v>
      </c>
      <c r="E703" s="5">
        <v>387094</v>
      </c>
      <c r="F703" s="5">
        <v>2244927.2299999385</v>
      </c>
      <c r="G703" s="5">
        <v>86690.550000005373</v>
      </c>
      <c r="H703" s="5">
        <v>14023</v>
      </c>
    </row>
    <row r="704" spans="1:8">
      <c r="A704" s="5">
        <v>2024</v>
      </c>
      <c r="B704" s="6">
        <v>45383</v>
      </c>
      <c r="C704" s="5" t="s">
        <v>49</v>
      </c>
      <c r="D704" s="3" t="str" cm="1">
        <f t="array" ref="D704">_xlfn.IFS(
 ISNUMBER(SEARCH("WHISK",C704)),"Whiskey",
 ISNUMBER(SEARCH("BOURBON",C704)),"Whiskey",
 ISNUMBER(SEARCH("SCOTCH",C704)),"Whiskey",
 ISNUMBER(SEARCH("RYE",C704)),"Whiskey",
 ISNUMBER(SEARCH("VODKA",C704)),"Vodka",
 ISNUMBER(SEARCH("TEQUILA",C704)),"Tequila/Mezcal",
 ISNUMBER(SEARCH("MEZCAL",C704)),"Tequila/Mezcal",
 ISNUMBER(SEARCH("RUM",C704)),"Rum",
 ISNUMBER(SEARCH("BRAND",C704)),"Brandy",
 ISNUMBER(SEARCH("COGNAC",C704)),"Brandy",
 ISNUMBER(SEARCH("LIQUEUR",C704)),"Liqueurs",
 ISNUMBER(SEARCH("CORDIAL",C704)),"Liqueurs",
 ISNUMBER(SEARCH("SCHNAPP",C704)),"Liqueurs",
 ISNUMBER(SEARCH("GIN",C704)),"Gin",
 TRUE,"Other")</f>
        <v>Rum</v>
      </c>
      <c r="E704" s="5">
        <v>38891</v>
      </c>
      <c r="F704" s="5">
        <v>470182.19999999646</v>
      </c>
      <c r="G704" s="5">
        <v>40681.629999999983</v>
      </c>
      <c r="H704" s="5">
        <v>3425</v>
      </c>
    </row>
    <row r="705" spans="1:8">
      <c r="A705" s="5">
        <v>2024</v>
      </c>
      <c r="B705" s="6">
        <v>45383</v>
      </c>
      <c r="C705" s="5" t="s">
        <v>10</v>
      </c>
      <c r="D705" s="3" t="str" cm="1">
        <f t="array" ref="D705">_xlfn.IFS(
 ISNUMBER(SEARCH("WHISK",C705)),"Whiskey",
 ISNUMBER(SEARCH("BOURBON",C705)),"Whiskey",
 ISNUMBER(SEARCH("SCOTCH",C705)),"Whiskey",
 ISNUMBER(SEARCH("RYE",C705)),"Whiskey",
 ISNUMBER(SEARCH("VODKA",C705)),"Vodka",
 ISNUMBER(SEARCH("TEQUILA",C705)),"Tequila/Mezcal",
 ISNUMBER(SEARCH("MEZCAL",C705)),"Tequila/Mezcal",
 ISNUMBER(SEARCH("RUM",C705)),"Rum",
 ISNUMBER(SEARCH("BRAND",C705)),"Brandy",
 ISNUMBER(SEARCH("COGNAC",C705)),"Brandy",
 ISNUMBER(SEARCH("LIQUEUR",C705)),"Liqueurs",
 ISNUMBER(SEARCH("CORDIAL",C705)),"Liqueurs",
 ISNUMBER(SEARCH("SCHNAPP",C705)),"Liqueurs",
 ISNUMBER(SEARCH("GIN",C705)),"Gin",
 TRUE,"Other")</f>
        <v>Other</v>
      </c>
      <c r="E705" s="5">
        <v>5469</v>
      </c>
      <c r="F705" s="5">
        <v>98176.920000000115</v>
      </c>
      <c r="G705" s="5">
        <v>3740.63</v>
      </c>
      <c r="H705" s="5">
        <v>707</v>
      </c>
    </row>
    <row r="706" spans="1:8">
      <c r="A706" s="5">
        <v>2024</v>
      </c>
      <c r="B706" s="6">
        <v>45383</v>
      </c>
      <c r="C706" s="5" t="s">
        <v>45</v>
      </c>
      <c r="D706" s="3" t="str" cm="1">
        <f t="array" ref="D706">_xlfn.IFS(
 ISNUMBER(SEARCH("WHISK",C706)),"Whiskey",
 ISNUMBER(SEARCH("BOURBON",C706)),"Whiskey",
 ISNUMBER(SEARCH("SCOTCH",C706)),"Whiskey",
 ISNUMBER(SEARCH("RYE",C706)),"Whiskey",
 ISNUMBER(SEARCH("VODKA",C706)),"Vodka",
 ISNUMBER(SEARCH("TEQUILA",C706)),"Tequila/Mezcal",
 ISNUMBER(SEARCH("MEZCAL",C706)),"Tequila/Mezcal",
 ISNUMBER(SEARCH("RUM",C706)),"Rum",
 ISNUMBER(SEARCH("BRAND",C706)),"Brandy",
 ISNUMBER(SEARCH("COGNAC",C706)),"Brandy",
 ISNUMBER(SEARCH("LIQUEUR",C706)),"Liqueurs",
 ISNUMBER(SEARCH("CORDIAL",C706)),"Liqueurs",
 ISNUMBER(SEARCH("SCHNAPP",C706)),"Liqueurs",
 ISNUMBER(SEARCH("GIN",C706)),"Gin",
 TRUE,"Other")</f>
        <v>Other</v>
      </c>
      <c r="E706" s="5">
        <v>33613</v>
      </c>
      <c r="F706" s="5">
        <v>936352.14000000805</v>
      </c>
      <c r="G706" s="5">
        <v>24811.819999999927</v>
      </c>
      <c r="H706" s="5">
        <v>2939</v>
      </c>
    </row>
    <row r="707" spans="1:8">
      <c r="A707" s="5">
        <v>2024</v>
      </c>
      <c r="B707" s="6">
        <v>45383</v>
      </c>
      <c r="C707" s="5" t="s">
        <v>50</v>
      </c>
      <c r="D707" s="3" t="str" cm="1">
        <f t="array" ref="D707">_xlfn.IFS(
 ISNUMBER(SEARCH("WHISK",C707)),"Whiskey",
 ISNUMBER(SEARCH("BOURBON",C707)),"Whiskey",
 ISNUMBER(SEARCH("SCOTCH",C707)),"Whiskey",
 ISNUMBER(SEARCH("RYE",C707)),"Whiskey",
 ISNUMBER(SEARCH("VODKA",C707)),"Vodka",
 ISNUMBER(SEARCH("TEQUILA",C707)),"Tequila/Mezcal",
 ISNUMBER(SEARCH("MEZCAL",C707)),"Tequila/Mezcal",
 ISNUMBER(SEARCH("RUM",C707)),"Rum",
 ISNUMBER(SEARCH("BRAND",C707)),"Brandy",
 ISNUMBER(SEARCH("COGNAC",C707)),"Brandy",
 ISNUMBER(SEARCH("LIQUEUR",C707)),"Liqueurs",
 ISNUMBER(SEARCH("CORDIAL",C707)),"Liqueurs",
 ISNUMBER(SEARCH("SCHNAPP",C707)),"Liqueurs",
 ISNUMBER(SEARCH("GIN",C707)),"Gin",
 TRUE,"Other")</f>
        <v>Tequila/Mezcal</v>
      </c>
      <c r="E707" s="5">
        <v>111136</v>
      </c>
      <c r="F707" s="5">
        <v>3202815.9299999611</v>
      </c>
      <c r="G707" s="5">
        <v>77662.380000000572</v>
      </c>
      <c r="H707" s="5">
        <v>12020</v>
      </c>
    </row>
    <row r="708" spans="1:8">
      <c r="A708" s="5">
        <v>2024</v>
      </c>
      <c r="B708" s="6">
        <v>45383</v>
      </c>
      <c r="C708" s="5" t="s">
        <v>31</v>
      </c>
      <c r="D708" s="3" t="str" cm="1">
        <f t="array" ref="D708">_xlfn.IFS(
 ISNUMBER(SEARCH("WHISK",C708)),"Whiskey",
 ISNUMBER(SEARCH("BOURBON",C708)),"Whiskey",
 ISNUMBER(SEARCH("SCOTCH",C708)),"Whiskey",
 ISNUMBER(SEARCH("RYE",C708)),"Whiskey",
 ISNUMBER(SEARCH("VODKA",C708)),"Vodka",
 ISNUMBER(SEARCH("TEQUILA",C708)),"Tequila/Mezcal",
 ISNUMBER(SEARCH("MEZCAL",C708)),"Tequila/Mezcal",
 ISNUMBER(SEARCH("RUM",C708)),"Rum",
 ISNUMBER(SEARCH("BRAND",C708)),"Brandy",
 ISNUMBER(SEARCH("COGNAC",C708)),"Brandy",
 ISNUMBER(SEARCH("LIQUEUR",C708)),"Liqueurs",
 ISNUMBER(SEARCH("CORDIAL",C708)),"Liqueurs",
 ISNUMBER(SEARCH("SCHNAPP",C708)),"Liqueurs",
 ISNUMBER(SEARCH("GIN",C708)),"Gin",
 TRUE,"Other")</f>
        <v>Liqueurs</v>
      </c>
      <c r="E708" s="5">
        <v>27605</v>
      </c>
      <c r="F708" s="5">
        <v>492255.49000000133</v>
      </c>
      <c r="G708" s="5">
        <v>24500.719999999845</v>
      </c>
      <c r="H708" s="5">
        <v>2597</v>
      </c>
    </row>
    <row r="709" spans="1:8">
      <c r="A709" s="5">
        <v>2024</v>
      </c>
      <c r="B709" s="6">
        <v>45383</v>
      </c>
      <c r="C709" s="5" t="s">
        <v>8</v>
      </c>
      <c r="D709" s="3" t="str" cm="1">
        <f t="array" ref="D709">_xlfn.IFS(
 ISNUMBER(SEARCH("WHISK",C709)),"Whiskey",
 ISNUMBER(SEARCH("BOURBON",C709)),"Whiskey",
 ISNUMBER(SEARCH("SCOTCH",C709)),"Whiskey",
 ISNUMBER(SEARCH("RYE",C709)),"Whiskey",
 ISNUMBER(SEARCH("VODKA",C709)),"Vodka",
 ISNUMBER(SEARCH("TEQUILA",C709)),"Tequila/Mezcal",
 ISNUMBER(SEARCH("MEZCAL",C709)),"Tequila/Mezcal",
 ISNUMBER(SEARCH("RUM",C709)),"Rum",
 ISNUMBER(SEARCH("BRAND",C709)),"Brandy",
 ISNUMBER(SEARCH("COGNAC",C709)),"Brandy",
 ISNUMBER(SEARCH("LIQUEUR",C709)),"Liqueurs",
 ISNUMBER(SEARCH("CORDIAL",C709)),"Liqueurs",
 ISNUMBER(SEARCH("SCHNAPP",C709)),"Liqueurs",
 ISNUMBER(SEARCH("GIN",C709)),"Gin",
 TRUE,"Other")</f>
        <v>Brandy</v>
      </c>
      <c r="E709" s="5">
        <v>56868</v>
      </c>
      <c r="F709" s="5">
        <v>373140.79000000126</v>
      </c>
      <c r="G709" s="5">
        <v>29188.139999999708</v>
      </c>
      <c r="H709" s="5">
        <v>4555</v>
      </c>
    </row>
    <row r="710" spans="1:8">
      <c r="A710" s="5">
        <v>2024</v>
      </c>
      <c r="B710" s="6">
        <v>45383</v>
      </c>
      <c r="C710" s="5" t="s">
        <v>12</v>
      </c>
      <c r="D710" s="3" t="str" cm="1">
        <f t="array" ref="D710">_xlfn.IFS(
 ISNUMBER(SEARCH("WHISK",C710)),"Whiskey",
 ISNUMBER(SEARCH("BOURBON",C710)),"Whiskey",
 ISNUMBER(SEARCH("SCOTCH",C710)),"Whiskey",
 ISNUMBER(SEARCH("RYE",C710)),"Whiskey",
 ISNUMBER(SEARCH("VODKA",C710)),"Vodka",
 ISNUMBER(SEARCH("TEQUILA",C710)),"Tequila/Mezcal",
 ISNUMBER(SEARCH("MEZCAL",C710)),"Tequila/Mezcal",
 ISNUMBER(SEARCH("RUM",C710)),"Rum",
 ISNUMBER(SEARCH("BRAND",C710)),"Brandy",
 ISNUMBER(SEARCH("COGNAC",C710)),"Brandy",
 ISNUMBER(SEARCH("LIQUEUR",C710)),"Liqueurs",
 ISNUMBER(SEARCH("CORDIAL",C710)),"Liqueurs",
 ISNUMBER(SEARCH("SCHNAPP",C710)),"Liqueurs",
 ISNUMBER(SEARCH("GIN",C710)),"Gin",
 TRUE,"Other")</f>
        <v>Vodka</v>
      </c>
      <c r="E710" s="5">
        <v>83020</v>
      </c>
      <c r="F710" s="5">
        <v>914706.17000003799</v>
      </c>
      <c r="G710" s="5">
        <v>56603.480000000171</v>
      </c>
      <c r="H710" s="5">
        <v>9892</v>
      </c>
    </row>
    <row r="711" spans="1:8">
      <c r="A711" s="5">
        <v>2024</v>
      </c>
      <c r="B711" s="6">
        <v>45383</v>
      </c>
      <c r="C711" s="5" t="s">
        <v>14</v>
      </c>
      <c r="D711" s="3" t="str" cm="1">
        <f t="array" ref="D711">_xlfn.IFS(
 ISNUMBER(SEARCH("WHISK",C711)),"Whiskey",
 ISNUMBER(SEARCH("BOURBON",C711)),"Whiskey",
 ISNUMBER(SEARCH("SCOTCH",C711)),"Whiskey",
 ISNUMBER(SEARCH("RYE",C711)),"Whiskey",
 ISNUMBER(SEARCH("VODKA",C711)),"Vodka",
 ISNUMBER(SEARCH("TEQUILA",C711)),"Tequila/Mezcal",
 ISNUMBER(SEARCH("MEZCAL",C711)),"Tequila/Mezcal",
 ISNUMBER(SEARCH("RUM",C711)),"Rum",
 ISNUMBER(SEARCH("BRAND",C711)),"Brandy",
 ISNUMBER(SEARCH("COGNAC",C711)),"Brandy",
 ISNUMBER(SEARCH("LIQUEUR",C711)),"Liqueurs",
 ISNUMBER(SEARCH("CORDIAL",C711)),"Liqueurs",
 ISNUMBER(SEARCH("SCHNAPP",C711)),"Liqueurs",
 ISNUMBER(SEARCH("GIN",C711)),"Gin",
 TRUE,"Other")</f>
        <v>Gin</v>
      </c>
      <c r="E711" s="5">
        <v>244</v>
      </c>
      <c r="F711" s="5">
        <v>2067.6499999999996</v>
      </c>
      <c r="G711" s="5">
        <v>241.75</v>
      </c>
      <c r="H711" s="5">
        <v>44</v>
      </c>
    </row>
    <row r="712" spans="1:8">
      <c r="A712" s="5">
        <v>2024</v>
      </c>
      <c r="B712" s="6">
        <v>45383</v>
      </c>
      <c r="C712" s="5" t="s">
        <v>24</v>
      </c>
      <c r="D712" s="3" t="str" cm="1">
        <f t="array" ref="D712">_xlfn.IFS(
 ISNUMBER(SEARCH("WHISK",C712)),"Whiskey",
 ISNUMBER(SEARCH("BOURBON",C712)),"Whiskey",
 ISNUMBER(SEARCH("SCOTCH",C712)),"Whiskey",
 ISNUMBER(SEARCH("RYE",C712)),"Whiskey",
 ISNUMBER(SEARCH("VODKA",C712)),"Vodka",
 ISNUMBER(SEARCH("TEQUILA",C712)),"Tequila/Mezcal",
 ISNUMBER(SEARCH("MEZCAL",C712)),"Tequila/Mezcal",
 ISNUMBER(SEARCH("RUM",C712)),"Rum",
 ISNUMBER(SEARCH("BRAND",C712)),"Brandy",
 ISNUMBER(SEARCH("COGNAC",C712)),"Brandy",
 ISNUMBER(SEARCH("LIQUEUR",C712)),"Liqueurs",
 ISNUMBER(SEARCH("CORDIAL",C712)),"Liqueurs",
 ISNUMBER(SEARCH("SCHNAPP",C712)),"Liqueurs",
 ISNUMBER(SEARCH("GIN",C712)),"Gin",
 TRUE,"Other")</f>
        <v>Rum</v>
      </c>
      <c r="E712" s="5">
        <v>38680</v>
      </c>
      <c r="F712" s="5">
        <v>607252.50999999954</v>
      </c>
      <c r="G712" s="5">
        <v>36430.829999999994</v>
      </c>
      <c r="H712" s="5">
        <v>3830</v>
      </c>
    </row>
    <row r="713" spans="1:8">
      <c r="A713" s="5">
        <v>2024</v>
      </c>
      <c r="B713" s="6">
        <v>45383</v>
      </c>
      <c r="C713" s="5" t="s">
        <v>44</v>
      </c>
      <c r="D713" s="3" t="str" cm="1">
        <f t="array" ref="D713">_xlfn.IFS(
 ISNUMBER(SEARCH("WHISK",C713)),"Whiskey",
 ISNUMBER(SEARCH("BOURBON",C713)),"Whiskey",
 ISNUMBER(SEARCH("SCOTCH",C713)),"Whiskey",
 ISNUMBER(SEARCH("RYE",C713)),"Whiskey",
 ISNUMBER(SEARCH("VODKA",C713)),"Vodka",
 ISNUMBER(SEARCH("TEQUILA",C713)),"Tequila/Mezcal",
 ISNUMBER(SEARCH("MEZCAL",C713)),"Tequila/Mezcal",
 ISNUMBER(SEARCH("RUM",C713)),"Rum",
 ISNUMBER(SEARCH("BRAND",C713)),"Brandy",
 ISNUMBER(SEARCH("COGNAC",C713)),"Brandy",
 ISNUMBER(SEARCH("LIQUEUR",C713)),"Liqueurs",
 ISNUMBER(SEARCH("CORDIAL",C713)),"Liqueurs",
 ISNUMBER(SEARCH("SCHNAPP",C713)),"Liqueurs",
 ISNUMBER(SEARCH("GIN",C713)),"Gin",
 TRUE,"Other")</f>
        <v>Whiskey</v>
      </c>
      <c r="E713" s="5">
        <v>8666</v>
      </c>
      <c r="F713" s="5">
        <v>264366.93000000081</v>
      </c>
      <c r="G713" s="5">
        <v>6762.25</v>
      </c>
      <c r="H713" s="5">
        <v>1562</v>
      </c>
    </row>
    <row r="714" spans="1:8">
      <c r="A714" s="5">
        <v>2024</v>
      </c>
      <c r="B714" s="6">
        <v>45383</v>
      </c>
      <c r="C714" s="5" t="s">
        <v>11</v>
      </c>
      <c r="D714" s="3" t="str" cm="1">
        <f t="array" ref="D714">_xlfn.IFS(
 ISNUMBER(SEARCH("WHISK",C714)),"Whiskey",
 ISNUMBER(SEARCH("BOURBON",C714)),"Whiskey",
 ISNUMBER(SEARCH("SCOTCH",C714)),"Whiskey",
 ISNUMBER(SEARCH("RYE",C714)),"Whiskey",
 ISNUMBER(SEARCH("VODKA",C714)),"Vodka",
 ISNUMBER(SEARCH("TEQUILA",C714)),"Tequila/Mezcal",
 ISNUMBER(SEARCH("MEZCAL",C714)),"Tequila/Mezcal",
 ISNUMBER(SEARCH("RUM",C714)),"Rum",
 ISNUMBER(SEARCH("BRAND",C714)),"Brandy",
 ISNUMBER(SEARCH("COGNAC",C714)),"Brandy",
 ISNUMBER(SEARCH("LIQUEUR",C714)),"Liqueurs",
 ISNUMBER(SEARCH("CORDIAL",C714)),"Liqueurs",
 ISNUMBER(SEARCH("SCHNAPP",C714)),"Liqueurs",
 ISNUMBER(SEARCH("GIN",C714)),"Gin",
 TRUE,"Other")</f>
        <v>Gin</v>
      </c>
      <c r="E714" s="5">
        <v>30527</v>
      </c>
      <c r="F714" s="5">
        <v>272889.81000000145</v>
      </c>
      <c r="G714" s="5">
        <v>24273.499999999953</v>
      </c>
      <c r="H714" s="5">
        <v>2809</v>
      </c>
    </row>
    <row r="715" spans="1:8">
      <c r="A715" s="5">
        <v>2024</v>
      </c>
      <c r="B715" s="6">
        <v>45383</v>
      </c>
      <c r="C715" s="5" t="s">
        <v>19</v>
      </c>
      <c r="D715" s="3" t="str" cm="1">
        <f t="array" ref="D715">_xlfn.IFS(
 ISNUMBER(SEARCH("WHISK",C715)),"Whiskey",
 ISNUMBER(SEARCH("BOURBON",C715)),"Whiskey",
 ISNUMBER(SEARCH("SCOTCH",C715)),"Whiskey",
 ISNUMBER(SEARCH("RYE",C715)),"Whiskey",
 ISNUMBER(SEARCH("VODKA",C715)),"Vodka",
 ISNUMBER(SEARCH("TEQUILA",C715)),"Tequila/Mezcal",
 ISNUMBER(SEARCH("MEZCAL",C715)),"Tequila/Mezcal",
 ISNUMBER(SEARCH("RUM",C715)),"Rum",
 ISNUMBER(SEARCH("BRAND",C715)),"Brandy",
 ISNUMBER(SEARCH("COGNAC",C715)),"Brandy",
 ISNUMBER(SEARCH("LIQUEUR",C715)),"Liqueurs",
 ISNUMBER(SEARCH("CORDIAL",C715)),"Liqueurs",
 ISNUMBER(SEARCH("SCHNAPP",C715)),"Liqueurs",
 ISNUMBER(SEARCH("GIN",C715)),"Gin",
 TRUE,"Other")</f>
        <v>Other</v>
      </c>
      <c r="E715" s="5">
        <v>93747</v>
      </c>
      <c r="F715" s="5">
        <v>1090164.7500000065</v>
      </c>
      <c r="G715" s="5">
        <v>129233.53999999991</v>
      </c>
      <c r="H715" s="5">
        <v>7714</v>
      </c>
    </row>
    <row r="716" spans="1:8">
      <c r="A716" s="5">
        <v>2024</v>
      </c>
      <c r="B716" s="6">
        <v>45383</v>
      </c>
      <c r="C716" s="5" t="s">
        <v>22</v>
      </c>
      <c r="D716" s="3" t="str" cm="1">
        <f t="array" ref="D716">_xlfn.IFS(
 ISNUMBER(SEARCH("WHISK",C716)),"Whiskey",
 ISNUMBER(SEARCH("BOURBON",C716)),"Whiskey",
 ISNUMBER(SEARCH("SCOTCH",C716)),"Whiskey",
 ISNUMBER(SEARCH("RYE",C716)),"Whiskey",
 ISNUMBER(SEARCH("VODKA",C716)),"Vodka",
 ISNUMBER(SEARCH("TEQUILA",C716)),"Tequila/Mezcal",
 ISNUMBER(SEARCH("MEZCAL",C716)),"Tequila/Mezcal",
 ISNUMBER(SEARCH("RUM",C716)),"Rum",
 ISNUMBER(SEARCH("BRAND",C716)),"Brandy",
 ISNUMBER(SEARCH("COGNAC",C716)),"Brandy",
 ISNUMBER(SEARCH("LIQUEUR",C716)),"Liqueurs",
 ISNUMBER(SEARCH("CORDIAL",C716)),"Liqueurs",
 ISNUMBER(SEARCH("SCHNAPP",C716)),"Liqueurs",
 ISNUMBER(SEARCH("GIN",C716)),"Gin",
 TRUE,"Other")</f>
        <v>Liqueurs</v>
      </c>
      <c r="E716" s="5">
        <v>23058</v>
      </c>
      <c r="F716" s="5">
        <v>459623.10999999475</v>
      </c>
      <c r="G716" s="5">
        <v>18713.919999999918</v>
      </c>
      <c r="H716" s="5">
        <v>3538</v>
      </c>
    </row>
    <row r="717" spans="1:8">
      <c r="A717" s="5">
        <v>2024</v>
      </c>
      <c r="B717" s="6">
        <v>45383</v>
      </c>
      <c r="C717" s="5" t="s">
        <v>25</v>
      </c>
      <c r="D717" s="3" t="str" cm="1">
        <f t="array" ref="D717">_xlfn.IFS(
 ISNUMBER(SEARCH("WHISK",C717)),"Whiskey",
 ISNUMBER(SEARCH("BOURBON",C717)),"Whiskey",
 ISNUMBER(SEARCH("SCOTCH",C717)),"Whiskey",
 ISNUMBER(SEARCH("RYE",C717)),"Whiskey",
 ISNUMBER(SEARCH("VODKA",C717)),"Vodka",
 ISNUMBER(SEARCH("TEQUILA",C717)),"Tequila/Mezcal",
 ISNUMBER(SEARCH("MEZCAL",C717)),"Tequila/Mezcal",
 ISNUMBER(SEARCH("RUM",C717)),"Rum",
 ISNUMBER(SEARCH("BRAND",C717)),"Brandy",
 ISNUMBER(SEARCH("COGNAC",C717)),"Brandy",
 ISNUMBER(SEARCH("LIQUEUR",C717)),"Liqueurs",
 ISNUMBER(SEARCH("CORDIAL",C717)),"Liqueurs",
 ISNUMBER(SEARCH("SCHNAPP",C717)),"Liqueurs",
 ISNUMBER(SEARCH("GIN",C717)),"Gin",
 TRUE,"Other")</f>
        <v>Rum</v>
      </c>
      <c r="E717" s="5">
        <v>5827</v>
      </c>
      <c r="F717" s="5">
        <v>80372.019999999742</v>
      </c>
      <c r="G717" s="5">
        <v>6428.0600000000049</v>
      </c>
      <c r="H717" s="5">
        <v>889</v>
      </c>
    </row>
    <row r="718" spans="1:8">
      <c r="A718" s="5">
        <v>2024</v>
      </c>
      <c r="B718" s="6">
        <v>45383</v>
      </c>
      <c r="C718" s="5" t="s">
        <v>36</v>
      </c>
      <c r="D718" s="3" t="str" cm="1">
        <f t="array" ref="D718">_xlfn.IFS(
 ISNUMBER(SEARCH("WHISK",C718)),"Whiskey",
 ISNUMBER(SEARCH("BOURBON",C718)),"Whiskey",
 ISNUMBER(SEARCH("SCOTCH",C718)),"Whiskey",
 ISNUMBER(SEARCH("RYE",C718)),"Whiskey",
 ISNUMBER(SEARCH("VODKA",C718)),"Vodka",
 ISNUMBER(SEARCH("TEQUILA",C718)),"Tequila/Mezcal",
 ISNUMBER(SEARCH("MEZCAL",C718)),"Tequila/Mezcal",
 ISNUMBER(SEARCH("RUM",C718)),"Rum",
 ISNUMBER(SEARCH("BRAND",C718)),"Brandy",
 ISNUMBER(SEARCH("COGNAC",C718)),"Brandy",
 ISNUMBER(SEARCH("LIQUEUR",C718)),"Liqueurs",
 ISNUMBER(SEARCH("CORDIAL",C718)),"Liqueurs",
 ISNUMBER(SEARCH("SCHNAPP",C718)),"Liqueurs",
 ISNUMBER(SEARCH("GIN",C718)),"Gin",
 TRUE,"Other")</f>
        <v>Other</v>
      </c>
      <c r="E718" s="5">
        <v>2275</v>
      </c>
      <c r="F718" s="5">
        <v>32939.749999999993</v>
      </c>
      <c r="G718" s="5">
        <v>1729.4499999999998</v>
      </c>
      <c r="H718" s="5">
        <v>311</v>
      </c>
    </row>
    <row r="719" spans="1:8">
      <c r="A719" s="5">
        <v>2024</v>
      </c>
      <c r="B719" s="6">
        <v>45383</v>
      </c>
      <c r="C719" s="5" t="s">
        <v>38</v>
      </c>
      <c r="D719" s="3" t="str" cm="1">
        <f t="array" ref="D719">_xlfn.IFS(
 ISNUMBER(SEARCH("WHISK",C719)),"Whiskey",
 ISNUMBER(SEARCH("BOURBON",C719)),"Whiskey",
 ISNUMBER(SEARCH("SCOTCH",C719)),"Whiskey",
 ISNUMBER(SEARCH("RYE",C719)),"Whiskey",
 ISNUMBER(SEARCH("VODKA",C719)),"Vodka",
 ISNUMBER(SEARCH("TEQUILA",C719)),"Tequila/Mezcal",
 ISNUMBER(SEARCH("MEZCAL",C719)),"Tequila/Mezcal",
 ISNUMBER(SEARCH("RUM",C719)),"Rum",
 ISNUMBER(SEARCH("BRAND",C719)),"Brandy",
 ISNUMBER(SEARCH("COGNAC",C719)),"Brandy",
 ISNUMBER(SEARCH("LIQUEUR",C719)),"Liqueurs",
 ISNUMBER(SEARCH("CORDIAL",C719)),"Liqueurs",
 ISNUMBER(SEARCH("SCHNAPP",C719)),"Liqueurs",
 ISNUMBER(SEARCH("GIN",C719)),"Gin",
 TRUE,"Other")</f>
        <v>Whiskey</v>
      </c>
      <c r="E719" s="5">
        <v>15799</v>
      </c>
      <c r="F719" s="5">
        <v>441747.35999999824</v>
      </c>
      <c r="G719" s="5">
        <v>16831.280000000002</v>
      </c>
      <c r="H719" s="5">
        <v>2495</v>
      </c>
    </row>
    <row r="720" spans="1:8">
      <c r="A720" s="5">
        <v>2024</v>
      </c>
      <c r="B720" s="6">
        <v>45383</v>
      </c>
      <c r="C720" s="5" t="s">
        <v>26</v>
      </c>
      <c r="D720" s="3" t="str" cm="1">
        <f t="array" ref="D720">_xlfn.IFS(
 ISNUMBER(SEARCH("WHISK",C720)),"Whiskey",
 ISNUMBER(SEARCH("BOURBON",C720)),"Whiskey",
 ISNUMBER(SEARCH("SCOTCH",C720)),"Whiskey",
 ISNUMBER(SEARCH("RYE",C720)),"Whiskey",
 ISNUMBER(SEARCH("VODKA",C720)),"Vodka",
 ISNUMBER(SEARCH("TEQUILA",C720)),"Tequila/Mezcal",
 ISNUMBER(SEARCH("MEZCAL",C720)),"Tequila/Mezcal",
 ISNUMBER(SEARCH("RUM",C720)),"Rum",
 ISNUMBER(SEARCH("BRAND",C720)),"Brandy",
 ISNUMBER(SEARCH("COGNAC",C720)),"Brandy",
 ISNUMBER(SEARCH("LIQUEUR",C720)),"Liqueurs",
 ISNUMBER(SEARCH("CORDIAL",C720)),"Liqueurs",
 ISNUMBER(SEARCH("SCHNAPP",C720)),"Liqueurs",
 ISNUMBER(SEARCH("GIN",C720)),"Gin",
 TRUE,"Other")</f>
        <v>Brandy</v>
      </c>
      <c r="E720" s="5">
        <v>38561</v>
      </c>
      <c r="F720" s="5">
        <v>859667.83999999263</v>
      </c>
      <c r="G720" s="5">
        <v>17652.669999999925</v>
      </c>
      <c r="H720" s="5">
        <v>3438</v>
      </c>
    </row>
    <row r="721" spans="1:8">
      <c r="A721" s="5">
        <v>2024</v>
      </c>
      <c r="B721" s="6">
        <v>45383</v>
      </c>
      <c r="C721" s="5" t="s">
        <v>7</v>
      </c>
      <c r="D721" s="3" t="str" cm="1">
        <f t="array" ref="D721">_xlfn.IFS(
 ISNUMBER(SEARCH("WHISK",C721)),"Whiskey",
 ISNUMBER(SEARCH("BOURBON",C721)),"Whiskey",
 ISNUMBER(SEARCH("SCOTCH",C721)),"Whiskey",
 ISNUMBER(SEARCH("RYE",C721)),"Whiskey",
 ISNUMBER(SEARCH("VODKA",C721)),"Vodka",
 ISNUMBER(SEARCH("TEQUILA",C721)),"Tequila/Mezcal",
 ISNUMBER(SEARCH("MEZCAL",C721)),"Tequila/Mezcal",
 ISNUMBER(SEARCH("RUM",C721)),"Rum",
 ISNUMBER(SEARCH("BRAND",C721)),"Brandy",
 ISNUMBER(SEARCH("COGNAC",C721)),"Brandy",
 ISNUMBER(SEARCH("LIQUEUR",C721)),"Liqueurs",
 ISNUMBER(SEARCH("CORDIAL",C721)),"Liqueurs",
 ISNUMBER(SEARCH("SCHNAPP",C721)),"Liqueurs",
 ISNUMBER(SEARCH("GIN",C721)),"Gin",
 TRUE,"Other")</f>
        <v>Rum</v>
      </c>
      <c r="E721" s="5">
        <v>3402</v>
      </c>
      <c r="F721" s="5">
        <v>75687.769999999917</v>
      </c>
      <c r="G721" s="5">
        <v>2754.25</v>
      </c>
      <c r="H721" s="5">
        <v>605</v>
      </c>
    </row>
    <row r="722" spans="1:8">
      <c r="A722" s="5">
        <v>2024</v>
      </c>
      <c r="B722" s="6">
        <v>45383</v>
      </c>
      <c r="C722" s="5" t="s">
        <v>20</v>
      </c>
      <c r="D722" s="3" t="str" cm="1">
        <f t="array" ref="D722">_xlfn.IFS(
 ISNUMBER(SEARCH("WHISK",C722)),"Whiskey",
 ISNUMBER(SEARCH("BOURBON",C722)),"Whiskey",
 ISNUMBER(SEARCH("SCOTCH",C722)),"Whiskey",
 ISNUMBER(SEARCH("RYE",C722)),"Whiskey",
 ISNUMBER(SEARCH("VODKA",C722)),"Vodka",
 ISNUMBER(SEARCH("TEQUILA",C722)),"Tequila/Mezcal",
 ISNUMBER(SEARCH("MEZCAL",C722)),"Tequila/Mezcal",
 ISNUMBER(SEARCH("RUM",C722)),"Rum",
 ISNUMBER(SEARCH("BRAND",C722)),"Brandy",
 ISNUMBER(SEARCH("COGNAC",C722)),"Brandy",
 ISNUMBER(SEARCH("LIQUEUR",C722)),"Liqueurs",
 ISNUMBER(SEARCH("CORDIAL",C722)),"Liqueurs",
 ISNUMBER(SEARCH("SCHNAPP",C722)),"Liqueurs",
 ISNUMBER(SEARCH("GIN",C722)),"Gin",
 TRUE,"Other")</f>
        <v>Liqueurs</v>
      </c>
      <c r="E722" s="5">
        <v>6254</v>
      </c>
      <c r="F722" s="5">
        <v>133575.87000000061</v>
      </c>
      <c r="G722" s="5">
        <v>5251.6700000000028</v>
      </c>
      <c r="H722" s="5">
        <v>801</v>
      </c>
    </row>
    <row r="723" spans="1:8">
      <c r="A723" s="5">
        <v>2024</v>
      </c>
      <c r="B723" s="6">
        <v>45383</v>
      </c>
      <c r="C723" s="5" t="s">
        <v>23</v>
      </c>
      <c r="D723" s="3" t="str" cm="1">
        <f t="array" ref="D723">_xlfn.IFS(
 ISNUMBER(SEARCH("WHISK",C723)),"Whiskey",
 ISNUMBER(SEARCH("BOURBON",C723)),"Whiskey",
 ISNUMBER(SEARCH("SCOTCH",C723)),"Whiskey",
 ISNUMBER(SEARCH("RYE",C723)),"Whiskey",
 ISNUMBER(SEARCH("VODKA",C723)),"Vodka",
 ISNUMBER(SEARCH("TEQUILA",C723)),"Tequila/Mezcal",
 ISNUMBER(SEARCH("MEZCAL",C723)),"Tequila/Mezcal",
 ISNUMBER(SEARCH("RUM",C723)),"Rum",
 ISNUMBER(SEARCH("BRAND",C723)),"Brandy",
 ISNUMBER(SEARCH("COGNAC",C723)),"Brandy",
 ISNUMBER(SEARCH("LIQUEUR",C723)),"Liqueurs",
 ISNUMBER(SEARCH("CORDIAL",C723)),"Liqueurs",
 ISNUMBER(SEARCH("SCHNAPP",C723)),"Liqueurs",
 ISNUMBER(SEARCH("GIN",C723)),"Gin",
 TRUE,"Other")</f>
        <v>Gin</v>
      </c>
      <c r="E723" s="5">
        <v>3542</v>
      </c>
      <c r="F723" s="5">
        <v>91457.640000000014</v>
      </c>
      <c r="G723" s="5">
        <v>2674.55</v>
      </c>
      <c r="H723" s="5">
        <v>398</v>
      </c>
    </row>
    <row r="724" spans="1:8">
      <c r="A724" s="5">
        <v>2024</v>
      </c>
      <c r="B724" s="6">
        <v>45383</v>
      </c>
      <c r="C724" s="5" t="s">
        <v>34</v>
      </c>
      <c r="D724" s="3" t="str" cm="1">
        <f t="array" ref="D724">_xlfn.IFS(
 ISNUMBER(SEARCH("WHISK",C724)),"Whiskey",
 ISNUMBER(SEARCH("BOURBON",C724)),"Whiskey",
 ISNUMBER(SEARCH("SCOTCH",C724)),"Whiskey",
 ISNUMBER(SEARCH("RYE",C724)),"Whiskey",
 ISNUMBER(SEARCH("VODKA",C724)),"Vodka",
 ISNUMBER(SEARCH("TEQUILA",C724)),"Tequila/Mezcal",
 ISNUMBER(SEARCH("MEZCAL",C724)),"Tequila/Mezcal",
 ISNUMBER(SEARCH("RUM",C724)),"Rum",
 ISNUMBER(SEARCH("BRAND",C724)),"Brandy",
 ISNUMBER(SEARCH("COGNAC",C724)),"Brandy",
 ISNUMBER(SEARCH("LIQUEUR",C724)),"Liqueurs",
 ISNUMBER(SEARCH("CORDIAL",C724)),"Liqueurs",
 ISNUMBER(SEARCH("SCHNAPP",C724)),"Liqueurs",
 ISNUMBER(SEARCH("GIN",C724)),"Gin",
 TRUE,"Other")</f>
        <v>Tequila/Mezcal</v>
      </c>
      <c r="E724" s="5">
        <v>1281</v>
      </c>
      <c r="F724" s="5">
        <v>39868.709999999992</v>
      </c>
      <c r="G724" s="5">
        <v>961</v>
      </c>
      <c r="H724" s="5">
        <v>229</v>
      </c>
    </row>
    <row r="725" spans="1:8">
      <c r="A725" s="5">
        <v>2024</v>
      </c>
      <c r="B725" s="6">
        <v>45383</v>
      </c>
      <c r="C725" s="5" t="s">
        <v>39</v>
      </c>
      <c r="D725" s="3" t="str" cm="1">
        <f t="array" ref="D725">_xlfn.IFS(
 ISNUMBER(SEARCH("WHISK",C725)),"Whiskey",
 ISNUMBER(SEARCH("BOURBON",C725)),"Whiskey",
 ISNUMBER(SEARCH("SCOTCH",C725)),"Whiskey",
 ISNUMBER(SEARCH("RYE",C725)),"Whiskey",
 ISNUMBER(SEARCH("VODKA",C725)),"Vodka",
 ISNUMBER(SEARCH("TEQUILA",C725)),"Tequila/Mezcal",
 ISNUMBER(SEARCH("MEZCAL",C725)),"Tequila/Mezcal",
 ISNUMBER(SEARCH("RUM",C725)),"Rum",
 ISNUMBER(SEARCH("BRAND",C725)),"Brandy",
 ISNUMBER(SEARCH("COGNAC",C725)),"Brandy",
 ISNUMBER(SEARCH("LIQUEUR",C725)),"Liqueurs",
 ISNUMBER(SEARCH("CORDIAL",C725)),"Liqueurs",
 ISNUMBER(SEARCH("SCHNAPP",C725)),"Liqueurs",
 ISNUMBER(SEARCH("GIN",C725)),"Gin",
 TRUE,"Other")</f>
        <v>Whiskey</v>
      </c>
      <c r="E725" s="5">
        <v>2502</v>
      </c>
      <c r="F725" s="5">
        <v>100538.70000000001</v>
      </c>
      <c r="G725" s="5">
        <v>1876.5</v>
      </c>
      <c r="H725" s="5">
        <v>446</v>
      </c>
    </row>
    <row r="726" spans="1:8">
      <c r="A726" s="5">
        <v>2024</v>
      </c>
      <c r="B726" s="6">
        <v>45383</v>
      </c>
      <c r="C726" s="5" t="s">
        <v>41</v>
      </c>
      <c r="D726" s="3" t="str" cm="1">
        <f t="array" ref="D726">_xlfn.IFS(
 ISNUMBER(SEARCH("WHISK",C726)),"Whiskey",
 ISNUMBER(SEARCH("BOURBON",C726)),"Whiskey",
 ISNUMBER(SEARCH("SCOTCH",C726)),"Whiskey",
 ISNUMBER(SEARCH("RYE",C726)),"Whiskey",
 ISNUMBER(SEARCH("VODKA",C726)),"Vodka",
 ISNUMBER(SEARCH("TEQUILA",C726)),"Tequila/Mezcal",
 ISNUMBER(SEARCH("MEZCAL",C726)),"Tequila/Mezcal",
 ISNUMBER(SEARCH("RUM",C726)),"Rum",
 ISNUMBER(SEARCH("BRAND",C726)),"Brandy",
 ISNUMBER(SEARCH("COGNAC",C726)),"Brandy",
 ISNUMBER(SEARCH("LIQUEUR",C726)),"Liqueurs",
 ISNUMBER(SEARCH("CORDIAL",C726)),"Liqueurs",
 ISNUMBER(SEARCH("SCHNAPP",C726)),"Liqueurs",
 ISNUMBER(SEARCH("GIN",C726)),"Gin",
 TRUE,"Other")</f>
        <v>Other</v>
      </c>
      <c r="E726" s="5">
        <v>16548</v>
      </c>
      <c r="F726" s="5">
        <v>188690.77999999991</v>
      </c>
      <c r="G726" s="5">
        <v>26607.899999999976</v>
      </c>
      <c r="H726" s="5">
        <v>178</v>
      </c>
    </row>
    <row r="727" spans="1:8">
      <c r="A727" s="5">
        <v>2024</v>
      </c>
      <c r="B727" s="6">
        <v>45383</v>
      </c>
      <c r="C727" s="5" t="s">
        <v>28</v>
      </c>
      <c r="D727" s="3" t="str" cm="1">
        <f t="array" ref="D727">_xlfn.IFS(
 ISNUMBER(SEARCH("WHISK",C727)),"Whiskey",
 ISNUMBER(SEARCH("BOURBON",C727)),"Whiskey",
 ISNUMBER(SEARCH("SCOTCH",C727)),"Whiskey",
 ISNUMBER(SEARCH("RYE",C727)),"Whiskey",
 ISNUMBER(SEARCH("VODKA",C727)),"Vodka",
 ISNUMBER(SEARCH("TEQUILA",C727)),"Tequila/Mezcal",
 ISNUMBER(SEARCH("MEZCAL",C727)),"Tequila/Mezcal",
 ISNUMBER(SEARCH("RUM",C727)),"Rum",
 ISNUMBER(SEARCH("BRAND",C727)),"Brandy",
 ISNUMBER(SEARCH("COGNAC",C727)),"Brandy",
 ISNUMBER(SEARCH("LIQUEUR",C727)),"Liqueurs",
 ISNUMBER(SEARCH("CORDIAL",C727)),"Liqueurs",
 ISNUMBER(SEARCH("SCHNAPP",C727)),"Liqueurs",
 ISNUMBER(SEARCH("GIN",C727)),"Gin",
 TRUE,"Other")</f>
        <v>Other</v>
      </c>
      <c r="E727" s="5">
        <v>34970</v>
      </c>
      <c r="F727" s="5">
        <v>262329.91000000015</v>
      </c>
      <c r="G727" s="5">
        <v>30468.59999999998</v>
      </c>
      <c r="H727" s="5">
        <v>809</v>
      </c>
    </row>
    <row r="728" spans="1:8">
      <c r="A728" s="5">
        <v>2024</v>
      </c>
      <c r="B728" s="6">
        <v>45383</v>
      </c>
      <c r="C728" s="5" t="s">
        <v>21</v>
      </c>
      <c r="D728" s="3" t="str" cm="1">
        <f t="array" ref="D728">_xlfn.IFS(
 ISNUMBER(SEARCH("WHISK",C728)),"Whiskey",
 ISNUMBER(SEARCH("BOURBON",C728)),"Whiskey",
 ISNUMBER(SEARCH("SCOTCH",C728)),"Whiskey",
 ISNUMBER(SEARCH("RYE",C728)),"Whiskey",
 ISNUMBER(SEARCH("VODKA",C728)),"Vodka",
 ISNUMBER(SEARCH("TEQUILA",C728)),"Tequila/Mezcal",
 ISNUMBER(SEARCH("MEZCAL",C728)),"Tequila/Mezcal",
 ISNUMBER(SEARCH("RUM",C728)),"Rum",
 ISNUMBER(SEARCH("BRAND",C728)),"Brandy",
 ISNUMBER(SEARCH("COGNAC",C728)),"Brandy",
 ISNUMBER(SEARCH("LIQUEUR",C728)),"Liqueurs",
 ISNUMBER(SEARCH("CORDIAL",C728)),"Liqueurs",
 ISNUMBER(SEARCH("SCHNAPP",C728)),"Liqueurs",
 ISNUMBER(SEARCH("GIN",C728)),"Gin",
 TRUE,"Other")</f>
        <v>Whiskey</v>
      </c>
      <c r="E728" s="5">
        <v>570</v>
      </c>
      <c r="F728" s="5">
        <v>15822.39</v>
      </c>
      <c r="G728" s="5">
        <v>406.85</v>
      </c>
      <c r="H728" s="5">
        <v>84</v>
      </c>
    </row>
    <row r="729" spans="1:8">
      <c r="A729" s="5">
        <v>2024</v>
      </c>
      <c r="B729" s="6">
        <v>45413</v>
      </c>
      <c r="C729" s="5" t="s">
        <v>10</v>
      </c>
      <c r="D729" s="3" t="str" cm="1">
        <f t="array" ref="D729">_xlfn.IFS(
 ISNUMBER(SEARCH("WHISK",C729)),"Whiskey",
 ISNUMBER(SEARCH("BOURBON",C729)),"Whiskey",
 ISNUMBER(SEARCH("SCOTCH",C729)),"Whiskey",
 ISNUMBER(SEARCH("RYE",C729)),"Whiskey",
 ISNUMBER(SEARCH("VODKA",C729)),"Vodka",
 ISNUMBER(SEARCH("TEQUILA",C729)),"Tequila/Mezcal",
 ISNUMBER(SEARCH("MEZCAL",C729)),"Tequila/Mezcal",
 ISNUMBER(SEARCH("RUM",C729)),"Rum",
 ISNUMBER(SEARCH("BRAND",C729)),"Brandy",
 ISNUMBER(SEARCH("COGNAC",C729)),"Brandy",
 ISNUMBER(SEARCH("LIQUEUR",C729)),"Liqueurs",
 ISNUMBER(SEARCH("CORDIAL",C729)),"Liqueurs",
 ISNUMBER(SEARCH("SCHNAPP",C729)),"Liqueurs",
 ISNUMBER(SEARCH("GIN",C729)),"Gin",
 TRUE,"Other")</f>
        <v>Other</v>
      </c>
      <c r="E729" s="5">
        <v>5965</v>
      </c>
      <c r="F729" s="5">
        <v>108952.75000000006</v>
      </c>
      <c r="G729" s="5">
        <v>4144.62</v>
      </c>
      <c r="H729" s="5">
        <v>770</v>
      </c>
    </row>
    <row r="730" spans="1:8">
      <c r="A730" s="5">
        <v>2024</v>
      </c>
      <c r="B730" s="6">
        <v>45413</v>
      </c>
      <c r="C730" s="5" t="s">
        <v>13</v>
      </c>
      <c r="D730" s="3" t="str" cm="1">
        <f t="array" ref="D730">_xlfn.IFS(
 ISNUMBER(SEARCH("WHISK",C730)),"Whiskey",
 ISNUMBER(SEARCH("BOURBON",C730)),"Whiskey",
 ISNUMBER(SEARCH("SCOTCH",C730)),"Whiskey",
 ISNUMBER(SEARCH("RYE",C730)),"Whiskey",
 ISNUMBER(SEARCH("VODKA",C730)),"Vodka",
 ISNUMBER(SEARCH("TEQUILA",C730)),"Tequila/Mezcal",
 ISNUMBER(SEARCH("MEZCAL",C730)),"Tequila/Mezcal",
 ISNUMBER(SEARCH("RUM",C730)),"Rum",
 ISNUMBER(SEARCH("BRAND",C730)),"Brandy",
 ISNUMBER(SEARCH("COGNAC",C730)),"Brandy",
 ISNUMBER(SEARCH("LIQUEUR",C730)),"Liqueurs",
 ISNUMBER(SEARCH("CORDIAL",C730)),"Liqueurs",
 ISNUMBER(SEARCH("SCHNAPP",C730)),"Liqueurs",
 ISNUMBER(SEARCH("GIN",C730)),"Gin",
 TRUE,"Other")</f>
        <v>Liqueurs</v>
      </c>
      <c r="E730" s="5">
        <v>89604</v>
      </c>
      <c r="F730" s="5">
        <v>649283.45000003208</v>
      </c>
      <c r="G730" s="5">
        <v>37835.289999999681</v>
      </c>
      <c r="H730" s="5">
        <v>7259</v>
      </c>
    </row>
    <row r="731" spans="1:8">
      <c r="A731" s="5">
        <v>2024</v>
      </c>
      <c r="B731" s="6">
        <v>45413</v>
      </c>
      <c r="C731" s="5" t="s">
        <v>15</v>
      </c>
      <c r="D731" s="3" t="str" cm="1">
        <f t="array" ref="D731">_xlfn.IFS(
 ISNUMBER(SEARCH("WHISK",C731)),"Whiskey",
 ISNUMBER(SEARCH("BOURBON",C731)),"Whiskey",
 ISNUMBER(SEARCH("SCOTCH",C731)),"Whiskey",
 ISNUMBER(SEARCH("RYE",C731)),"Whiskey",
 ISNUMBER(SEARCH("VODKA",C731)),"Vodka",
 ISNUMBER(SEARCH("TEQUILA",C731)),"Tequila/Mezcal",
 ISNUMBER(SEARCH("MEZCAL",C731)),"Tequila/Mezcal",
 ISNUMBER(SEARCH("RUM",C731)),"Rum",
 ISNUMBER(SEARCH("BRAND",C731)),"Brandy",
 ISNUMBER(SEARCH("COGNAC",C731)),"Brandy",
 ISNUMBER(SEARCH("LIQUEUR",C731)),"Liqueurs",
 ISNUMBER(SEARCH("CORDIAL",C731)),"Liqueurs",
 ISNUMBER(SEARCH("SCHNAPP",C731)),"Liqueurs",
 ISNUMBER(SEARCH("GIN",C731)),"Gin",
 TRUE,"Other")</f>
        <v>Vodka</v>
      </c>
      <c r="E731" s="5">
        <v>582775</v>
      </c>
      <c r="F731" s="5">
        <v>6316239.0400000708</v>
      </c>
      <c r="G731" s="5">
        <v>521186.02999997319</v>
      </c>
      <c r="H731" s="5">
        <v>35196</v>
      </c>
    </row>
    <row r="732" spans="1:8">
      <c r="A732" s="5">
        <v>2024</v>
      </c>
      <c r="B732" s="6">
        <v>45413</v>
      </c>
      <c r="C732" s="5" t="s">
        <v>16</v>
      </c>
      <c r="D732" s="3" t="str" cm="1">
        <f t="array" ref="D732">_xlfn.IFS(
 ISNUMBER(SEARCH("WHISK",C732)),"Whiskey",
 ISNUMBER(SEARCH("BOURBON",C732)),"Whiskey",
 ISNUMBER(SEARCH("SCOTCH",C732)),"Whiskey",
 ISNUMBER(SEARCH("RYE",C732)),"Whiskey",
 ISNUMBER(SEARCH("VODKA",C732)),"Vodka",
 ISNUMBER(SEARCH("TEQUILA",C732)),"Tequila/Mezcal",
 ISNUMBER(SEARCH("MEZCAL",C732)),"Tequila/Mezcal",
 ISNUMBER(SEARCH("RUM",C732)),"Rum",
 ISNUMBER(SEARCH("BRAND",C732)),"Brandy",
 ISNUMBER(SEARCH("COGNAC",C732)),"Brandy",
 ISNUMBER(SEARCH("LIQUEUR",C732)),"Liqueurs",
 ISNUMBER(SEARCH("CORDIAL",C732)),"Liqueurs",
 ISNUMBER(SEARCH("SCHNAPP",C732)),"Liqueurs",
 ISNUMBER(SEARCH("GIN",C732)),"Gin",
 TRUE,"Other")</f>
        <v>Whiskey</v>
      </c>
      <c r="E732" s="5">
        <v>67866</v>
      </c>
      <c r="F732" s="5">
        <v>933377.95999998599</v>
      </c>
      <c r="G732" s="5">
        <v>56952.990000000245</v>
      </c>
      <c r="H732" s="5">
        <v>7508</v>
      </c>
    </row>
    <row r="733" spans="1:8">
      <c r="A733" s="5">
        <v>2024</v>
      </c>
      <c r="B733" s="6">
        <v>45413</v>
      </c>
      <c r="C733" s="5" t="s">
        <v>18</v>
      </c>
      <c r="D733" s="3" t="str" cm="1">
        <f t="array" ref="D733">_xlfn.IFS(
 ISNUMBER(SEARCH("WHISK",C733)),"Whiskey",
 ISNUMBER(SEARCH("BOURBON",C733)),"Whiskey",
 ISNUMBER(SEARCH("SCOTCH",C733)),"Whiskey",
 ISNUMBER(SEARCH("RYE",C733)),"Whiskey",
 ISNUMBER(SEARCH("VODKA",C733)),"Vodka",
 ISNUMBER(SEARCH("TEQUILA",C733)),"Tequila/Mezcal",
 ISNUMBER(SEARCH("MEZCAL",C733)),"Tequila/Mezcal",
 ISNUMBER(SEARCH("RUM",C733)),"Rum",
 ISNUMBER(SEARCH("BRAND",C733)),"Brandy",
 ISNUMBER(SEARCH("COGNAC",C733)),"Brandy",
 ISNUMBER(SEARCH("LIQUEUR",C733)),"Liqueurs",
 ISNUMBER(SEARCH("CORDIAL",C733)),"Liqueurs",
 ISNUMBER(SEARCH("SCHNAPP",C733)),"Liqueurs",
 ISNUMBER(SEARCH("GIN",C733)),"Gin",
 TRUE,"Other")</f>
        <v>Whiskey</v>
      </c>
      <c r="E733" s="5">
        <v>277134</v>
      </c>
      <c r="F733" s="5">
        <v>4498922.5800000308</v>
      </c>
      <c r="G733" s="5">
        <v>281577.89999999618</v>
      </c>
      <c r="H733" s="5">
        <v>22323</v>
      </c>
    </row>
    <row r="734" spans="1:8">
      <c r="A734" s="5">
        <v>2024</v>
      </c>
      <c r="B734" s="6">
        <v>45413</v>
      </c>
      <c r="C734" s="5" t="s">
        <v>19</v>
      </c>
      <c r="D734" s="3" t="str" cm="1">
        <f t="array" ref="D734">_xlfn.IFS(
 ISNUMBER(SEARCH("WHISK",C734)),"Whiskey",
 ISNUMBER(SEARCH("BOURBON",C734)),"Whiskey",
 ISNUMBER(SEARCH("SCOTCH",C734)),"Whiskey",
 ISNUMBER(SEARCH("RYE",C734)),"Whiskey",
 ISNUMBER(SEARCH("VODKA",C734)),"Vodka",
 ISNUMBER(SEARCH("TEQUILA",C734)),"Tequila/Mezcal",
 ISNUMBER(SEARCH("MEZCAL",C734)),"Tequila/Mezcal",
 ISNUMBER(SEARCH("RUM",C734)),"Rum",
 ISNUMBER(SEARCH("BRAND",C734)),"Brandy",
 ISNUMBER(SEARCH("COGNAC",C734)),"Brandy",
 ISNUMBER(SEARCH("LIQUEUR",C734)),"Liqueurs",
 ISNUMBER(SEARCH("CORDIAL",C734)),"Liqueurs",
 ISNUMBER(SEARCH("SCHNAPP",C734)),"Liqueurs",
 ISNUMBER(SEARCH("GIN",C734)),"Gin",
 TRUE,"Other")</f>
        <v>Other</v>
      </c>
      <c r="E734" s="5">
        <v>63624</v>
      </c>
      <c r="F734" s="5">
        <v>773342.11999999476</v>
      </c>
      <c r="G734" s="5">
        <v>81803.770000000077</v>
      </c>
      <c r="H734" s="5">
        <v>7781</v>
      </c>
    </row>
    <row r="735" spans="1:8">
      <c r="A735" s="5">
        <v>2024</v>
      </c>
      <c r="B735" s="6">
        <v>45413</v>
      </c>
      <c r="C735" s="5" t="s">
        <v>22</v>
      </c>
      <c r="D735" s="3" t="str" cm="1">
        <f t="array" ref="D735">_xlfn.IFS(
 ISNUMBER(SEARCH("WHISK",C735)),"Whiskey",
 ISNUMBER(SEARCH("BOURBON",C735)),"Whiskey",
 ISNUMBER(SEARCH("SCOTCH",C735)),"Whiskey",
 ISNUMBER(SEARCH("RYE",C735)),"Whiskey",
 ISNUMBER(SEARCH("VODKA",C735)),"Vodka",
 ISNUMBER(SEARCH("TEQUILA",C735)),"Tequila/Mezcal",
 ISNUMBER(SEARCH("MEZCAL",C735)),"Tequila/Mezcal",
 ISNUMBER(SEARCH("RUM",C735)),"Rum",
 ISNUMBER(SEARCH("BRAND",C735)),"Brandy",
 ISNUMBER(SEARCH("COGNAC",C735)),"Brandy",
 ISNUMBER(SEARCH("LIQUEUR",C735)),"Liqueurs",
 ISNUMBER(SEARCH("CORDIAL",C735)),"Liqueurs",
 ISNUMBER(SEARCH("SCHNAPP",C735)),"Liqueurs",
 ISNUMBER(SEARCH("GIN",C735)),"Gin",
 TRUE,"Other")</f>
        <v>Liqueurs</v>
      </c>
      <c r="E735" s="5">
        <v>26751</v>
      </c>
      <c r="F735" s="5">
        <v>539689.54999999341</v>
      </c>
      <c r="G735" s="5">
        <v>22603.789999999797</v>
      </c>
      <c r="H735" s="5">
        <v>3489</v>
      </c>
    </row>
    <row r="736" spans="1:8">
      <c r="A736" s="5">
        <v>2024</v>
      </c>
      <c r="B736" s="6">
        <v>45413</v>
      </c>
      <c r="C736" s="5" t="s">
        <v>37</v>
      </c>
      <c r="D736" s="3" t="str" cm="1">
        <f t="array" ref="D736">_xlfn.IFS(
 ISNUMBER(SEARCH("WHISK",C736)),"Whiskey",
 ISNUMBER(SEARCH("BOURBON",C736)),"Whiskey",
 ISNUMBER(SEARCH("SCOTCH",C736)),"Whiskey",
 ISNUMBER(SEARCH("RYE",C736)),"Whiskey",
 ISNUMBER(SEARCH("VODKA",C736)),"Vodka",
 ISNUMBER(SEARCH("TEQUILA",C736)),"Tequila/Mezcal",
 ISNUMBER(SEARCH("MEZCAL",C736)),"Tequila/Mezcal",
 ISNUMBER(SEARCH("RUM",C736)),"Rum",
 ISNUMBER(SEARCH("BRAND",C736)),"Brandy",
 ISNUMBER(SEARCH("COGNAC",C736)),"Brandy",
 ISNUMBER(SEARCH("LIQUEUR",C736)),"Liqueurs",
 ISNUMBER(SEARCH("CORDIAL",C736)),"Liqueurs",
 ISNUMBER(SEARCH("SCHNAPP",C736)),"Liqueurs",
 ISNUMBER(SEARCH("GIN",C736)),"Gin",
 TRUE,"Other")</f>
        <v>Other</v>
      </c>
      <c r="E736" s="5">
        <v>15525</v>
      </c>
      <c r="F736" s="5">
        <v>254256.18000000308</v>
      </c>
      <c r="G736" s="5">
        <v>7139.9499999999962</v>
      </c>
      <c r="H736" s="5">
        <v>3173</v>
      </c>
    </row>
    <row r="737" spans="1:8">
      <c r="A737" s="5">
        <v>2024</v>
      </c>
      <c r="B737" s="6">
        <v>45413</v>
      </c>
      <c r="C737" s="5" t="s">
        <v>38</v>
      </c>
      <c r="D737" s="3" t="str" cm="1">
        <f t="array" ref="D737">_xlfn.IFS(
 ISNUMBER(SEARCH("WHISK",C737)),"Whiskey",
 ISNUMBER(SEARCH("BOURBON",C737)),"Whiskey",
 ISNUMBER(SEARCH("SCOTCH",C737)),"Whiskey",
 ISNUMBER(SEARCH("RYE",C737)),"Whiskey",
 ISNUMBER(SEARCH("VODKA",C737)),"Vodka",
 ISNUMBER(SEARCH("TEQUILA",C737)),"Tequila/Mezcal",
 ISNUMBER(SEARCH("MEZCAL",C737)),"Tequila/Mezcal",
 ISNUMBER(SEARCH("RUM",C737)),"Rum",
 ISNUMBER(SEARCH("BRAND",C737)),"Brandy",
 ISNUMBER(SEARCH("COGNAC",C737)),"Brandy",
 ISNUMBER(SEARCH("LIQUEUR",C737)),"Liqueurs",
 ISNUMBER(SEARCH("CORDIAL",C737)),"Liqueurs",
 ISNUMBER(SEARCH("SCHNAPP",C737)),"Liqueurs",
 ISNUMBER(SEARCH("GIN",C737)),"Gin",
 TRUE,"Other")</f>
        <v>Whiskey</v>
      </c>
      <c r="E737" s="5">
        <v>15665</v>
      </c>
      <c r="F737" s="5">
        <v>444286.61999999918</v>
      </c>
      <c r="G737" s="5">
        <v>16274.870000000021</v>
      </c>
      <c r="H737" s="5">
        <v>2594</v>
      </c>
    </row>
    <row r="738" spans="1:8">
      <c r="A738" s="5">
        <v>2024</v>
      </c>
      <c r="B738" s="6">
        <v>45413</v>
      </c>
      <c r="C738" s="5" t="s">
        <v>42</v>
      </c>
      <c r="D738" s="3" t="str" cm="1">
        <f t="array" ref="D738">_xlfn.IFS(
 ISNUMBER(SEARCH("WHISK",C738)),"Whiskey",
 ISNUMBER(SEARCH("BOURBON",C738)),"Whiskey",
 ISNUMBER(SEARCH("SCOTCH",C738)),"Whiskey",
 ISNUMBER(SEARCH("RYE",C738)),"Whiskey",
 ISNUMBER(SEARCH("VODKA",C738)),"Vodka",
 ISNUMBER(SEARCH("TEQUILA",C738)),"Tequila/Mezcal",
 ISNUMBER(SEARCH("MEZCAL",C738)),"Tequila/Mezcal",
 ISNUMBER(SEARCH("RUM",C738)),"Rum",
 ISNUMBER(SEARCH("BRAND",C738)),"Brandy",
 ISNUMBER(SEARCH("COGNAC",C738)),"Brandy",
 ISNUMBER(SEARCH("LIQUEUR",C738)),"Liqueurs",
 ISNUMBER(SEARCH("CORDIAL",C738)),"Liqueurs",
 ISNUMBER(SEARCH("SCHNAPP",C738)),"Liqueurs",
 ISNUMBER(SEARCH("GIN",C738)),"Gin",
 TRUE,"Other")</f>
        <v>Rum</v>
      </c>
      <c r="E738" s="5">
        <v>116220</v>
      </c>
      <c r="F738" s="5">
        <v>1889215.7199998887</v>
      </c>
      <c r="G738" s="5">
        <v>115567.62000000081</v>
      </c>
      <c r="H738" s="5">
        <v>8248</v>
      </c>
    </row>
    <row r="739" spans="1:8">
      <c r="A739" s="5">
        <v>2024</v>
      </c>
      <c r="B739" s="6">
        <v>45413</v>
      </c>
      <c r="C739" s="5" t="s">
        <v>43</v>
      </c>
      <c r="D739" s="3" t="str" cm="1">
        <f t="array" ref="D739">_xlfn.IFS(
 ISNUMBER(SEARCH("WHISK",C739)),"Whiskey",
 ISNUMBER(SEARCH("BOURBON",C739)),"Whiskey",
 ISNUMBER(SEARCH("SCOTCH",C739)),"Whiskey",
 ISNUMBER(SEARCH("RYE",C739)),"Whiskey",
 ISNUMBER(SEARCH("VODKA",C739)),"Vodka",
 ISNUMBER(SEARCH("TEQUILA",C739)),"Tequila/Mezcal",
 ISNUMBER(SEARCH("MEZCAL",C739)),"Tequila/Mezcal",
 ISNUMBER(SEARCH("RUM",C739)),"Rum",
 ISNUMBER(SEARCH("BRAND",C739)),"Brandy",
 ISNUMBER(SEARCH("COGNAC",C739)),"Brandy",
 ISNUMBER(SEARCH("LIQUEUR",C739)),"Liqueurs",
 ISNUMBER(SEARCH("CORDIAL",C739)),"Liqueurs",
 ISNUMBER(SEARCH("SCHNAPP",C739)),"Liqueurs",
 ISNUMBER(SEARCH("GIN",C739)),"Gin",
 TRUE,"Other")</f>
        <v>Whiskey</v>
      </c>
      <c r="E739" s="5">
        <v>147493</v>
      </c>
      <c r="F739" s="5">
        <v>3365738.3400000022</v>
      </c>
      <c r="G739" s="5">
        <v>116640.12000000125</v>
      </c>
      <c r="H739" s="5">
        <v>17688</v>
      </c>
    </row>
    <row r="740" spans="1:8">
      <c r="A740" s="5">
        <v>2024</v>
      </c>
      <c r="B740" s="6">
        <v>45413</v>
      </c>
      <c r="C740" s="5" t="s">
        <v>48</v>
      </c>
      <c r="D740" s="3" t="str" cm="1">
        <f t="array" ref="D740">_xlfn.IFS(
 ISNUMBER(SEARCH("WHISK",C740)),"Whiskey",
 ISNUMBER(SEARCH("BOURBON",C740)),"Whiskey",
 ISNUMBER(SEARCH("SCOTCH",C740)),"Whiskey",
 ISNUMBER(SEARCH("RYE",C740)),"Whiskey",
 ISNUMBER(SEARCH("VODKA",C740)),"Vodka",
 ISNUMBER(SEARCH("TEQUILA",C740)),"Tequila/Mezcal",
 ISNUMBER(SEARCH("MEZCAL",C740)),"Tequila/Mezcal",
 ISNUMBER(SEARCH("RUM",C740)),"Rum",
 ISNUMBER(SEARCH("BRAND",C740)),"Brandy",
 ISNUMBER(SEARCH("COGNAC",C740)),"Brandy",
 ISNUMBER(SEARCH("LIQUEUR",C740)),"Liqueurs",
 ISNUMBER(SEARCH("CORDIAL",C740)),"Liqueurs",
 ISNUMBER(SEARCH("SCHNAPP",C740)),"Liqueurs",
 ISNUMBER(SEARCH("GIN",C740)),"Gin",
 TRUE,"Other")</f>
        <v>Whiskey</v>
      </c>
      <c r="E740" s="5">
        <v>401679</v>
      </c>
      <c r="F740" s="5">
        <v>2292276.2699999358</v>
      </c>
      <c r="G740" s="5">
        <v>90325.530000005514</v>
      </c>
      <c r="H740" s="5">
        <v>14456</v>
      </c>
    </row>
    <row r="741" spans="1:8">
      <c r="A741" s="5">
        <v>2024</v>
      </c>
      <c r="B741" s="6">
        <v>45413</v>
      </c>
      <c r="C741" s="5" t="s">
        <v>50</v>
      </c>
      <c r="D741" s="3" t="str" cm="1">
        <f t="array" ref="D741">_xlfn.IFS(
 ISNUMBER(SEARCH("WHISK",C741)),"Whiskey",
 ISNUMBER(SEARCH("BOURBON",C741)),"Whiskey",
 ISNUMBER(SEARCH("SCOTCH",C741)),"Whiskey",
 ISNUMBER(SEARCH("RYE",C741)),"Whiskey",
 ISNUMBER(SEARCH("VODKA",C741)),"Vodka",
 ISNUMBER(SEARCH("TEQUILA",C741)),"Tequila/Mezcal",
 ISNUMBER(SEARCH("MEZCAL",C741)),"Tequila/Mezcal",
 ISNUMBER(SEARCH("RUM",C741)),"Rum",
 ISNUMBER(SEARCH("BRAND",C741)),"Brandy",
 ISNUMBER(SEARCH("COGNAC",C741)),"Brandy",
 ISNUMBER(SEARCH("LIQUEUR",C741)),"Liqueurs",
 ISNUMBER(SEARCH("CORDIAL",C741)),"Liqueurs",
 ISNUMBER(SEARCH("SCHNAPP",C741)),"Liqueurs",
 ISNUMBER(SEARCH("GIN",C741)),"Gin",
 TRUE,"Other")</f>
        <v>Tequila/Mezcal</v>
      </c>
      <c r="E741" s="5">
        <v>112914</v>
      </c>
      <c r="F741" s="5">
        <v>3337299.450000003</v>
      </c>
      <c r="G741" s="5">
        <v>77290.550000000934</v>
      </c>
      <c r="H741" s="5">
        <v>13457</v>
      </c>
    </row>
    <row r="742" spans="1:8">
      <c r="A742" s="5">
        <v>2024</v>
      </c>
      <c r="B742" s="6">
        <v>45413</v>
      </c>
      <c r="C742" s="5" t="s">
        <v>8</v>
      </c>
      <c r="D742" s="3" t="str" cm="1">
        <f t="array" ref="D742">_xlfn.IFS(
 ISNUMBER(SEARCH("WHISK",C742)),"Whiskey",
 ISNUMBER(SEARCH("BOURBON",C742)),"Whiskey",
 ISNUMBER(SEARCH("SCOTCH",C742)),"Whiskey",
 ISNUMBER(SEARCH("RYE",C742)),"Whiskey",
 ISNUMBER(SEARCH("VODKA",C742)),"Vodka",
 ISNUMBER(SEARCH("TEQUILA",C742)),"Tequila/Mezcal",
 ISNUMBER(SEARCH("MEZCAL",C742)),"Tequila/Mezcal",
 ISNUMBER(SEARCH("RUM",C742)),"Rum",
 ISNUMBER(SEARCH("BRAND",C742)),"Brandy",
 ISNUMBER(SEARCH("COGNAC",C742)),"Brandy",
 ISNUMBER(SEARCH("LIQUEUR",C742)),"Liqueurs",
 ISNUMBER(SEARCH("CORDIAL",C742)),"Liqueurs",
 ISNUMBER(SEARCH("SCHNAPP",C742)),"Liqueurs",
 ISNUMBER(SEARCH("GIN",C742)),"Gin",
 TRUE,"Other")</f>
        <v>Brandy</v>
      </c>
      <c r="E742" s="5">
        <v>59183</v>
      </c>
      <c r="F742" s="5">
        <v>380298.69000000169</v>
      </c>
      <c r="G742" s="5">
        <v>29584.619999999672</v>
      </c>
      <c r="H742" s="5">
        <v>4560</v>
      </c>
    </row>
    <row r="743" spans="1:8">
      <c r="A743" s="5">
        <v>2024</v>
      </c>
      <c r="B743" s="6">
        <v>45413</v>
      </c>
      <c r="C743" s="5" t="s">
        <v>59</v>
      </c>
      <c r="D743" s="3" t="str" cm="1">
        <f t="array" ref="D743">_xlfn.IFS(
 ISNUMBER(SEARCH("WHISK",C743)),"Whiskey",
 ISNUMBER(SEARCH("BOURBON",C743)),"Whiskey",
 ISNUMBER(SEARCH("SCOTCH",C743)),"Whiskey",
 ISNUMBER(SEARCH("RYE",C743)),"Whiskey",
 ISNUMBER(SEARCH("VODKA",C743)),"Vodka",
 ISNUMBER(SEARCH("TEQUILA",C743)),"Tequila/Mezcal",
 ISNUMBER(SEARCH("MEZCAL",C743)),"Tequila/Mezcal",
 ISNUMBER(SEARCH("RUM",C743)),"Rum",
 ISNUMBER(SEARCH("BRAND",C743)),"Brandy",
 ISNUMBER(SEARCH("COGNAC",C743)),"Brandy",
 ISNUMBER(SEARCH("LIQUEUR",C743)),"Liqueurs",
 ISNUMBER(SEARCH("CORDIAL",C743)),"Liqueurs",
 ISNUMBER(SEARCH("SCHNAPP",C743)),"Liqueurs",
 ISNUMBER(SEARCH("GIN",C743)),"Gin",
 TRUE,"Other")</f>
        <v>Liqueurs</v>
      </c>
      <c r="E743" s="5">
        <v>34264</v>
      </c>
      <c r="F743" s="5">
        <v>366128.98000000784</v>
      </c>
      <c r="G743" s="5">
        <v>13666.379999999637</v>
      </c>
      <c r="H743" s="5">
        <v>5024</v>
      </c>
    </row>
    <row r="744" spans="1:8">
      <c r="A744" s="5">
        <v>2024</v>
      </c>
      <c r="B744" s="6">
        <v>45413</v>
      </c>
      <c r="C744" s="5" t="s">
        <v>11</v>
      </c>
      <c r="D744" s="3" t="str" cm="1">
        <f t="array" ref="D744">_xlfn.IFS(
 ISNUMBER(SEARCH("WHISK",C744)),"Whiskey",
 ISNUMBER(SEARCH("BOURBON",C744)),"Whiskey",
 ISNUMBER(SEARCH("SCOTCH",C744)),"Whiskey",
 ISNUMBER(SEARCH("RYE",C744)),"Whiskey",
 ISNUMBER(SEARCH("VODKA",C744)),"Vodka",
 ISNUMBER(SEARCH("TEQUILA",C744)),"Tequila/Mezcal",
 ISNUMBER(SEARCH("MEZCAL",C744)),"Tequila/Mezcal",
 ISNUMBER(SEARCH("RUM",C744)),"Rum",
 ISNUMBER(SEARCH("BRAND",C744)),"Brandy",
 ISNUMBER(SEARCH("COGNAC",C744)),"Brandy",
 ISNUMBER(SEARCH("LIQUEUR",C744)),"Liqueurs",
 ISNUMBER(SEARCH("CORDIAL",C744)),"Liqueurs",
 ISNUMBER(SEARCH("SCHNAPP",C744)),"Liqueurs",
 ISNUMBER(SEARCH("GIN",C744)),"Gin",
 TRUE,"Other")</f>
        <v>Gin</v>
      </c>
      <c r="E744" s="5">
        <v>31739</v>
      </c>
      <c r="F744" s="5">
        <v>302575.45000000199</v>
      </c>
      <c r="G744" s="5">
        <v>25473.56999999992</v>
      </c>
      <c r="H744" s="5">
        <v>2924</v>
      </c>
    </row>
    <row r="745" spans="1:8">
      <c r="A745" s="5">
        <v>2024</v>
      </c>
      <c r="B745" s="6">
        <v>45413</v>
      </c>
      <c r="C745" s="5" t="s">
        <v>12</v>
      </c>
      <c r="D745" s="3" t="str" cm="1">
        <f t="array" ref="D745">_xlfn.IFS(
 ISNUMBER(SEARCH("WHISK",C745)),"Whiskey",
 ISNUMBER(SEARCH("BOURBON",C745)),"Whiskey",
 ISNUMBER(SEARCH("SCOTCH",C745)),"Whiskey",
 ISNUMBER(SEARCH("RYE",C745)),"Whiskey",
 ISNUMBER(SEARCH("VODKA",C745)),"Vodka",
 ISNUMBER(SEARCH("TEQUILA",C745)),"Tequila/Mezcal",
 ISNUMBER(SEARCH("MEZCAL",C745)),"Tequila/Mezcal",
 ISNUMBER(SEARCH("RUM",C745)),"Rum",
 ISNUMBER(SEARCH("BRAND",C745)),"Brandy",
 ISNUMBER(SEARCH("COGNAC",C745)),"Brandy",
 ISNUMBER(SEARCH("LIQUEUR",C745)),"Liqueurs",
 ISNUMBER(SEARCH("CORDIAL",C745)),"Liqueurs",
 ISNUMBER(SEARCH("SCHNAPP",C745)),"Liqueurs",
 ISNUMBER(SEARCH("GIN",C745)),"Gin",
 TRUE,"Other")</f>
        <v>Vodka</v>
      </c>
      <c r="E745" s="5">
        <v>96831</v>
      </c>
      <c r="F745" s="5">
        <v>1104501.4200000498</v>
      </c>
      <c r="G745" s="5">
        <v>71268.410000000484</v>
      </c>
      <c r="H745" s="5">
        <v>10865</v>
      </c>
    </row>
    <row r="746" spans="1:8">
      <c r="A746" s="5">
        <v>2024</v>
      </c>
      <c r="B746" s="6">
        <v>45413</v>
      </c>
      <c r="C746" s="5" t="s">
        <v>23</v>
      </c>
      <c r="D746" s="3" t="str" cm="1">
        <f t="array" ref="D746">_xlfn.IFS(
 ISNUMBER(SEARCH("WHISK",C746)),"Whiskey",
 ISNUMBER(SEARCH("BOURBON",C746)),"Whiskey",
 ISNUMBER(SEARCH("SCOTCH",C746)),"Whiskey",
 ISNUMBER(SEARCH("RYE",C746)),"Whiskey",
 ISNUMBER(SEARCH("VODKA",C746)),"Vodka",
 ISNUMBER(SEARCH("TEQUILA",C746)),"Tequila/Mezcal",
 ISNUMBER(SEARCH("MEZCAL",C746)),"Tequila/Mezcal",
 ISNUMBER(SEARCH("RUM",C746)),"Rum",
 ISNUMBER(SEARCH("BRAND",C746)),"Brandy",
 ISNUMBER(SEARCH("COGNAC",C746)),"Brandy",
 ISNUMBER(SEARCH("LIQUEUR",C746)),"Liqueurs",
 ISNUMBER(SEARCH("CORDIAL",C746)),"Liqueurs",
 ISNUMBER(SEARCH("SCHNAPP",C746)),"Liqueurs",
 ISNUMBER(SEARCH("GIN",C746)),"Gin",
 TRUE,"Other")</f>
        <v>Gin</v>
      </c>
      <c r="E746" s="5">
        <v>5107</v>
      </c>
      <c r="F746" s="5">
        <v>131628.98000000004</v>
      </c>
      <c r="G746" s="5">
        <v>3792.4000000000033</v>
      </c>
      <c r="H746" s="5">
        <v>528</v>
      </c>
    </row>
    <row r="747" spans="1:8">
      <c r="A747" s="5">
        <v>2024</v>
      </c>
      <c r="B747" s="6">
        <v>45413</v>
      </c>
      <c r="C747" s="5" t="s">
        <v>24</v>
      </c>
      <c r="D747" s="3" t="str" cm="1">
        <f t="array" ref="D747">_xlfn.IFS(
 ISNUMBER(SEARCH("WHISK",C747)),"Whiskey",
 ISNUMBER(SEARCH("BOURBON",C747)),"Whiskey",
 ISNUMBER(SEARCH("SCOTCH",C747)),"Whiskey",
 ISNUMBER(SEARCH("RYE",C747)),"Whiskey",
 ISNUMBER(SEARCH("VODKA",C747)),"Vodka",
 ISNUMBER(SEARCH("TEQUILA",C747)),"Tequila/Mezcal",
 ISNUMBER(SEARCH("MEZCAL",C747)),"Tequila/Mezcal",
 ISNUMBER(SEARCH("RUM",C747)),"Rum",
 ISNUMBER(SEARCH("BRAND",C747)),"Brandy",
 ISNUMBER(SEARCH("COGNAC",C747)),"Brandy",
 ISNUMBER(SEARCH("LIQUEUR",C747)),"Liqueurs",
 ISNUMBER(SEARCH("CORDIAL",C747)),"Liqueurs",
 ISNUMBER(SEARCH("SCHNAPP",C747)),"Liqueurs",
 ISNUMBER(SEARCH("GIN",C747)),"Gin",
 TRUE,"Other")</f>
        <v>Rum</v>
      </c>
      <c r="E747" s="5">
        <v>49248</v>
      </c>
      <c r="F747" s="5">
        <v>765037.17999999586</v>
      </c>
      <c r="G747" s="5">
        <v>45594.73</v>
      </c>
      <c r="H747" s="5">
        <v>4472</v>
      </c>
    </row>
    <row r="748" spans="1:8">
      <c r="A748" s="5">
        <v>2024</v>
      </c>
      <c r="B748" s="6">
        <v>45413</v>
      </c>
      <c r="C748" s="5" t="s">
        <v>25</v>
      </c>
      <c r="D748" s="3" t="str" cm="1">
        <f t="array" ref="D748">_xlfn.IFS(
 ISNUMBER(SEARCH("WHISK",C748)),"Whiskey",
 ISNUMBER(SEARCH("BOURBON",C748)),"Whiskey",
 ISNUMBER(SEARCH("SCOTCH",C748)),"Whiskey",
 ISNUMBER(SEARCH("RYE",C748)),"Whiskey",
 ISNUMBER(SEARCH("VODKA",C748)),"Vodka",
 ISNUMBER(SEARCH("TEQUILA",C748)),"Tequila/Mezcal",
 ISNUMBER(SEARCH("MEZCAL",C748)),"Tequila/Mezcal",
 ISNUMBER(SEARCH("RUM",C748)),"Rum",
 ISNUMBER(SEARCH("BRAND",C748)),"Brandy",
 ISNUMBER(SEARCH("COGNAC",C748)),"Brandy",
 ISNUMBER(SEARCH("LIQUEUR",C748)),"Liqueurs",
 ISNUMBER(SEARCH("CORDIAL",C748)),"Liqueurs",
 ISNUMBER(SEARCH("SCHNAPP",C748)),"Liqueurs",
 ISNUMBER(SEARCH("GIN",C748)),"Gin",
 TRUE,"Other")</f>
        <v>Rum</v>
      </c>
      <c r="E748" s="5">
        <v>6661</v>
      </c>
      <c r="F748" s="5">
        <v>92855.509999999849</v>
      </c>
      <c r="G748" s="5">
        <v>7196.6800000000076</v>
      </c>
      <c r="H748" s="5">
        <v>947</v>
      </c>
    </row>
    <row r="749" spans="1:8">
      <c r="A749" s="5">
        <v>2024</v>
      </c>
      <c r="B749" s="6">
        <v>45413</v>
      </c>
      <c r="C749" s="5" t="s">
        <v>26</v>
      </c>
      <c r="D749" s="3" t="str" cm="1">
        <f t="array" ref="D749">_xlfn.IFS(
 ISNUMBER(SEARCH("WHISK",C749)),"Whiskey",
 ISNUMBER(SEARCH("BOURBON",C749)),"Whiskey",
 ISNUMBER(SEARCH("SCOTCH",C749)),"Whiskey",
 ISNUMBER(SEARCH("RYE",C749)),"Whiskey",
 ISNUMBER(SEARCH("VODKA",C749)),"Vodka",
 ISNUMBER(SEARCH("TEQUILA",C749)),"Tequila/Mezcal",
 ISNUMBER(SEARCH("MEZCAL",C749)),"Tequila/Mezcal",
 ISNUMBER(SEARCH("RUM",C749)),"Rum",
 ISNUMBER(SEARCH("BRAND",C749)),"Brandy",
 ISNUMBER(SEARCH("COGNAC",C749)),"Brandy",
 ISNUMBER(SEARCH("LIQUEUR",C749)),"Liqueurs",
 ISNUMBER(SEARCH("CORDIAL",C749)),"Liqueurs",
 ISNUMBER(SEARCH("SCHNAPP",C749)),"Liqueurs",
 ISNUMBER(SEARCH("GIN",C749)),"Gin",
 TRUE,"Other")</f>
        <v>Brandy</v>
      </c>
      <c r="E749" s="5">
        <v>37578</v>
      </c>
      <c r="F749" s="5">
        <v>881744.36999999487</v>
      </c>
      <c r="G749" s="5">
        <v>17628.999999999942</v>
      </c>
      <c r="H749" s="5">
        <v>3394</v>
      </c>
    </row>
    <row r="750" spans="1:8">
      <c r="A750" s="5">
        <v>2024</v>
      </c>
      <c r="B750" s="6">
        <v>45413</v>
      </c>
      <c r="C750" s="5" t="s">
        <v>60</v>
      </c>
      <c r="D750" s="3" t="str" cm="1">
        <f t="array" ref="D750">_xlfn.IFS(
 ISNUMBER(SEARCH("WHISK",C750)),"Whiskey",
 ISNUMBER(SEARCH("BOURBON",C750)),"Whiskey",
 ISNUMBER(SEARCH("SCOTCH",C750)),"Whiskey",
 ISNUMBER(SEARCH("RYE",C750)),"Whiskey",
 ISNUMBER(SEARCH("VODKA",C750)),"Vodka",
 ISNUMBER(SEARCH("TEQUILA",C750)),"Tequila/Mezcal",
 ISNUMBER(SEARCH("MEZCAL",C750)),"Tequila/Mezcal",
 ISNUMBER(SEARCH("RUM",C750)),"Rum",
 ISNUMBER(SEARCH("BRAND",C750)),"Brandy",
 ISNUMBER(SEARCH("COGNAC",C750)),"Brandy",
 ISNUMBER(SEARCH("LIQUEUR",C750)),"Liqueurs",
 ISNUMBER(SEARCH("CORDIAL",C750)),"Liqueurs",
 ISNUMBER(SEARCH("SCHNAPP",C750)),"Liqueurs",
 ISNUMBER(SEARCH("GIN",C750)),"Gin",
 TRUE,"Other")</f>
        <v>Liqueurs</v>
      </c>
      <c r="E750" s="5">
        <v>45262</v>
      </c>
      <c r="F750" s="5">
        <v>1066432.9900000044</v>
      </c>
      <c r="G750" s="5">
        <v>33001.029999999933</v>
      </c>
      <c r="H750" s="5">
        <v>5131</v>
      </c>
    </row>
    <row r="751" spans="1:8">
      <c r="A751" s="5">
        <v>2024</v>
      </c>
      <c r="B751" s="6">
        <v>45413</v>
      </c>
      <c r="C751" s="5" t="s">
        <v>30</v>
      </c>
      <c r="D751" s="3" t="str" cm="1">
        <f t="array" ref="D751">_xlfn.IFS(
 ISNUMBER(SEARCH("WHISK",C751)),"Whiskey",
 ISNUMBER(SEARCH("BOURBON",C751)),"Whiskey",
 ISNUMBER(SEARCH("SCOTCH",C751)),"Whiskey",
 ISNUMBER(SEARCH("RYE",C751)),"Whiskey",
 ISNUMBER(SEARCH("VODKA",C751)),"Vodka",
 ISNUMBER(SEARCH("TEQUILA",C751)),"Tequila/Mezcal",
 ISNUMBER(SEARCH("MEZCAL",C751)),"Tequila/Mezcal",
 ISNUMBER(SEARCH("RUM",C751)),"Rum",
 ISNUMBER(SEARCH("BRAND",C751)),"Brandy",
 ISNUMBER(SEARCH("COGNAC",C751)),"Brandy",
 ISNUMBER(SEARCH("LIQUEUR",C751)),"Liqueurs",
 ISNUMBER(SEARCH("CORDIAL",C751)),"Liqueurs",
 ISNUMBER(SEARCH("SCHNAPP",C751)),"Liqueurs",
 ISNUMBER(SEARCH("GIN",C751)),"Gin",
 TRUE,"Other")</f>
        <v>Vodka</v>
      </c>
      <c r="E751" s="5">
        <v>19854</v>
      </c>
      <c r="F751" s="5">
        <v>343830.58000000089</v>
      </c>
      <c r="G751" s="5">
        <v>15427.419999999998</v>
      </c>
      <c r="H751" s="5">
        <v>2584</v>
      </c>
    </row>
    <row r="752" spans="1:8">
      <c r="A752" s="5">
        <v>2024</v>
      </c>
      <c r="B752" s="6">
        <v>45413</v>
      </c>
      <c r="C752" s="5" t="s">
        <v>31</v>
      </c>
      <c r="D752" s="3" t="str" cm="1">
        <f t="array" ref="D752">_xlfn.IFS(
 ISNUMBER(SEARCH("WHISK",C752)),"Whiskey",
 ISNUMBER(SEARCH("BOURBON",C752)),"Whiskey",
 ISNUMBER(SEARCH("SCOTCH",C752)),"Whiskey",
 ISNUMBER(SEARCH("RYE",C752)),"Whiskey",
 ISNUMBER(SEARCH("VODKA",C752)),"Vodka",
 ISNUMBER(SEARCH("TEQUILA",C752)),"Tequila/Mezcal",
 ISNUMBER(SEARCH("MEZCAL",C752)),"Tequila/Mezcal",
 ISNUMBER(SEARCH("RUM",C752)),"Rum",
 ISNUMBER(SEARCH("BRAND",C752)),"Brandy",
 ISNUMBER(SEARCH("COGNAC",C752)),"Brandy",
 ISNUMBER(SEARCH("LIQUEUR",C752)),"Liqueurs",
 ISNUMBER(SEARCH("CORDIAL",C752)),"Liqueurs",
 ISNUMBER(SEARCH("SCHNAPP",C752)),"Liqueurs",
 ISNUMBER(SEARCH("GIN",C752)),"Gin",
 TRUE,"Other")</f>
        <v>Liqueurs</v>
      </c>
      <c r="E752" s="5">
        <v>29660</v>
      </c>
      <c r="F752" s="5">
        <v>528635.75000000198</v>
      </c>
      <c r="G752" s="5">
        <v>26308.999999999778</v>
      </c>
      <c r="H752" s="5">
        <v>2737</v>
      </c>
    </row>
    <row r="753" spans="1:8">
      <c r="A753" s="5">
        <v>2024</v>
      </c>
      <c r="B753" s="6">
        <v>45413</v>
      </c>
      <c r="C753" s="5" t="s">
        <v>32</v>
      </c>
      <c r="D753" s="3" t="str" cm="1">
        <f t="array" ref="D753">_xlfn.IFS(
 ISNUMBER(SEARCH("WHISK",C753)),"Whiskey",
 ISNUMBER(SEARCH("BOURBON",C753)),"Whiskey",
 ISNUMBER(SEARCH("SCOTCH",C753)),"Whiskey",
 ISNUMBER(SEARCH("RYE",C753)),"Whiskey",
 ISNUMBER(SEARCH("VODKA",C753)),"Vodka",
 ISNUMBER(SEARCH("TEQUILA",C753)),"Tequila/Mezcal",
 ISNUMBER(SEARCH("MEZCAL",C753)),"Tequila/Mezcal",
 ISNUMBER(SEARCH("RUM",C753)),"Rum",
 ISNUMBER(SEARCH("BRAND",C753)),"Brandy",
 ISNUMBER(SEARCH("COGNAC",C753)),"Brandy",
 ISNUMBER(SEARCH("LIQUEUR",C753)),"Liqueurs",
 ISNUMBER(SEARCH("CORDIAL",C753)),"Liqueurs",
 ISNUMBER(SEARCH("SCHNAPP",C753)),"Liqueurs",
 ISNUMBER(SEARCH("GIN",C753)),"Gin",
 TRUE,"Other")</f>
        <v>Vodka</v>
      </c>
      <c r="E753" s="5">
        <v>59063</v>
      </c>
      <c r="F753" s="5">
        <v>996945.94999997958</v>
      </c>
      <c r="G753" s="5">
        <v>61056.990000000398</v>
      </c>
      <c r="H753" s="5">
        <v>5074</v>
      </c>
    </row>
    <row r="754" spans="1:8">
      <c r="A754" s="5">
        <v>2024</v>
      </c>
      <c r="B754" s="6">
        <v>45413</v>
      </c>
      <c r="C754" s="5" t="s">
        <v>33</v>
      </c>
      <c r="D754" s="3" t="str" cm="1">
        <f t="array" ref="D754">_xlfn.IFS(
 ISNUMBER(SEARCH("WHISK",C754)),"Whiskey",
 ISNUMBER(SEARCH("BOURBON",C754)),"Whiskey",
 ISNUMBER(SEARCH("SCOTCH",C754)),"Whiskey",
 ISNUMBER(SEARCH("RYE",C754)),"Whiskey",
 ISNUMBER(SEARCH("VODKA",C754)),"Vodka",
 ISNUMBER(SEARCH("TEQUILA",C754)),"Tequila/Mezcal",
 ISNUMBER(SEARCH("MEZCAL",C754)),"Tequila/Mezcal",
 ISNUMBER(SEARCH("RUM",C754)),"Rum",
 ISNUMBER(SEARCH("BRAND",C754)),"Brandy",
 ISNUMBER(SEARCH("COGNAC",C754)),"Brandy",
 ISNUMBER(SEARCH("LIQUEUR",C754)),"Liqueurs",
 ISNUMBER(SEARCH("CORDIAL",C754)),"Liqueurs",
 ISNUMBER(SEARCH("SCHNAPP",C754)),"Liqueurs",
 ISNUMBER(SEARCH("GIN",C754)),"Gin",
 TRUE,"Other")</f>
        <v>Whiskey</v>
      </c>
      <c r="E754" s="5">
        <v>27973</v>
      </c>
      <c r="F754" s="5">
        <v>784563.05999998888</v>
      </c>
      <c r="G754" s="5">
        <v>23245.679999999946</v>
      </c>
      <c r="H754" s="5">
        <v>2628</v>
      </c>
    </row>
    <row r="755" spans="1:8">
      <c r="A755" s="5">
        <v>2024</v>
      </c>
      <c r="B755" s="6">
        <v>45413</v>
      </c>
      <c r="C755" s="5" t="s">
        <v>35</v>
      </c>
      <c r="D755" s="3" t="str" cm="1">
        <f t="array" ref="D755">_xlfn.IFS(
 ISNUMBER(SEARCH("WHISK",C755)),"Whiskey",
 ISNUMBER(SEARCH("BOURBON",C755)),"Whiskey",
 ISNUMBER(SEARCH("SCOTCH",C755)),"Whiskey",
 ISNUMBER(SEARCH("RYE",C755)),"Whiskey",
 ISNUMBER(SEARCH("VODKA",C755)),"Vodka",
 ISNUMBER(SEARCH("TEQUILA",C755)),"Tequila/Mezcal",
 ISNUMBER(SEARCH("MEZCAL",C755)),"Tequila/Mezcal",
 ISNUMBER(SEARCH("RUM",C755)),"Rum",
 ISNUMBER(SEARCH("BRAND",C755)),"Brandy",
 ISNUMBER(SEARCH("COGNAC",C755)),"Brandy",
 ISNUMBER(SEARCH("LIQUEUR",C755)),"Liqueurs",
 ISNUMBER(SEARCH("CORDIAL",C755)),"Liqueurs",
 ISNUMBER(SEARCH("SCHNAPP",C755)),"Liqueurs",
 ISNUMBER(SEARCH("GIN",C755)),"Gin",
 TRUE,"Other")</f>
        <v>Tequila/Mezcal</v>
      </c>
      <c r="E755" s="5">
        <v>71757</v>
      </c>
      <c r="F755" s="5">
        <v>1037595.5099999924</v>
      </c>
      <c r="G755" s="5">
        <v>55451.9399999999</v>
      </c>
      <c r="H755" s="5">
        <v>5065</v>
      </c>
    </row>
    <row r="756" spans="1:8">
      <c r="A756" s="5">
        <v>2024</v>
      </c>
      <c r="B756" s="6">
        <v>45413</v>
      </c>
      <c r="C756" s="5" t="s">
        <v>36</v>
      </c>
      <c r="D756" s="3" t="str" cm="1">
        <f t="array" ref="D756">_xlfn.IFS(
 ISNUMBER(SEARCH("WHISK",C756)),"Whiskey",
 ISNUMBER(SEARCH("BOURBON",C756)),"Whiskey",
 ISNUMBER(SEARCH("SCOTCH",C756)),"Whiskey",
 ISNUMBER(SEARCH("RYE",C756)),"Whiskey",
 ISNUMBER(SEARCH("VODKA",C756)),"Vodka",
 ISNUMBER(SEARCH("TEQUILA",C756)),"Tequila/Mezcal",
 ISNUMBER(SEARCH("MEZCAL",C756)),"Tequila/Mezcal",
 ISNUMBER(SEARCH("RUM",C756)),"Rum",
 ISNUMBER(SEARCH("BRAND",C756)),"Brandy",
 ISNUMBER(SEARCH("COGNAC",C756)),"Brandy",
 ISNUMBER(SEARCH("LIQUEUR",C756)),"Liqueurs",
 ISNUMBER(SEARCH("CORDIAL",C756)),"Liqueurs",
 ISNUMBER(SEARCH("SCHNAPP",C756)),"Liqueurs",
 ISNUMBER(SEARCH("GIN",C756)),"Gin",
 TRUE,"Other")</f>
        <v>Other</v>
      </c>
      <c r="E756" s="5">
        <v>2773</v>
      </c>
      <c r="F756" s="5">
        <v>38955.230000000018</v>
      </c>
      <c r="G756" s="5">
        <v>2026.65</v>
      </c>
      <c r="H756" s="5">
        <v>357</v>
      </c>
    </row>
    <row r="757" spans="1:8">
      <c r="A757" s="5">
        <v>2024</v>
      </c>
      <c r="B757" s="6">
        <v>45413</v>
      </c>
      <c r="C757" s="5" t="s">
        <v>45</v>
      </c>
      <c r="D757" s="3" t="str" cm="1">
        <f t="array" ref="D757">_xlfn.IFS(
 ISNUMBER(SEARCH("WHISK",C757)),"Whiskey",
 ISNUMBER(SEARCH("BOURBON",C757)),"Whiskey",
 ISNUMBER(SEARCH("SCOTCH",C757)),"Whiskey",
 ISNUMBER(SEARCH("RYE",C757)),"Whiskey",
 ISNUMBER(SEARCH("VODKA",C757)),"Vodka",
 ISNUMBER(SEARCH("TEQUILA",C757)),"Tequila/Mezcal",
 ISNUMBER(SEARCH("MEZCAL",C757)),"Tequila/Mezcal",
 ISNUMBER(SEARCH("RUM",C757)),"Rum",
 ISNUMBER(SEARCH("BRAND",C757)),"Brandy",
 ISNUMBER(SEARCH("COGNAC",C757)),"Brandy",
 ISNUMBER(SEARCH("LIQUEUR",C757)),"Liqueurs",
 ISNUMBER(SEARCH("CORDIAL",C757)),"Liqueurs",
 ISNUMBER(SEARCH("SCHNAPP",C757)),"Liqueurs",
 ISNUMBER(SEARCH("GIN",C757)),"Gin",
 TRUE,"Other")</f>
        <v>Other</v>
      </c>
      <c r="E757" s="5">
        <v>42476</v>
      </c>
      <c r="F757" s="5">
        <v>1238529.5199999867</v>
      </c>
      <c r="G757" s="5">
        <v>30601.049999999996</v>
      </c>
      <c r="H757" s="5">
        <v>4167</v>
      </c>
    </row>
    <row r="758" spans="1:8">
      <c r="A758" s="5">
        <v>2024</v>
      </c>
      <c r="B758" s="6">
        <v>45413</v>
      </c>
      <c r="C758" s="5" t="s">
        <v>46</v>
      </c>
      <c r="D758" s="3" t="str" cm="1">
        <f t="array" ref="D758">_xlfn.IFS(
 ISNUMBER(SEARCH("WHISK",C758)),"Whiskey",
 ISNUMBER(SEARCH("BOURBON",C758)),"Whiskey",
 ISNUMBER(SEARCH("SCOTCH",C758)),"Whiskey",
 ISNUMBER(SEARCH("RYE",C758)),"Whiskey",
 ISNUMBER(SEARCH("VODKA",C758)),"Vodka",
 ISNUMBER(SEARCH("TEQUILA",C758)),"Tequila/Mezcal",
 ISNUMBER(SEARCH("MEZCAL",C758)),"Tequila/Mezcal",
 ISNUMBER(SEARCH("RUM",C758)),"Rum",
 ISNUMBER(SEARCH("BRAND",C758)),"Brandy",
 ISNUMBER(SEARCH("COGNAC",C758)),"Brandy",
 ISNUMBER(SEARCH("LIQUEUR",C758)),"Liqueurs",
 ISNUMBER(SEARCH("CORDIAL",C758)),"Liqueurs",
 ISNUMBER(SEARCH("SCHNAPP",C758)),"Liqueurs",
 ISNUMBER(SEARCH("GIN",C758)),"Gin",
 TRUE,"Other")</f>
        <v>Whiskey</v>
      </c>
      <c r="E758" s="5">
        <v>58907</v>
      </c>
      <c r="F758" s="5">
        <v>1276297.589999991</v>
      </c>
      <c r="G758" s="5">
        <v>39797.489999999751</v>
      </c>
      <c r="H758" s="5">
        <v>6447</v>
      </c>
    </row>
    <row r="759" spans="1:8">
      <c r="A759" s="5">
        <v>2024</v>
      </c>
      <c r="B759" s="6">
        <v>45413</v>
      </c>
      <c r="C759" s="5" t="s">
        <v>49</v>
      </c>
      <c r="D759" s="3" t="str" cm="1">
        <f t="array" ref="D759">_xlfn.IFS(
 ISNUMBER(SEARCH("WHISK",C759)),"Whiskey",
 ISNUMBER(SEARCH("BOURBON",C759)),"Whiskey",
 ISNUMBER(SEARCH("SCOTCH",C759)),"Whiskey",
 ISNUMBER(SEARCH("RYE",C759)),"Whiskey",
 ISNUMBER(SEARCH("VODKA",C759)),"Vodka",
 ISNUMBER(SEARCH("TEQUILA",C759)),"Tequila/Mezcal",
 ISNUMBER(SEARCH("MEZCAL",C759)),"Tequila/Mezcal",
 ISNUMBER(SEARCH("RUM",C759)),"Rum",
 ISNUMBER(SEARCH("BRAND",C759)),"Brandy",
 ISNUMBER(SEARCH("COGNAC",C759)),"Brandy",
 ISNUMBER(SEARCH("LIQUEUR",C759)),"Liqueurs",
 ISNUMBER(SEARCH("CORDIAL",C759)),"Liqueurs",
 ISNUMBER(SEARCH("SCHNAPP",C759)),"Liqueurs",
 ISNUMBER(SEARCH("GIN",C759)),"Gin",
 TRUE,"Other")</f>
        <v>Rum</v>
      </c>
      <c r="E759" s="5">
        <v>42384</v>
      </c>
      <c r="F759" s="5">
        <v>525243.62999999605</v>
      </c>
      <c r="G759" s="5">
        <v>45181.180000000051</v>
      </c>
      <c r="H759" s="5">
        <v>3781</v>
      </c>
    </row>
    <row r="760" spans="1:8">
      <c r="A760" s="5">
        <v>2024</v>
      </c>
      <c r="B760" s="6">
        <v>45413</v>
      </c>
      <c r="C760" s="5" t="s">
        <v>20</v>
      </c>
      <c r="D760" s="3" t="str" cm="1">
        <f t="array" ref="D760">_xlfn.IFS(
 ISNUMBER(SEARCH("WHISK",C760)),"Whiskey",
 ISNUMBER(SEARCH("BOURBON",C760)),"Whiskey",
 ISNUMBER(SEARCH("SCOTCH",C760)),"Whiskey",
 ISNUMBER(SEARCH("RYE",C760)),"Whiskey",
 ISNUMBER(SEARCH("VODKA",C760)),"Vodka",
 ISNUMBER(SEARCH("TEQUILA",C760)),"Tequila/Mezcal",
 ISNUMBER(SEARCH("MEZCAL",C760)),"Tequila/Mezcal",
 ISNUMBER(SEARCH("RUM",C760)),"Rum",
 ISNUMBER(SEARCH("BRAND",C760)),"Brandy",
 ISNUMBER(SEARCH("COGNAC",C760)),"Brandy",
 ISNUMBER(SEARCH("LIQUEUR",C760)),"Liqueurs",
 ISNUMBER(SEARCH("CORDIAL",C760)),"Liqueurs",
 ISNUMBER(SEARCH("SCHNAPP",C760)),"Liqueurs",
 ISNUMBER(SEARCH("GIN",C760)),"Gin",
 TRUE,"Other")</f>
        <v>Liqueurs</v>
      </c>
      <c r="E760" s="5">
        <v>6986</v>
      </c>
      <c r="F760" s="5">
        <v>152602.69000000056</v>
      </c>
      <c r="G760" s="5">
        <v>5970.8400000000056</v>
      </c>
      <c r="H760" s="5">
        <v>901</v>
      </c>
    </row>
    <row r="761" spans="1:8">
      <c r="A761" s="5">
        <v>2024</v>
      </c>
      <c r="B761" s="6">
        <v>45413</v>
      </c>
      <c r="C761" s="5" t="s">
        <v>29</v>
      </c>
      <c r="D761" s="3" t="str" cm="1">
        <f t="array" ref="D761">_xlfn.IFS(
 ISNUMBER(SEARCH("WHISK",C761)),"Whiskey",
 ISNUMBER(SEARCH("BOURBON",C761)),"Whiskey",
 ISNUMBER(SEARCH("SCOTCH",C761)),"Whiskey",
 ISNUMBER(SEARCH("RYE",C761)),"Whiskey",
 ISNUMBER(SEARCH("VODKA",C761)),"Vodka",
 ISNUMBER(SEARCH("TEQUILA",C761)),"Tequila/Mezcal",
 ISNUMBER(SEARCH("MEZCAL",C761)),"Tequila/Mezcal",
 ISNUMBER(SEARCH("RUM",C761)),"Rum",
 ISNUMBER(SEARCH("BRAND",C761)),"Brandy",
 ISNUMBER(SEARCH("COGNAC",C761)),"Brandy",
 ISNUMBER(SEARCH("LIQUEUR",C761)),"Liqueurs",
 ISNUMBER(SEARCH("CORDIAL",C761)),"Liqueurs",
 ISNUMBER(SEARCH("SCHNAPP",C761)),"Liqueurs",
 ISNUMBER(SEARCH("GIN",C761)),"Gin",
 TRUE,"Other")</f>
        <v>Gin</v>
      </c>
      <c r="E761" s="5">
        <v>19092</v>
      </c>
      <c r="F761" s="5">
        <v>498067.20999999967</v>
      </c>
      <c r="G761" s="5">
        <v>18306.040000000015</v>
      </c>
      <c r="H761" s="5">
        <v>2271</v>
      </c>
    </row>
    <row r="762" spans="1:8">
      <c r="A762" s="5">
        <v>2024</v>
      </c>
      <c r="B762" s="6">
        <v>45413</v>
      </c>
      <c r="C762" s="5" t="s">
        <v>40</v>
      </c>
      <c r="D762" s="3" t="str" cm="1">
        <f t="array" ref="D762">_xlfn.IFS(
 ISNUMBER(SEARCH("WHISK",C762)),"Whiskey",
 ISNUMBER(SEARCH("BOURBON",C762)),"Whiskey",
 ISNUMBER(SEARCH("SCOTCH",C762)),"Whiskey",
 ISNUMBER(SEARCH("RYE",C762)),"Whiskey",
 ISNUMBER(SEARCH("VODKA",C762)),"Vodka",
 ISNUMBER(SEARCH("TEQUILA",C762)),"Tequila/Mezcal",
 ISNUMBER(SEARCH("MEZCAL",C762)),"Tequila/Mezcal",
 ISNUMBER(SEARCH("RUM",C762)),"Rum",
 ISNUMBER(SEARCH("BRAND",C762)),"Brandy",
 ISNUMBER(SEARCH("COGNAC",C762)),"Brandy",
 ISNUMBER(SEARCH("LIQUEUR",C762)),"Liqueurs",
 ISNUMBER(SEARCH("CORDIAL",C762)),"Liqueurs",
 ISNUMBER(SEARCH("SCHNAPP",C762)),"Liqueurs",
 ISNUMBER(SEARCH("GIN",C762)),"Gin",
 TRUE,"Other")</f>
        <v>Whiskey</v>
      </c>
      <c r="E762" s="5">
        <v>5885</v>
      </c>
      <c r="F762" s="5">
        <v>323809.14999999909</v>
      </c>
      <c r="G762" s="5">
        <v>4564.8999999999996</v>
      </c>
      <c r="H762" s="5">
        <v>1329</v>
      </c>
    </row>
    <row r="763" spans="1:8">
      <c r="A763" s="5">
        <v>2024</v>
      </c>
      <c r="B763" s="6">
        <v>45413</v>
      </c>
      <c r="C763" s="5" t="s">
        <v>44</v>
      </c>
      <c r="D763" s="3" t="str" cm="1">
        <f t="array" ref="D763">_xlfn.IFS(
 ISNUMBER(SEARCH("WHISK",C763)),"Whiskey",
 ISNUMBER(SEARCH("BOURBON",C763)),"Whiskey",
 ISNUMBER(SEARCH("SCOTCH",C763)),"Whiskey",
 ISNUMBER(SEARCH("RYE",C763)),"Whiskey",
 ISNUMBER(SEARCH("VODKA",C763)),"Vodka",
 ISNUMBER(SEARCH("TEQUILA",C763)),"Tequila/Mezcal",
 ISNUMBER(SEARCH("MEZCAL",C763)),"Tequila/Mezcal",
 ISNUMBER(SEARCH("RUM",C763)),"Rum",
 ISNUMBER(SEARCH("BRAND",C763)),"Brandy",
 ISNUMBER(SEARCH("COGNAC",C763)),"Brandy",
 ISNUMBER(SEARCH("LIQUEUR",C763)),"Liqueurs",
 ISNUMBER(SEARCH("CORDIAL",C763)),"Liqueurs",
 ISNUMBER(SEARCH("SCHNAPP",C763)),"Liqueurs",
 ISNUMBER(SEARCH("GIN",C763)),"Gin",
 TRUE,"Other")</f>
        <v>Whiskey</v>
      </c>
      <c r="E763" s="5">
        <v>9481</v>
      </c>
      <c r="F763" s="5">
        <v>279207.18000000069</v>
      </c>
      <c r="G763" s="5">
        <v>7379.15</v>
      </c>
      <c r="H763" s="5">
        <v>1463</v>
      </c>
    </row>
    <row r="764" spans="1:8">
      <c r="A764" s="5">
        <v>2024</v>
      </c>
      <c r="B764" s="6">
        <v>45413</v>
      </c>
      <c r="C764" s="5" t="s">
        <v>7</v>
      </c>
      <c r="D764" s="3" t="str" cm="1">
        <f t="array" ref="D764">_xlfn.IFS(
 ISNUMBER(SEARCH("WHISK",C764)),"Whiskey",
 ISNUMBER(SEARCH("BOURBON",C764)),"Whiskey",
 ISNUMBER(SEARCH("SCOTCH",C764)),"Whiskey",
 ISNUMBER(SEARCH("RYE",C764)),"Whiskey",
 ISNUMBER(SEARCH("VODKA",C764)),"Vodka",
 ISNUMBER(SEARCH("TEQUILA",C764)),"Tequila/Mezcal",
 ISNUMBER(SEARCH("MEZCAL",C764)),"Tequila/Mezcal",
 ISNUMBER(SEARCH("RUM",C764)),"Rum",
 ISNUMBER(SEARCH("BRAND",C764)),"Brandy",
 ISNUMBER(SEARCH("COGNAC",C764)),"Brandy",
 ISNUMBER(SEARCH("LIQUEUR",C764)),"Liqueurs",
 ISNUMBER(SEARCH("CORDIAL",C764)),"Liqueurs",
 ISNUMBER(SEARCH("SCHNAPP",C764)),"Liqueurs",
 ISNUMBER(SEARCH("GIN",C764)),"Gin",
 TRUE,"Other")</f>
        <v>Rum</v>
      </c>
      <c r="E764" s="5">
        <v>4034</v>
      </c>
      <c r="F764" s="5">
        <v>85993.940000000308</v>
      </c>
      <c r="G764" s="5">
        <v>3250.75</v>
      </c>
      <c r="H764" s="5">
        <v>657</v>
      </c>
    </row>
    <row r="765" spans="1:8">
      <c r="A765" s="5">
        <v>2024</v>
      </c>
      <c r="B765" s="6">
        <v>45413</v>
      </c>
      <c r="C765" s="5" t="s">
        <v>41</v>
      </c>
      <c r="D765" s="3" t="str" cm="1">
        <f t="array" ref="D765">_xlfn.IFS(
 ISNUMBER(SEARCH("WHISK",C765)),"Whiskey",
 ISNUMBER(SEARCH("BOURBON",C765)),"Whiskey",
 ISNUMBER(SEARCH("SCOTCH",C765)),"Whiskey",
 ISNUMBER(SEARCH("RYE",C765)),"Whiskey",
 ISNUMBER(SEARCH("VODKA",C765)),"Vodka",
 ISNUMBER(SEARCH("TEQUILA",C765)),"Tequila/Mezcal",
 ISNUMBER(SEARCH("MEZCAL",C765)),"Tequila/Mezcal",
 ISNUMBER(SEARCH("RUM",C765)),"Rum",
 ISNUMBER(SEARCH("BRAND",C765)),"Brandy",
 ISNUMBER(SEARCH("COGNAC",C765)),"Brandy",
 ISNUMBER(SEARCH("LIQUEUR",C765)),"Liqueurs",
 ISNUMBER(SEARCH("CORDIAL",C765)),"Liqueurs",
 ISNUMBER(SEARCH("SCHNAPP",C765)),"Liqueurs",
 ISNUMBER(SEARCH("GIN",C765)),"Gin",
 TRUE,"Other")</f>
        <v>Other</v>
      </c>
      <c r="E765" s="5">
        <v>8393</v>
      </c>
      <c r="F765" s="5">
        <v>97074.830000000075</v>
      </c>
      <c r="G765" s="5">
        <v>12590.199999999999</v>
      </c>
      <c r="H765" s="5">
        <v>177</v>
      </c>
    </row>
    <row r="766" spans="1:8">
      <c r="A766" s="5">
        <v>2024</v>
      </c>
      <c r="B766" s="6">
        <v>45413</v>
      </c>
      <c r="C766" s="5" t="s">
        <v>47</v>
      </c>
      <c r="D766" s="3" t="str" cm="1">
        <f t="array" ref="D766">_xlfn.IFS(
 ISNUMBER(SEARCH("WHISK",C766)),"Whiskey",
 ISNUMBER(SEARCH("BOURBON",C766)),"Whiskey",
 ISNUMBER(SEARCH("SCOTCH",C766)),"Whiskey",
 ISNUMBER(SEARCH("RYE",C766)),"Whiskey",
 ISNUMBER(SEARCH("VODKA",C766)),"Vodka",
 ISNUMBER(SEARCH("TEQUILA",C766)),"Tequila/Mezcal",
 ISNUMBER(SEARCH("MEZCAL",C766)),"Tequila/Mezcal",
 ISNUMBER(SEARCH("RUM",C766)),"Rum",
 ISNUMBER(SEARCH("BRAND",C766)),"Brandy",
 ISNUMBER(SEARCH("COGNAC",C766)),"Brandy",
 ISNUMBER(SEARCH("LIQUEUR",C766)),"Liqueurs",
 ISNUMBER(SEARCH("CORDIAL",C766)),"Liqueurs",
 ISNUMBER(SEARCH("SCHNAPP",C766)),"Liqueurs",
 ISNUMBER(SEARCH("GIN",C766)),"Gin",
 TRUE,"Other")</f>
        <v>Other</v>
      </c>
      <c r="E766" s="5">
        <v>20122</v>
      </c>
      <c r="F766" s="5">
        <v>83148.609999999811</v>
      </c>
      <c r="G766" s="5">
        <v>19808.75</v>
      </c>
      <c r="H766" s="5">
        <v>845</v>
      </c>
    </row>
    <row r="767" spans="1:8">
      <c r="A767" s="5">
        <v>2024</v>
      </c>
      <c r="B767" s="6">
        <v>45413</v>
      </c>
      <c r="C767" s="5" t="s">
        <v>28</v>
      </c>
      <c r="D767" s="3" t="str" cm="1">
        <f t="array" ref="D767">_xlfn.IFS(
 ISNUMBER(SEARCH("WHISK",C767)),"Whiskey",
 ISNUMBER(SEARCH("BOURBON",C767)),"Whiskey",
 ISNUMBER(SEARCH("SCOTCH",C767)),"Whiskey",
 ISNUMBER(SEARCH("RYE",C767)),"Whiskey",
 ISNUMBER(SEARCH("VODKA",C767)),"Vodka",
 ISNUMBER(SEARCH("TEQUILA",C767)),"Tequila/Mezcal",
 ISNUMBER(SEARCH("MEZCAL",C767)),"Tequila/Mezcal",
 ISNUMBER(SEARCH("RUM",C767)),"Rum",
 ISNUMBER(SEARCH("BRAND",C767)),"Brandy",
 ISNUMBER(SEARCH("COGNAC",C767)),"Brandy",
 ISNUMBER(SEARCH("LIQUEUR",C767)),"Liqueurs",
 ISNUMBER(SEARCH("CORDIAL",C767)),"Liqueurs",
 ISNUMBER(SEARCH("SCHNAPP",C767)),"Liqueurs",
 ISNUMBER(SEARCH("GIN",C767)),"Gin",
 TRUE,"Other")</f>
        <v>Other</v>
      </c>
      <c r="E767" s="5">
        <v>32993</v>
      </c>
      <c r="F767" s="5">
        <v>241386.02000000153</v>
      </c>
      <c r="G767" s="5">
        <v>27678.769999999986</v>
      </c>
      <c r="H767" s="5">
        <v>957</v>
      </c>
    </row>
    <row r="768" spans="1:8">
      <c r="A768" s="5">
        <v>2024</v>
      </c>
      <c r="B768" s="6">
        <v>45413</v>
      </c>
      <c r="C768" s="5" t="s">
        <v>34</v>
      </c>
      <c r="D768" s="3" t="str" cm="1">
        <f t="array" ref="D768">_xlfn.IFS(
 ISNUMBER(SEARCH("WHISK",C768)),"Whiskey",
 ISNUMBER(SEARCH("BOURBON",C768)),"Whiskey",
 ISNUMBER(SEARCH("SCOTCH",C768)),"Whiskey",
 ISNUMBER(SEARCH("RYE",C768)),"Whiskey",
 ISNUMBER(SEARCH("VODKA",C768)),"Vodka",
 ISNUMBER(SEARCH("TEQUILA",C768)),"Tequila/Mezcal",
 ISNUMBER(SEARCH("MEZCAL",C768)),"Tequila/Mezcal",
 ISNUMBER(SEARCH("RUM",C768)),"Rum",
 ISNUMBER(SEARCH("BRAND",C768)),"Brandy",
 ISNUMBER(SEARCH("COGNAC",C768)),"Brandy",
 ISNUMBER(SEARCH("LIQUEUR",C768)),"Liqueurs",
 ISNUMBER(SEARCH("CORDIAL",C768)),"Liqueurs",
 ISNUMBER(SEARCH("SCHNAPP",C768)),"Liqueurs",
 ISNUMBER(SEARCH("GIN",C768)),"Gin",
 TRUE,"Other")</f>
        <v>Tequila/Mezcal</v>
      </c>
      <c r="E768" s="5">
        <v>1512</v>
      </c>
      <c r="F768" s="5">
        <v>56116.229999999989</v>
      </c>
      <c r="G768" s="5">
        <v>1172.25</v>
      </c>
      <c r="H768" s="5">
        <v>283</v>
      </c>
    </row>
    <row r="769" spans="1:8">
      <c r="A769" s="5">
        <v>2024</v>
      </c>
      <c r="B769" s="6">
        <v>45413</v>
      </c>
      <c r="C769" s="5" t="s">
        <v>39</v>
      </c>
      <c r="D769" s="3" t="str" cm="1">
        <f t="array" ref="D769">_xlfn.IFS(
 ISNUMBER(SEARCH("WHISK",C769)),"Whiskey",
 ISNUMBER(SEARCH("BOURBON",C769)),"Whiskey",
 ISNUMBER(SEARCH("SCOTCH",C769)),"Whiskey",
 ISNUMBER(SEARCH("RYE",C769)),"Whiskey",
 ISNUMBER(SEARCH("VODKA",C769)),"Vodka",
 ISNUMBER(SEARCH("TEQUILA",C769)),"Tequila/Mezcal",
 ISNUMBER(SEARCH("MEZCAL",C769)),"Tequila/Mezcal",
 ISNUMBER(SEARCH("RUM",C769)),"Rum",
 ISNUMBER(SEARCH("BRAND",C769)),"Brandy",
 ISNUMBER(SEARCH("COGNAC",C769)),"Brandy",
 ISNUMBER(SEARCH("LIQUEUR",C769)),"Liqueurs",
 ISNUMBER(SEARCH("CORDIAL",C769)),"Liqueurs",
 ISNUMBER(SEARCH("SCHNAPP",C769)),"Liqueurs",
 ISNUMBER(SEARCH("GIN",C769)),"Gin",
 TRUE,"Other")</f>
        <v>Whiskey</v>
      </c>
      <c r="E769" s="5">
        <v>3778</v>
      </c>
      <c r="F769" s="5">
        <v>156070.79999999999</v>
      </c>
      <c r="G769" s="5">
        <v>2833.5</v>
      </c>
      <c r="H769" s="5">
        <v>510</v>
      </c>
    </row>
    <row r="770" spans="1:8">
      <c r="A770" s="5">
        <v>2024</v>
      </c>
      <c r="B770" s="6">
        <v>45413</v>
      </c>
      <c r="C770" s="5" t="s">
        <v>21</v>
      </c>
      <c r="D770" s="3" t="str" cm="1">
        <f t="array" ref="D770">_xlfn.IFS(
 ISNUMBER(SEARCH("WHISK",C770)),"Whiskey",
 ISNUMBER(SEARCH("BOURBON",C770)),"Whiskey",
 ISNUMBER(SEARCH("SCOTCH",C770)),"Whiskey",
 ISNUMBER(SEARCH("RYE",C770)),"Whiskey",
 ISNUMBER(SEARCH("VODKA",C770)),"Vodka",
 ISNUMBER(SEARCH("TEQUILA",C770)),"Tequila/Mezcal",
 ISNUMBER(SEARCH("MEZCAL",C770)),"Tequila/Mezcal",
 ISNUMBER(SEARCH("RUM",C770)),"Rum",
 ISNUMBER(SEARCH("BRAND",C770)),"Brandy",
 ISNUMBER(SEARCH("COGNAC",C770)),"Brandy",
 ISNUMBER(SEARCH("LIQUEUR",C770)),"Liqueurs",
 ISNUMBER(SEARCH("CORDIAL",C770)),"Liqueurs",
 ISNUMBER(SEARCH("SCHNAPP",C770)),"Liqueurs",
 ISNUMBER(SEARCH("GIN",C770)),"Gin",
 TRUE,"Other")</f>
        <v>Whiskey</v>
      </c>
      <c r="E770" s="5">
        <v>434</v>
      </c>
      <c r="F770" s="5">
        <v>11031.570000000002</v>
      </c>
      <c r="G770" s="5">
        <v>317.24</v>
      </c>
      <c r="H770" s="5">
        <v>78</v>
      </c>
    </row>
    <row r="771" spans="1:8">
      <c r="A771" s="5">
        <v>2024</v>
      </c>
      <c r="B771" s="6">
        <v>45413</v>
      </c>
      <c r="C771" s="5" t="s">
        <v>17</v>
      </c>
      <c r="D771" s="3" t="str" cm="1">
        <f t="array" ref="D771">_xlfn.IFS(
 ISNUMBER(SEARCH("WHISK",C771)),"Whiskey",
 ISNUMBER(SEARCH("BOURBON",C771)),"Whiskey",
 ISNUMBER(SEARCH("SCOTCH",C771)),"Whiskey",
 ISNUMBER(SEARCH("RYE",C771)),"Whiskey",
 ISNUMBER(SEARCH("VODKA",C771)),"Vodka",
 ISNUMBER(SEARCH("TEQUILA",C771)),"Tequila/Mezcal",
 ISNUMBER(SEARCH("MEZCAL",C771)),"Tequila/Mezcal",
 ISNUMBER(SEARCH("RUM",C771)),"Rum",
 ISNUMBER(SEARCH("BRAND",C771)),"Brandy",
 ISNUMBER(SEARCH("COGNAC",C771)),"Brandy",
 ISNUMBER(SEARCH("LIQUEUR",C771)),"Liqueurs",
 ISNUMBER(SEARCH("CORDIAL",C771)),"Liqueurs",
 ISNUMBER(SEARCH("SCHNAPP",C771)),"Liqueurs",
 ISNUMBER(SEARCH("GIN",C771)),"Gin",
 TRUE,"Other")</f>
        <v>Whiskey</v>
      </c>
      <c r="E771" s="5">
        <v>3801</v>
      </c>
      <c r="F771" s="5">
        <v>107944.03000000001</v>
      </c>
      <c r="G771" s="5">
        <v>3203.75</v>
      </c>
      <c r="H771" s="5">
        <v>653</v>
      </c>
    </row>
    <row r="772" spans="1:8">
      <c r="A772" s="5">
        <v>2024</v>
      </c>
      <c r="B772" s="6">
        <v>45413</v>
      </c>
      <c r="C772" s="5" t="s">
        <v>14</v>
      </c>
      <c r="D772" s="3" t="str" cm="1">
        <f t="array" ref="D772">_xlfn.IFS(
 ISNUMBER(SEARCH("WHISK",C772)),"Whiskey",
 ISNUMBER(SEARCH("BOURBON",C772)),"Whiskey",
 ISNUMBER(SEARCH("SCOTCH",C772)),"Whiskey",
 ISNUMBER(SEARCH("RYE",C772)),"Whiskey",
 ISNUMBER(SEARCH("VODKA",C772)),"Vodka",
 ISNUMBER(SEARCH("TEQUILA",C772)),"Tequila/Mezcal",
 ISNUMBER(SEARCH("MEZCAL",C772)),"Tequila/Mezcal",
 ISNUMBER(SEARCH("RUM",C772)),"Rum",
 ISNUMBER(SEARCH("BRAND",C772)),"Brandy",
 ISNUMBER(SEARCH("COGNAC",C772)),"Brandy",
 ISNUMBER(SEARCH("LIQUEUR",C772)),"Liqueurs",
 ISNUMBER(SEARCH("CORDIAL",C772)),"Liqueurs",
 ISNUMBER(SEARCH("SCHNAPP",C772)),"Liqueurs",
 ISNUMBER(SEARCH("GIN",C772)),"Gin",
 TRUE,"Other")</f>
        <v>Gin</v>
      </c>
      <c r="E772" s="5">
        <v>233</v>
      </c>
      <c r="F772" s="5">
        <v>1962.9699999999991</v>
      </c>
      <c r="G772" s="5">
        <v>229.25</v>
      </c>
      <c r="H772" s="5">
        <v>48</v>
      </c>
    </row>
    <row r="773" spans="1:8">
      <c r="A773" s="5">
        <v>2024</v>
      </c>
      <c r="B773" s="6">
        <v>45444</v>
      </c>
      <c r="C773" s="5" t="s">
        <v>8</v>
      </c>
      <c r="D773" s="3" t="str" cm="1">
        <f t="array" ref="D773">_xlfn.IFS(
 ISNUMBER(SEARCH("WHISK",C773)),"Whiskey",
 ISNUMBER(SEARCH("BOURBON",C773)),"Whiskey",
 ISNUMBER(SEARCH("SCOTCH",C773)),"Whiskey",
 ISNUMBER(SEARCH("RYE",C773)),"Whiskey",
 ISNUMBER(SEARCH("VODKA",C773)),"Vodka",
 ISNUMBER(SEARCH("TEQUILA",C773)),"Tequila/Mezcal",
 ISNUMBER(SEARCH("MEZCAL",C773)),"Tequila/Mezcal",
 ISNUMBER(SEARCH("RUM",C773)),"Rum",
 ISNUMBER(SEARCH("BRAND",C773)),"Brandy",
 ISNUMBER(SEARCH("COGNAC",C773)),"Brandy",
 ISNUMBER(SEARCH("LIQUEUR",C773)),"Liqueurs",
 ISNUMBER(SEARCH("CORDIAL",C773)),"Liqueurs",
 ISNUMBER(SEARCH("SCHNAPP",C773)),"Liqueurs",
 ISNUMBER(SEARCH("GIN",C773)),"Gin",
 TRUE,"Other")</f>
        <v>Brandy</v>
      </c>
      <c r="E773" s="5">
        <v>54821</v>
      </c>
      <c r="F773" s="5">
        <v>344129.91000000149</v>
      </c>
      <c r="G773" s="5">
        <v>26894.219999999736</v>
      </c>
      <c r="H773" s="5">
        <v>4175</v>
      </c>
    </row>
    <row r="774" spans="1:8">
      <c r="A774" s="5">
        <v>2024</v>
      </c>
      <c r="B774" s="6">
        <v>45444</v>
      </c>
      <c r="C774" s="5" t="s">
        <v>59</v>
      </c>
      <c r="D774" s="3" t="str" cm="1">
        <f t="array" ref="D774">_xlfn.IFS(
 ISNUMBER(SEARCH("WHISK",C774)),"Whiskey",
 ISNUMBER(SEARCH("BOURBON",C774)),"Whiskey",
 ISNUMBER(SEARCH("SCOTCH",C774)),"Whiskey",
 ISNUMBER(SEARCH("RYE",C774)),"Whiskey",
 ISNUMBER(SEARCH("VODKA",C774)),"Vodka",
 ISNUMBER(SEARCH("TEQUILA",C774)),"Tequila/Mezcal",
 ISNUMBER(SEARCH("MEZCAL",C774)),"Tequila/Mezcal",
 ISNUMBER(SEARCH("RUM",C774)),"Rum",
 ISNUMBER(SEARCH("BRAND",C774)),"Brandy",
 ISNUMBER(SEARCH("COGNAC",C774)),"Brandy",
 ISNUMBER(SEARCH("LIQUEUR",C774)),"Liqueurs",
 ISNUMBER(SEARCH("CORDIAL",C774)),"Liqueurs",
 ISNUMBER(SEARCH("SCHNAPP",C774)),"Liqueurs",
 ISNUMBER(SEARCH("GIN",C774)),"Gin",
 TRUE,"Other")</f>
        <v>Liqueurs</v>
      </c>
      <c r="E774" s="5">
        <v>32287</v>
      </c>
      <c r="F774" s="5">
        <v>365434.03000000824</v>
      </c>
      <c r="G774" s="5">
        <v>13987.23999999962</v>
      </c>
      <c r="H774" s="5">
        <v>4683</v>
      </c>
    </row>
    <row r="775" spans="1:8">
      <c r="A775" s="5">
        <v>2024</v>
      </c>
      <c r="B775" s="6">
        <v>45444</v>
      </c>
      <c r="C775" s="5" t="s">
        <v>15</v>
      </c>
      <c r="D775" s="3" t="str" cm="1">
        <f t="array" ref="D775">_xlfn.IFS(
 ISNUMBER(SEARCH("WHISK",C775)),"Whiskey",
 ISNUMBER(SEARCH("BOURBON",C775)),"Whiskey",
 ISNUMBER(SEARCH("SCOTCH",C775)),"Whiskey",
 ISNUMBER(SEARCH("RYE",C775)),"Whiskey",
 ISNUMBER(SEARCH("VODKA",C775)),"Vodka",
 ISNUMBER(SEARCH("TEQUILA",C775)),"Tequila/Mezcal",
 ISNUMBER(SEARCH("MEZCAL",C775)),"Tequila/Mezcal",
 ISNUMBER(SEARCH("RUM",C775)),"Rum",
 ISNUMBER(SEARCH("BRAND",C775)),"Brandy",
 ISNUMBER(SEARCH("COGNAC",C775)),"Brandy",
 ISNUMBER(SEARCH("LIQUEUR",C775)),"Liqueurs",
 ISNUMBER(SEARCH("CORDIAL",C775)),"Liqueurs",
 ISNUMBER(SEARCH("SCHNAPP",C775)),"Liqueurs",
 ISNUMBER(SEARCH("GIN",C775)),"Gin",
 TRUE,"Other")</f>
        <v>Vodka</v>
      </c>
      <c r="E775" s="5">
        <v>551895</v>
      </c>
      <c r="F775" s="5">
        <v>5433233.1500001391</v>
      </c>
      <c r="G775" s="5">
        <v>469015.76999998017</v>
      </c>
      <c r="H775" s="5">
        <v>34054</v>
      </c>
    </row>
    <row r="776" spans="1:8">
      <c r="A776" s="5">
        <v>2024</v>
      </c>
      <c r="B776" s="6">
        <v>45444</v>
      </c>
      <c r="C776" s="5" t="s">
        <v>16</v>
      </c>
      <c r="D776" s="3" t="str" cm="1">
        <f t="array" ref="D776">_xlfn.IFS(
 ISNUMBER(SEARCH("WHISK",C776)),"Whiskey",
 ISNUMBER(SEARCH("BOURBON",C776)),"Whiskey",
 ISNUMBER(SEARCH("SCOTCH",C776)),"Whiskey",
 ISNUMBER(SEARCH("RYE",C776)),"Whiskey",
 ISNUMBER(SEARCH("VODKA",C776)),"Vodka",
 ISNUMBER(SEARCH("TEQUILA",C776)),"Tequila/Mezcal",
 ISNUMBER(SEARCH("MEZCAL",C776)),"Tequila/Mezcal",
 ISNUMBER(SEARCH("RUM",C776)),"Rum",
 ISNUMBER(SEARCH("BRAND",C776)),"Brandy",
 ISNUMBER(SEARCH("COGNAC",C776)),"Brandy",
 ISNUMBER(SEARCH("LIQUEUR",C776)),"Liqueurs",
 ISNUMBER(SEARCH("CORDIAL",C776)),"Liqueurs",
 ISNUMBER(SEARCH("SCHNAPP",C776)),"Liqueurs",
 ISNUMBER(SEARCH("GIN",C776)),"Gin",
 TRUE,"Other")</f>
        <v>Whiskey</v>
      </c>
      <c r="E776" s="5">
        <v>66099</v>
      </c>
      <c r="F776" s="5">
        <v>915073.84999998601</v>
      </c>
      <c r="G776" s="5">
        <v>53904.670000000311</v>
      </c>
      <c r="H776" s="5">
        <v>7476</v>
      </c>
    </row>
    <row r="777" spans="1:8">
      <c r="A777" s="5">
        <v>2024</v>
      </c>
      <c r="B777" s="6">
        <v>45444</v>
      </c>
      <c r="C777" s="5" t="s">
        <v>18</v>
      </c>
      <c r="D777" s="3" t="str" cm="1">
        <f t="array" ref="D777">_xlfn.IFS(
 ISNUMBER(SEARCH("WHISK",C777)),"Whiskey",
 ISNUMBER(SEARCH("BOURBON",C777)),"Whiskey",
 ISNUMBER(SEARCH("SCOTCH",C777)),"Whiskey",
 ISNUMBER(SEARCH("RYE",C777)),"Whiskey",
 ISNUMBER(SEARCH("VODKA",C777)),"Vodka",
 ISNUMBER(SEARCH("TEQUILA",C777)),"Tequila/Mezcal",
 ISNUMBER(SEARCH("MEZCAL",C777)),"Tequila/Mezcal",
 ISNUMBER(SEARCH("RUM",C777)),"Rum",
 ISNUMBER(SEARCH("BRAND",C777)),"Brandy",
 ISNUMBER(SEARCH("COGNAC",C777)),"Brandy",
 ISNUMBER(SEARCH("LIQUEUR",C777)),"Liqueurs",
 ISNUMBER(SEARCH("CORDIAL",C777)),"Liqueurs",
 ISNUMBER(SEARCH("SCHNAPP",C777)),"Liqueurs",
 ISNUMBER(SEARCH("GIN",C777)),"Gin",
 TRUE,"Other")</f>
        <v>Whiskey</v>
      </c>
      <c r="E777" s="5">
        <v>228426</v>
      </c>
      <c r="F777" s="5">
        <v>3624441.0099999234</v>
      </c>
      <c r="G777" s="5">
        <v>204862.65999999738</v>
      </c>
      <c r="H777" s="5">
        <v>20219</v>
      </c>
    </row>
    <row r="778" spans="1:8">
      <c r="A778" s="5">
        <v>2024</v>
      </c>
      <c r="B778" s="6">
        <v>45444</v>
      </c>
      <c r="C778" s="5" t="s">
        <v>22</v>
      </c>
      <c r="D778" s="3" t="str" cm="1">
        <f t="array" ref="D778">_xlfn.IFS(
 ISNUMBER(SEARCH("WHISK",C778)),"Whiskey",
 ISNUMBER(SEARCH("BOURBON",C778)),"Whiskey",
 ISNUMBER(SEARCH("SCOTCH",C778)),"Whiskey",
 ISNUMBER(SEARCH("RYE",C778)),"Whiskey",
 ISNUMBER(SEARCH("VODKA",C778)),"Vodka",
 ISNUMBER(SEARCH("TEQUILA",C778)),"Tequila/Mezcal",
 ISNUMBER(SEARCH("MEZCAL",C778)),"Tequila/Mezcal",
 ISNUMBER(SEARCH("RUM",C778)),"Rum",
 ISNUMBER(SEARCH("BRAND",C778)),"Brandy",
 ISNUMBER(SEARCH("COGNAC",C778)),"Brandy",
 ISNUMBER(SEARCH("LIQUEUR",C778)),"Liqueurs",
 ISNUMBER(SEARCH("CORDIAL",C778)),"Liqueurs",
 ISNUMBER(SEARCH("SCHNAPP",C778)),"Liqueurs",
 ISNUMBER(SEARCH("GIN",C778)),"Gin",
 TRUE,"Other")</f>
        <v>Liqueurs</v>
      </c>
      <c r="E778" s="5">
        <v>19564</v>
      </c>
      <c r="F778" s="5">
        <v>385577.17999999749</v>
      </c>
      <c r="G778" s="5">
        <v>15853.369999999968</v>
      </c>
      <c r="H778" s="5">
        <v>3027</v>
      </c>
    </row>
    <row r="779" spans="1:8">
      <c r="A779" s="5">
        <v>2024</v>
      </c>
      <c r="B779" s="6">
        <v>45444</v>
      </c>
      <c r="C779" s="5" t="s">
        <v>60</v>
      </c>
      <c r="D779" s="3" t="str" cm="1">
        <f t="array" ref="D779">_xlfn.IFS(
 ISNUMBER(SEARCH("WHISK",C779)),"Whiskey",
 ISNUMBER(SEARCH("BOURBON",C779)),"Whiskey",
 ISNUMBER(SEARCH("SCOTCH",C779)),"Whiskey",
 ISNUMBER(SEARCH("RYE",C779)),"Whiskey",
 ISNUMBER(SEARCH("VODKA",C779)),"Vodka",
 ISNUMBER(SEARCH("TEQUILA",C779)),"Tequila/Mezcal",
 ISNUMBER(SEARCH("MEZCAL",C779)),"Tequila/Mezcal",
 ISNUMBER(SEARCH("RUM",C779)),"Rum",
 ISNUMBER(SEARCH("BRAND",C779)),"Brandy",
 ISNUMBER(SEARCH("COGNAC",C779)),"Brandy",
 ISNUMBER(SEARCH("LIQUEUR",C779)),"Liqueurs",
 ISNUMBER(SEARCH("CORDIAL",C779)),"Liqueurs",
 ISNUMBER(SEARCH("SCHNAPP",C779)),"Liqueurs",
 ISNUMBER(SEARCH("GIN",C779)),"Gin",
 TRUE,"Other")</f>
        <v>Liqueurs</v>
      </c>
      <c r="E779" s="5">
        <v>41742</v>
      </c>
      <c r="F779" s="5">
        <v>966203.80000000342</v>
      </c>
      <c r="G779" s="5">
        <v>29684.869999999923</v>
      </c>
      <c r="H779" s="5">
        <v>4704</v>
      </c>
    </row>
    <row r="780" spans="1:8">
      <c r="A780" s="5">
        <v>2024</v>
      </c>
      <c r="B780" s="6">
        <v>45444</v>
      </c>
      <c r="C780" s="5" t="s">
        <v>33</v>
      </c>
      <c r="D780" s="3" t="str" cm="1">
        <f t="array" ref="D780">_xlfn.IFS(
 ISNUMBER(SEARCH("WHISK",C780)),"Whiskey",
 ISNUMBER(SEARCH("BOURBON",C780)),"Whiskey",
 ISNUMBER(SEARCH("SCOTCH",C780)),"Whiskey",
 ISNUMBER(SEARCH("RYE",C780)),"Whiskey",
 ISNUMBER(SEARCH("VODKA",C780)),"Vodka",
 ISNUMBER(SEARCH("TEQUILA",C780)),"Tequila/Mezcal",
 ISNUMBER(SEARCH("MEZCAL",C780)),"Tequila/Mezcal",
 ISNUMBER(SEARCH("RUM",C780)),"Rum",
 ISNUMBER(SEARCH("BRAND",C780)),"Brandy",
 ISNUMBER(SEARCH("COGNAC",C780)),"Brandy",
 ISNUMBER(SEARCH("LIQUEUR",C780)),"Liqueurs",
 ISNUMBER(SEARCH("CORDIAL",C780)),"Liqueurs",
 ISNUMBER(SEARCH("SCHNAPP",C780)),"Liqueurs",
 ISNUMBER(SEARCH("GIN",C780)),"Gin",
 TRUE,"Other")</f>
        <v>Whiskey</v>
      </c>
      <c r="E780" s="5">
        <v>25095</v>
      </c>
      <c r="F780" s="5">
        <v>740375.30999999784</v>
      </c>
      <c r="G780" s="5">
        <v>20708.599999999969</v>
      </c>
      <c r="H780" s="5">
        <v>2755</v>
      </c>
    </row>
    <row r="781" spans="1:8">
      <c r="A781" s="5">
        <v>2024</v>
      </c>
      <c r="B781" s="6">
        <v>45444</v>
      </c>
      <c r="C781" s="5" t="s">
        <v>35</v>
      </c>
      <c r="D781" s="3" t="str" cm="1">
        <f t="array" ref="D781">_xlfn.IFS(
 ISNUMBER(SEARCH("WHISK",C781)),"Whiskey",
 ISNUMBER(SEARCH("BOURBON",C781)),"Whiskey",
 ISNUMBER(SEARCH("SCOTCH",C781)),"Whiskey",
 ISNUMBER(SEARCH("RYE",C781)),"Whiskey",
 ISNUMBER(SEARCH("VODKA",C781)),"Vodka",
 ISNUMBER(SEARCH("TEQUILA",C781)),"Tequila/Mezcal",
 ISNUMBER(SEARCH("MEZCAL",C781)),"Tequila/Mezcal",
 ISNUMBER(SEARCH("RUM",C781)),"Rum",
 ISNUMBER(SEARCH("BRAND",C781)),"Brandy",
 ISNUMBER(SEARCH("COGNAC",C781)),"Brandy",
 ISNUMBER(SEARCH("LIQUEUR",C781)),"Liqueurs",
 ISNUMBER(SEARCH("CORDIAL",C781)),"Liqueurs",
 ISNUMBER(SEARCH("SCHNAPP",C781)),"Liqueurs",
 ISNUMBER(SEARCH("GIN",C781)),"Gin",
 TRUE,"Other")</f>
        <v>Tequila/Mezcal</v>
      </c>
      <c r="E781" s="5">
        <v>78430</v>
      </c>
      <c r="F781" s="5">
        <v>1161220.6099999908</v>
      </c>
      <c r="G781" s="5">
        <v>59611.309999999874</v>
      </c>
      <c r="H781" s="5">
        <v>4962</v>
      </c>
    </row>
    <row r="782" spans="1:8">
      <c r="A782" s="5">
        <v>2024</v>
      </c>
      <c r="B782" s="6">
        <v>45444</v>
      </c>
      <c r="C782" s="5" t="s">
        <v>38</v>
      </c>
      <c r="D782" s="3" t="str" cm="1">
        <f t="array" ref="D782">_xlfn.IFS(
 ISNUMBER(SEARCH("WHISK",C782)),"Whiskey",
 ISNUMBER(SEARCH("BOURBON",C782)),"Whiskey",
 ISNUMBER(SEARCH("SCOTCH",C782)),"Whiskey",
 ISNUMBER(SEARCH("RYE",C782)),"Whiskey",
 ISNUMBER(SEARCH("VODKA",C782)),"Vodka",
 ISNUMBER(SEARCH("TEQUILA",C782)),"Tequila/Mezcal",
 ISNUMBER(SEARCH("MEZCAL",C782)),"Tequila/Mezcal",
 ISNUMBER(SEARCH("RUM",C782)),"Rum",
 ISNUMBER(SEARCH("BRAND",C782)),"Brandy",
 ISNUMBER(SEARCH("COGNAC",C782)),"Brandy",
 ISNUMBER(SEARCH("LIQUEUR",C782)),"Liqueurs",
 ISNUMBER(SEARCH("CORDIAL",C782)),"Liqueurs",
 ISNUMBER(SEARCH("SCHNAPP",C782)),"Liqueurs",
 ISNUMBER(SEARCH("GIN",C782)),"Gin",
 TRUE,"Other")</f>
        <v>Whiskey</v>
      </c>
      <c r="E782" s="5">
        <v>14533</v>
      </c>
      <c r="F782" s="5">
        <v>415366.12999999954</v>
      </c>
      <c r="G782" s="5">
        <v>15495.060000000005</v>
      </c>
      <c r="H782" s="5">
        <v>2405</v>
      </c>
    </row>
    <row r="783" spans="1:8">
      <c r="A783" s="5">
        <v>2024</v>
      </c>
      <c r="B783" s="6">
        <v>45444</v>
      </c>
      <c r="C783" s="5" t="s">
        <v>42</v>
      </c>
      <c r="D783" s="3" t="str" cm="1">
        <f t="array" ref="D783">_xlfn.IFS(
 ISNUMBER(SEARCH("WHISK",C783)),"Whiskey",
 ISNUMBER(SEARCH("BOURBON",C783)),"Whiskey",
 ISNUMBER(SEARCH("SCOTCH",C783)),"Whiskey",
 ISNUMBER(SEARCH("RYE",C783)),"Whiskey",
 ISNUMBER(SEARCH("VODKA",C783)),"Vodka",
 ISNUMBER(SEARCH("TEQUILA",C783)),"Tequila/Mezcal",
 ISNUMBER(SEARCH("MEZCAL",C783)),"Tequila/Mezcal",
 ISNUMBER(SEARCH("RUM",C783)),"Rum",
 ISNUMBER(SEARCH("BRAND",C783)),"Brandy",
 ISNUMBER(SEARCH("COGNAC",C783)),"Brandy",
 ISNUMBER(SEARCH("LIQUEUR",C783)),"Liqueurs",
 ISNUMBER(SEARCH("CORDIAL",C783)),"Liqueurs",
 ISNUMBER(SEARCH("SCHNAPP",C783)),"Liqueurs",
 ISNUMBER(SEARCH("GIN",C783)),"Gin",
 TRUE,"Other")</f>
        <v>Rum</v>
      </c>
      <c r="E783" s="5">
        <v>115762</v>
      </c>
      <c r="F783" s="5">
        <v>1764510.0299999171</v>
      </c>
      <c r="G783" s="5">
        <v>105859.23000000058</v>
      </c>
      <c r="H783" s="5">
        <v>8164</v>
      </c>
    </row>
    <row r="784" spans="1:8">
      <c r="A784" s="5">
        <v>2024</v>
      </c>
      <c r="B784" s="6">
        <v>45444</v>
      </c>
      <c r="C784" s="5" t="s">
        <v>43</v>
      </c>
      <c r="D784" s="3" t="str" cm="1">
        <f t="array" ref="D784">_xlfn.IFS(
 ISNUMBER(SEARCH("WHISK",C784)),"Whiskey",
 ISNUMBER(SEARCH("BOURBON",C784)),"Whiskey",
 ISNUMBER(SEARCH("SCOTCH",C784)),"Whiskey",
 ISNUMBER(SEARCH("RYE",C784)),"Whiskey",
 ISNUMBER(SEARCH("VODKA",C784)),"Vodka",
 ISNUMBER(SEARCH("TEQUILA",C784)),"Tequila/Mezcal",
 ISNUMBER(SEARCH("MEZCAL",C784)),"Tequila/Mezcal",
 ISNUMBER(SEARCH("RUM",C784)),"Rum",
 ISNUMBER(SEARCH("BRAND",C784)),"Brandy",
 ISNUMBER(SEARCH("COGNAC",C784)),"Brandy",
 ISNUMBER(SEARCH("LIQUEUR",C784)),"Liqueurs",
 ISNUMBER(SEARCH("CORDIAL",C784)),"Liqueurs",
 ISNUMBER(SEARCH("SCHNAPP",C784)),"Liqueurs",
 ISNUMBER(SEARCH("GIN",C784)),"Gin",
 TRUE,"Other")</f>
        <v>Whiskey</v>
      </c>
      <c r="E784" s="5">
        <v>142084</v>
      </c>
      <c r="F784" s="5">
        <v>3226648.9800000158</v>
      </c>
      <c r="G784" s="5">
        <v>112871.90000000171</v>
      </c>
      <c r="H784" s="5">
        <v>16372</v>
      </c>
    </row>
    <row r="785" spans="1:8">
      <c r="A785" s="5">
        <v>2024</v>
      </c>
      <c r="B785" s="6">
        <v>45444</v>
      </c>
      <c r="C785" s="5" t="s">
        <v>45</v>
      </c>
      <c r="D785" s="3" t="str" cm="1">
        <f t="array" ref="D785">_xlfn.IFS(
 ISNUMBER(SEARCH("WHISK",C785)),"Whiskey",
 ISNUMBER(SEARCH("BOURBON",C785)),"Whiskey",
 ISNUMBER(SEARCH("SCOTCH",C785)),"Whiskey",
 ISNUMBER(SEARCH("RYE",C785)),"Whiskey",
 ISNUMBER(SEARCH("VODKA",C785)),"Vodka",
 ISNUMBER(SEARCH("TEQUILA",C785)),"Tequila/Mezcal",
 ISNUMBER(SEARCH("MEZCAL",C785)),"Tequila/Mezcal",
 ISNUMBER(SEARCH("RUM",C785)),"Rum",
 ISNUMBER(SEARCH("BRAND",C785)),"Brandy",
 ISNUMBER(SEARCH("COGNAC",C785)),"Brandy",
 ISNUMBER(SEARCH("LIQUEUR",C785)),"Liqueurs",
 ISNUMBER(SEARCH("CORDIAL",C785)),"Liqueurs",
 ISNUMBER(SEARCH("SCHNAPP",C785)),"Liqueurs",
 ISNUMBER(SEARCH("GIN",C785)),"Gin",
 TRUE,"Other")</f>
        <v>Other</v>
      </c>
      <c r="E785" s="5">
        <v>22350</v>
      </c>
      <c r="F785" s="5">
        <v>749899.37999999849</v>
      </c>
      <c r="G785" s="5">
        <v>19183.239999999951</v>
      </c>
      <c r="H785" s="5">
        <v>4348</v>
      </c>
    </row>
    <row r="786" spans="1:8">
      <c r="A786" s="5">
        <v>2024</v>
      </c>
      <c r="B786" s="6">
        <v>45444</v>
      </c>
      <c r="C786" s="5" t="s">
        <v>48</v>
      </c>
      <c r="D786" s="3" t="str" cm="1">
        <f t="array" ref="D786">_xlfn.IFS(
 ISNUMBER(SEARCH("WHISK",C786)),"Whiskey",
 ISNUMBER(SEARCH("BOURBON",C786)),"Whiskey",
 ISNUMBER(SEARCH("SCOTCH",C786)),"Whiskey",
 ISNUMBER(SEARCH("RYE",C786)),"Whiskey",
 ISNUMBER(SEARCH("VODKA",C786)),"Vodka",
 ISNUMBER(SEARCH("TEQUILA",C786)),"Tequila/Mezcal",
 ISNUMBER(SEARCH("MEZCAL",C786)),"Tequila/Mezcal",
 ISNUMBER(SEARCH("RUM",C786)),"Rum",
 ISNUMBER(SEARCH("BRAND",C786)),"Brandy",
 ISNUMBER(SEARCH("COGNAC",C786)),"Brandy",
 ISNUMBER(SEARCH("LIQUEUR",C786)),"Liqueurs",
 ISNUMBER(SEARCH("CORDIAL",C786)),"Liqueurs",
 ISNUMBER(SEARCH("SCHNAPP",C786)),"Liqueurs",
 ISNUMBER(SEARCH("GIN",C786)),"Gin",
 TRUE,"Other")</f>
        <v>Whiskey</v>
      </c>
      <c r="E786" s="5">
        <v>385246</v>
      </c>
      <c r="F786" s="5">
        <v>2164189.8999999529</v>
      </c>
      <c r="G786" s="5">
        <v>83984.350000003993</v>
      </c>
      <c r="H786" s="5">
        <v>13696</v>
      </c>
    </row>
    <row r="787" spans="1:8">
      <c r="A787" s="5">
        <v>2024</v>
      </c>
      <c r="B787" s="6">
        <v>45444</v>
      </c>
      <c r="C787" s="5" t="s">
        <v>50</v>
      </c>
      <c r="D787" s="3" t="str" cm="1">
        <f t="array" ref="D787">_xlfn.IFS(
 ISNUMBER(SEARCH("WHISK",C787)),"Whiskey",
 ISNUMBER(SEARCH("BOURBON",C787)),"Whiskey",
 ISNUMBER(SEARCH("SCOTCH",C787)),"Whiskey",
 ISNUMBER(SEARCH("RYE",C787)),"Whiskey",
 ISNUMBER(SEARCH("VODKA",C787)),"Vodka",
 ISNUMBER(SEARCH("TEQUILA",C787)),"Tequila/Mezcal",
 ISNUMBER(SEARCH("MEZCAL",C787)),"Tequila/Mezcal",
 ISNUMBER(SEARCH("RUM",C787)),"Rum",
 ISNUMBER(SEARCH("BRAND",C787)),"Brandy",
 ISNUMBER(SEARCH("COGNAC",C787)),"Brandy",
 ISNUMBER(SEARCH("LIQUEUR",C787)),"Liqueurs",
 ISNUMBER(SEARCH("CORDIAL",C787)),"Liqueurs",
 ISNUMBER(SEARCH("SCHNAPP",C787)),"Liqueurs",
 ISNUMBER(SEARCH("GIN",C787)),"Gin",
 TRUE,"Other")</f>
        <v>Tequila/Mezcal</v>
      </c>
      <c r="E787" s="5">
        <v>113937</v>
      </c>
      <c r="F787" s="5">
        <v>3427482.7399999741</v>
      </c>
      <c r="G787" s="5">
        <v>77498.810000000856</v>
      </c>
      <c r="H787" s="5">
        <v>12381</v>
      </c>
    </row>
    <row r="788" spans="1:8">
      <c r="A788" s="5">
        <v>2024</v>
      </c>
      <c r="B788" s="6">
        <v>45444</v>
      </c>
      <c r="C788" s="5" t="s">
        <v>12</v>
      </c>
      <c r="D788" s="3" t="str" cm="1">
        <f t="array" ref="D788">_xlfn.IFS(
 ISNUMBER(SEARCH("WHISK",C788)),"Whiskey",
 ISNUMBER(SEARCH("BOURBON",C788)),"Whiskey",
 ISNUMBER(SEARCH("SCOTCH",C788)),"Whiskey",
 ISNUMBER(SEARCH("RYE",C788)),"Whiskey",
 ISNUMBER(SEARCH("VODKA",C788)),"Vodka",
 ISNUMBER(SEARCH("TEQUILA",C788)),"Tequila/Mezcal",
 ISNUMBER(SEARCH("MEZCAL",C788)),"Tequila/Mezcal",
 ISNUMBER(SEARCH("RUM",C788)),"Rum",
 ISNUMBER(SEARCH("BRAND",C788)),"Brandy",
 ISNUMBER(SEARCH("COGNAC",C788)),"Brandy",
 ISNUMBER(SEARCH("LIQUEUR",C788)),"Liqueurs",
 ISNUMBER(SEARCH("CORDIAL",C788)),"Liqueurs",
 ISNUMBER(SEARCH("SCHNAPP",C788)),"Liqueurs",
 ISNUMBER(SEARCH("GIN",C788)),"Gin",
 TRUE,"Other")</f>
        <v>Vodka</v>
      </c>
      <c r="E788" s="5">
        <v>93694</v>
      </c>
      <c r="F788" s="5">
        <v>1089116.8900000523</v>
      </c>
      <c r="G788" s="5">
        <v>66346.800000000527</v>
      </c>
      <c r="H788" s="5">
        <v>10564</v>
      </c>
    </row>
    <row r="789" spans="1:8">
      <c r="A789" s="5">
        <v>2024</v>
      </c>
      <c r="B789" s="6">
        <v>45444</v>
      </c>
      <c r="C789" s="5" t="s">
        <v>13</v>
      </c>
      <c r="D789" s="3" t="str" cm="1">
        <f t="array" ref="D789">_xlfn.IFS(
 ISNUMBER(SEARCH("WHISK",C789)),"Whiskey",
 ISNUMBER(SEARCH("BOURBON",C789)),"Whiskey",
 ISNUMBER(SEARCH("SCOTCH",C789)),"Whiskey",
 ISNUMBER(SEARCH("RYE",C789)),"Whiskey",
 ISNUMBER(SEARCH("VODKA",C789)),"Vodka",
 ISNUMBER(SEARCH("TEQUILA",C789)),"Tequila/Mezcal",
 ISNUMBER(SEARCH("MEZCAL",C789)),"Tequila/Mezcal",
 ISNUMBER(SEARCH("RUM",C789)),"Rum",
 ISNUMBER(SEARCH("BRAND",C789)),"Brandy",
 ISNUMBER(SEARCH("COGNAC",C789)),"Brandy",
 ISNUMBER(SEARCH("LIQUEUR",C789)),"Liqueurs",
 ISNUMBER(SEARCH("CORDIAL",C789)),"Liqueurs",
 ISNUMBER(SEARCH("SCHNAPP",C789)),"Liqueurs",
 ISNUMBER(SEARCH("GIN",C789)),"Gin",
 TRUE,"Other")</f>
        <v>Liqueurs</v>
      </c>
      <c r="E789" s="5">
        <v>88194</v>
      </c>
      <c r="F789" s="5">
        <v>636986.05000002915</v>
      </c>
      <c r="G789" s="5">
        <v>35546.459999999104</v>
      </c>
      <c r="H789" s="5">
        <v>7187</v>
      </c>
    </row>
    <row r="790" spans="1:8">
      <c r="A790" s="5">
        <v>2024</v>
      </c>
      <c r="B790" s="6">
        <v>45444</v>
      </c>
      <c r="C790" s="5" t="s">
        <v>23</v>
      </c>
      <c r="D790" s="3" t="str" cm="1">
        <f t="array" ref="D790">_xlfn.IFS(
 ISNUMBER(SEARCH("WHISK",C790)),"Whiskey",
 ISNUMBER(SEARCH("BOURBON",C790)),"Whiskey",
 ISNUMBER(SEARCH("SCOTCH",C790)),"Whiskey",
 ISNUMBER(SEARCH("RYE",C790)),"Whiskey",
 ISNUMBER(SEARCH("VODKA",C790)),"Vodka",
 ISNUMBER(SEARCH("TEQUILA",C790)),"Tequila/Mezcal",
 ISNUMBER(SEARCH("MEZCAL",C790)),"Tequila/Mezcal",
 ISNUMBER(SEARCH("RUM",C790)),"Rum",
 ISNUMBER(SEARCH("BRAND",C790)),"Brandy",
 ISNUMBER(SEARCH("COGNAC",C790)),"Brandy",
 ISNUMBER(SEARCH("LIQUEUR",C790)),"Liqueurs",
 ISNUMBER(SEARCH("CORDIAL",C790)),"Liqueurs",
 ISNUMBER(SEARCH("SCHNAPP",C790)),"Liqueurs",
 ISNUMBER(SEARCH("GIN",C790)),"Gin",
 TRUE,"Other")</f>
        <v>Gin</v>
      </c>
      <c r="E790" s="5">
        <v>4766</v>
      </c>
      <c r="F790" s="5">
        <v>123432.73000000003</v>
      </c>
      <c r="G790" s="5">
        <v>3558.4500000000003</v>
      </c>
      <c r="H790" s="5">
        <v>546</v>
      </c>
    </row>
    <row r="791" spans="1:8">
      <c r="A791" s="5">
        <v>2024</v>
      </c>
      <c r="B791" s="6">
        <v>45444</v>
      </c>
      <c r="C791" s="5" t="s">
        <v>24</v>
      </c>
      <c r="D791" s="3" t="str" cm="1">
        <f t="array" ref="D791">_xlfn.IFS(
 ISNUMBER(SEARCH("WHISK",C791)),"Whiskey",
 ISNUMBER(SEARCH("BOURBON",C791)),"Whiskey",
 ISNUMBER(SEARCH("SCOTCH",C791)),"Whiskey",
 ISNUMBER(SEARCH("RYE",C791)),"Whiskey",
 ISNUMBER(SEARCH("VODKA",C791)),"Vodka",
 ISNUMBER(SEARCH("TEQUILA",C791)),"Tequila/Mezcal",
 ISNUMBER(SEARCH("MEZCAL",C791)),"Tequila/Mezcal",
 ISNUMBER(SEARCH("RUM",C791)),"Rum",
 ISNUMBER(SEARCH("BRAND",C791)),"Brandy",
 ISNUMBER(SEARCH("COGNAC",C791)),"Brandy",
 ISNUMBER(SEARCH("LIQUEUR",C791)),"Liqueurs",
 ISNUMBER(SEARCH("CORDIAL",C791)),"Liqueurs",
 ISNUMBER(SEARCH("SCHNAPP",C791)),"Liqueurs",
 ISNUMBER(SEARCH("GIN",C791)),"Gin",
 TRUE,"Other")</f>
        <v>Rum</v>
      </c>
      <c r="E791" s="5">
        <v>51009</v>
      </c>
      <c r="F791" s="5">
        <v>796406.05999999528</v>
      </c>
      <c r="G791" s="5">
        <v>47640.890000000014</v>
      </c>
      <c r="H791" s="5">
        <v>4478</v>
      </c>
    </row>
    <row r="792" spans="1:8">
      <c r="A792" s="5">
        <v>2024</v>
      </c>
      <c r="B792" s="6">
        <v>45444</v>
      </c>
      <c r="C792" s="5" t="s">
        <v>26</v>
      </c>
      <c r="D792" s="3" t="str" cm="1">
        <f t="array" ref="D792">_xlfn.IFS(
 ISNUMBER(SEARCH("WHISK",C792)),"Whiskey",
 ISNUMBER(SEARCH("BOURBON",C792)),"Whiskey",
 ISNUMBER(SEARCH("SCOTCH",C792)),"Whiskey",
 ISNUMBER(SEARCH("RYE",C792)),"Whiskey",
 ISNUMBER(SEARCH("VODKA",C792)),"Vodka",
 ISNUMBER(SEARCH("TEQUILA",C792)),"Tequila/Mezcal",
 ISNUMBER(SEARCH("MEZCAL",C792)),"Tequila/Mezcal",
 ISNUMBER(SEARCH("RUM",C792)),"Rum",
 ISNUMBER(SEARCH("BRAND",C792)),"Brandy",
 ISNUMBER(SEARCH("COGNAC",C792)),"Brandy",
 ISNUMBER(SEARCH("LIQUEUR",C792)),"Liqueurs",
 ISNUMBER(SEARCH("CORDIAL",C792)),"Liqueurs",
 ISNUMBER(SEARCH("SCHNAPP",C792)),"Liqueurs",
 ISNUMBER(SEARCH("GIN",C792)),"Gin",
 TRUE,"Other")</f>
        <v>Brandy</v>
      </c>
      <c r="E792" s="5">
        <v>34933</v>
      </c>
      <c r="F792" s="5">
        <v>825828.16999999632</v>
      </c>
      <c r="G792" s="5">
        <v>16663.199999999939</v>
      </c>
      <c r="H792" s="5">
        <v>3172</v>
      </c>
    </row>
    <row r="793" spans="1:8">
      <c r="A793" s="5">
        <v>2024</v>
      </c>
      <c r="B793" s="6">
        <v>45444</v>
      </c>
      <c r="C793" s="5" t="s">
        <v>29</v>
      </c>
      <c r="D793" s="3" t="str" cm="1">
        <f t="array" ref="D793">_xlfn.IFS(
 ISNUMBER(SEARCH("WHISK",C793)),"Whiskey",
 ISNUMBER(SEARCH("BOURBON",C793)),"Whiskey",
 ISNUMBER(SEARCH("SCOTCH",C793)),"Whiskey",
 ISNUMBER(SEARCH("RYE",C793)),"Whiskey",
 ISNUMBER(SEARCH("VODKA",C793)),"Vodka",
 ISNUMBER(SEARCH("TEQUILA",C793)),"Tequila/Mezcal",
 ISNUMBER(SEARCH("MEZCAL",C793)),"Tequila/Mezcal",
 ISNUMBER(SEARCH("RUM",C793)),"Rum",
 ISNUMBER(SEARCH("BRAND",C793)),"Brandy",
 ISNUMBER(SEARCH("COGNAC",C793)),"Brandy",
 ISNUMBER(SEARCH("LIQUEUR",C793)),"Liqueurs",
 ISNUMBER(SEARCH("CORDIAL",C793)),"Liqueurs",
 ISNUMBER(SEARCH("SCHNAPP",C793)),"Liqueurs",
 ISNUMBER(SEARCH("GIN",C793)),"Gin",
 TRUE,"Other")</f>
        <v>Gin</v>
      </c>
      <c r="E793" s="5">
        <v>19369</v>
      </c>
      <c r="F793" s="5">
        <v>495829.13999999937</v>
      </c>
      <c r="G793" s="5">
        <v>18327.020000000004</v>
      </c>
      <c r="H793" s="5">
        <v>2278</v>
      </c>
    </row>
    <row r="794" spans="1:8">
      <c r="A794" s="5">
        <v>2024</v>
      </c>
      <c r="B794" s="6">
        <v>45444</v>
      </c>
      <c r="C794" s="5" t="s">
        <v>31</v>
      </c>
      <c r="D794" s="3" t="str" cm="1">
        <f t="array" ref="D794">_xlfn.IFS(
 ISNUMBER(SEARCH("WHISK",C794)),"Whiskey",
 ISNUMBER(SEARCH("BOURBON",C794)),"Whiskey",
 ISNUMBER(SEARCH("SCOTCH",C794)),"Whiskey",
 ISNUMBER(SEARCH("RYE",C794)),"Whiskey",
 ISNUMBER(SEARCH("VODKA",C794)),"Vodka",
 ISNUMBER(SEARCH("TEQUILA",C794)),"Tequila/Mezcal",
 ISNUMBER(SEARCH("MEZCAL",C794)),"Tequila/Mezcal",
 ISNUMBER(SEARCH("RUM",C794)),"Rum",
 ISNUMBER(SEARCH("BRAND",C794)),"Brandy",
 ISNUMBER(SEARCH("COGNAC",C794)),"Brandy",
 ISNUMBER(SEARCH("LIQUEUR",C794)),"Liqueurs",
 ISNUMBER(SEARCH("CORDIAL",C794)),"Liqueurs",
 ISNUMBER(SEARCH("SCHNAPP",C794)),"Liqueurs",
 ISNUMBER(SEARCH("GIN",C794)),"Gin",
 TRUE,"Other")</f>
        <v>Liqueurs</v>
      </c>
      <c r="E794" s="5">
        <v>24455</v>
      </c>
      <c r="F794" s="5">
        <v>430930.69999999896</v>
      </c>
      <c r="G794" s="5">
        <v>21488.82999999994</v>
      </c>
      <c r="H794" s="5">
        <v>2393</v>
      </c>
    </row>
    <row r="795" spans="1:8">
      <c r="A795" s="5">
        <v>2024</v>
      </c>
      <c r="B795" s="6">
        <v>45444</v>
      </c>
      <c r="C795" s="5" t="s">
        <v>37</v>
      </c>
      <c r="D795" s="3" t="str" cm="1">
        <f t="array" ref="D795">_xlfn.IFS(
 ISNUMBER(SEARCH("WHISK",C795)),"Whiskey",
 ISNUMBER(SEARCH("BOURBON",C795)),"Whiskey",
 ISNUMBER(SEARCH("SCOTCH",C795)),"Whiskey",
 ISNUMBER(SEARCH("RYE",C795)),"Whiskey",
 ISNUMBER(SEARCH("VODKA",C795)),"Vodka",
 ISNUMBER(SEARCH("TEQUILA",C795)),"Tequila/Mezcal",
 ISNUMBER(SEARCH("MEZCAL",C795)),"Tequila/Mezcal",
 ISNUMBER(SEARCH("RUM",C795)),"Rum",
 ISNUMBER(SEARCH("BRAND",C795)),"Brandy",
 ISNUMBER(SEARCH("COGNAC",C795)),"Brandy",
 ISNUMBER(SEARCH("LIQUEUR",C795)),"Liqueurs",
 ISNUMBER(SEARCH("CORDIAL",C795)),"Liqueurs",
 ISNUMBER(SEARCH("SCHNAPP",C795)),"Liqueurs",
 ISNUMBER(SEARCH("GIN",C795)),"Gin",
 TRUE,"Other")</f>
        <v>Other</v>
      </c>
      <c r="E795" s="5">
        <v>15894</v>
      </c>
      <c r="F795" s="5">
        <v>262203.92000000377</v>
      </c>
      <c r="G795" s="5">
        <v>7630.2000000000025</v>
      </c>
      <c r="H795" s="5">
        <v>3160</v>
      </c>
    </row>
    <row r="796" spans="1:8">
      <c r="A796" s="5">
        <v>2024</v>
      </c>
      <c r="B796" s="6">
        <v>45444</v>
      </c>
      <c r="C796" s="5" t="s">
        <v>39</v>
      </c>
      <c r="D796" s="3" t="str" cm="1">
        <f t="array" ref="D796">_xlfn.IFS(
 ISNUMBER(SEARCH("WHISK",C796)),"Whiskey",
 ISNUMBER(SEARCH("BOURBON",C796)),"Whiskey",
 ISNUMBER(SEARCH("SCOTCH",C796)),"Whiskey",
 ISNUMBER(SEARCH("RYE",C796)),"Whiskey",
 ISNUMBER(SEARCH("VODKA",C796)),"Vodka",
 ISNUMBER(SEARCH("TEQUILA",C796)),"Tequila/Mezcal",
 ISNUMBER(SEARCH("MEZCAL",C796)),"Tequila/Mezcal",
 ISNUMBER(SEARCH("RUM",C796)),"Rum",
 ISNUMBER(SEARCH("BRAND",C796)),"Brandy",
 ISNUMBER(SEARCH("COGNAC",C796)),"Brandy",
 ISNUMBER(SEARCH("LIQUEUR",C796)),"Liqueurs",
 ISNUMBER(SEARCH("CORDIAL",C796)),"Liqueurs",
 ISNUMBER(SEARCH("SCHNAPP",C796)),"Liqueurs",
 ISNUMBER(SEARCH("GIN",C796)),"Gin",
 TRUE,"Other")</f>
        <v>Whiskey</v>
      </c>
      <c r="E796" s="5">
        <v>5562</v>
      </c>
      <c r="F796" s="5">
        <v>236539.16999999998</v>
      </c>
      <c r="G796" s="5">
        <v>4171.5</v>
      </c>
      <c r="H796" s="5">
        <v>571</v>
      </c>
    </row>
    <row r="797" spans="1:8">
      <c r="A797" s="5">
        <v>2024</v>
      </c>
      <c r="B797" s="6">
        <v>45444</v>
      </c>
      <c r="C797" s="5" t="s">
        <v>44</v>
      </c>
      <c r="D797" s="3" t="str" cm="1">
        <f t="array" ref="D797">_xlfn.IFS(
 ISNUMBER(SEARCH("WHISK",C797)),"Whiskey",
 ISNUMBER(SEARCH("BOURBON",C797)),"Whiskey",
 ISNUMBER(SEARCH("SCOTCH",C797)),"Whiskey",
 ISNUMBER(SEARCH("RYE",C797)),"Whiskey",
 ISNUMBER(SEARCH("VODKA",C797)),"Vodka",
 ISNUMBER(SEARCH("TEQUILA",C797)),"Tequila/Mezcal",
 ISNUMBER(SEARCH("MEZCAL",C797)),"Tequila/Mezcal",
 ISNUMBER(SEARCH("RUM",C797)),"Rum",
 ISNUMBER(SEARCH("BRAND",C797)),"Brandy",
 ISNUMBER(SEARCH("COGNAC",C797)),"Brandy",
 ISNUMBER(SEARCH("LIQUEUR",C797)),"Liqueurs",
 ISNUMBER(SEARCH("CORDIAL",C797)),"Liqueurs",
 ISNUMBER(SEARCH("SCHNAPP",C797)),"Liqueurs",
 ISNUMBER(SEARCH("GIN",C797)),"Gin",
 TRUE,"Other")</f>
        <v>Whiskey</v>
      </c>
      <c r="E797" s="5">
        <v>10240</v>
      </c>
      <c r="F797" s="5">
        <v>297702.89000000013</v>
      </c>
      <c r="G797" s="5">
        <v>7932.2</v>
      </c>
      <c r="H797" s="5">
        <v>1503</v>
      </c>
    </row>
    <row r="798" spans="1:8">
      <c r="A798" s="5">
        <v>2024</v>
      </c>
      <c r="B798" s="6">
        <v>45444</v>
      </c>
      <c r="C798" s="5" t="s">
        <v>46</v>
      </c>
      <c r="D798" s="3" t="str" cm="1">
        <f t="array" ref="D798">_xlfn.IFS(
 ISNUMBER(SEARCH("WHISK",C798)),"Whiskey",
 ISNUMBER(SEARCH("BOURBON",C798)),"Whiskey",
 ISNUMBER(SEARCH("SCOTCH",C798)),"Whiskey",
 ISNUMBER(SEARCH("RYE",C798)),"Whiskey",
 ISNUMBER(SEARCH("VODKA",C798)),"Vodka",
 ISNUMBER(SEARCH("TEQUILA",C798)),"Tequila/Mezcal",
 ISNUMBER(SEARCH("MEZCAL",C798)),"Tequila/Mezcal",
 ISNUMBER(SEARCH("RUM",C798)),"Rum",
 ISNUMBER(SEARCH("BRAND",C798)),"Brandy",
 ISNUMBER(SEARCH("COGNAC",C798)),"Brandy",
 ISNUMBER(SEARCH("LIQUEUR",C798)),"Liqueurs",
 ISNUMBER(SEARCH("CORDIAL",C798)),"Liqueurs",
 ISNUMBER(SEARCH("SCHNAPP",C798)),"Liqueurs",
 ISNUMBER(SEARCH("GIN",C798)),"Gin",
 TRUE,"Other")</f>
        <v>Whiskey</v>
      </c>
      <c r="E798" s="5">
        <v>61366</v>
      </c>
      <c r="F798" s="5">
        <v>1379265.8099999919</v>
      </c>
      <c r="G798" s="5">
        <v>43222.109999999855</v>
      </c>
      <c r="H798" s="5">
        <v>6180</v>
      </c>
    </row>
    <row r="799" spans="1:8">
      <c r="A799" s="5">
        <v>2024</v>
      </c>
      <c r="B799" s="6">
        <v>45444</v>
      </c>
      <c r="C799" s="5" t="s">
        <v>10</v>
      </c>
      <c r="D799" s="3" t="str" cm="1">
        <f t="array" ref="D799">_xlfn.IFS(
 ISNUMBER(SEARCH("WHISK",C799)),"Whiskey",
 ISNUMBER(SEARCH("BOURBON",C799)),"Whiskey",
 ISNUMBER(SEARCH("SCOTCH",C799)),"Whiskey",
 ISNUMBER(SEARCH("RYE",C799)),"Whiskey",
 ISNUMBER(SEARCH("VODKA",C799)),"Vodka",
 ISNUMBER(SEARCH("TEQUILA",C799)),"Tequila/Mezcal",
 ISNUMBER(SEARCH("MEZCAL",C799)),"Tequila/Mezcal",
 ISNUMBER(SEARCH("RUM",C799)),"Rum",
 ISNUMBER(SEARCH("BRAND",C799)),"Brandy",
 ISNUMBER(SEARCH("COGNAC",C799)),"Brandy",
 ISNUMBER(SEARCH("LIQUEUR",C799)),"Liqueurs",
 ISNUMBER(SEARCH("CORDIAL",C799)),"Liqueurs",
 ISNUMBER(SEARCH("SCHNAPP",C799)),"Liqueurs",
 ISNUMBER(SEARCH("GIN",C799)),"Gin",
 TRUE,"Other")</f>
        <v>Other</v>
      </c>
      <c r="E799" s="5">
        <v>7647</v>
      </c>
      <c r="F799" s="5">
        <v>140457.68000000023</v>
      </c>
      <c r="G799" s="5">
        <v>5476.94</v>
      </c>
      <c r="H799" s="5">
        <v>707</v>
      </c>
    </row>
    <row r="800" spans="1:8">
      <c r="A800" s="5">
        <v>2024</v>
      </c>
      <c r="B800" s="6">
        <v>45444</v>
      </c>
      <c r="C800" s="5" t="s">
        <v>11</v>
      </c>
      <c r="D800" s="3" t="str" cm="1">
        <f t="array" ref="D800">_xlfn.IFS(
 ISNUMBER(SEARCH("WHISK",C800)),"Whiskey",
 ISNUMBER(SEARCH("BOURBON",C800)),"Whiskey",
 ISNUMBER(SEARCH("SCOTCH",C800)),"Whiskey",
 ISNUMBER(SEARCH("RYE",C800)),"Whiskey",
 ISNUMBER(SEARCH("VODKA",C800)),"Vodka",
 ISNUMBER(SEARCH("TEQUILA",C800)),"Tequila/Mezcal",
 ISNUMBER(SEARCH("MEZCAL",C800)),"Tequila/Mezcal",
 ISNUMBER(SEARCH("RUM",C800)),"Rum",
 ISNUMBER(SEARCH("BRAND",C800)),"Brandy",
 ISNUMBER(SEARCH("COGNAC",C800)),"Brandy",
 ISNUMBER(SEARCH("LIQUEUR",C800)),"Liqueurs",
 ISNUMBER(SEARCH("CORDIAL",C800)),"Liqueurs",
 ISNUMBER(SEARCH("SCHNAPP",C800)),"Liqueurs",
 ISNUMBER(SEARCH("GIN",C800)),"Gin",
 TRUE,"Other")</f>
        <v>Gin</v>
      </c>
      <c r="E800" s="5">
        <v>29311</v>
      </c>
      <c r="F800" s="5">
        <v>289670.35000000172</v>
      </c>
      <c r="G800" s="5">
        <v>24494.359999999953</v>
      </c>
      <c r="H800" s="5">
        <v>2755</v>
      </c>
    </row>
    <row r="801" spans="1:8">
      <c r="A801" s="5">
        <v>2024</v>
      </c>
      <c r="B801" s="6">
        <v>45444</v>
      </c>
      <c r="C801" s="5" t="s">
        <v>19</v>
      </c>
      <c r="D801" s="3" t="str" cm="1">
        <f t="array" ref="D801">_xlfn.IFS(
 ISNUMBER(SEARCH("WHISK",C801)),"Whiskey",
 ISNUMBER(SEARCH("BOURBON",C801)),"Whiskey",
 ISNUMBER(SEARCH("SCOTCH",C801)),"Whiskey",
 ISNUMBER(SEARCH("RYE",C801)),"Whiskey",
 ISNUMBER(SEARCH("VODKA",C801)),"Vodka",
 ISNUMBER(SEARCH("TEQUILA",C801)),"Tequila/Mezcal",
 ISNUMBER(SEARCH("MEZCAL",C801)),"Tequila/Mezcal",
 ISNUMBER(SEARCH("RUM",C801)),"Rum",
 ISNUMBER(SEARCH("BRAND",C801)),"Brandy",
 ISNUMBER(SEARCH("COGNAC",C801)),"Brandy",
 ISNUMBER(SEARCH("LIQUEUR",C801)),"Liqueurs",
 ISNUMBER(SEARCH("CORDIAL",C801)),"Liqueurs",
 ISNUMBER(SEARCH("SCHNAPP",C801)),"Liqueurs",
 ISNUMBER(SEARCH("GIN",C801)),"Gin",
 TRUE,"Other")</f>
        <v>Other</v>
      </c>
      <c r="E801" s="5">
        <v>62391</v>
      </c>
      <c r="F801" s="5">
        <v>733301.06999999343</v>
      </c>
      <c r="G801" s="5">
        <v>86844.150000000111</v>
      </c>
      <c r="H801" s="5">
        <v>7350</v>
      </c>
    </row>
    <row r="802" spans="1:8">
      <c r="A802" s="5">
        <v>2024</v>
      </c>
      <c r="B802" s="6">
        <v>45444</v>
      </c>
      <c r="C802" s="5" t="s">
        <v>30</v>
      </c>
      <c r="D802" s="3" t="str" cm="1">
        <f t="array" ref="D802">_xlfn.IFS(
 ISNUMBER(SEARCH("WHISK",C802)),"Whiskey",
 ISNUMBER(SEARCH("BOURBON",C802)),"Whiskey",
 ISNUMBER(SEARCH("SCOTCH",C802)),"Whiskey",
 ISNUMBER(SEARCH("RYE",C802)),"Whiskey",
 ISNUMBER(SEARCH("VODKA",C802)),"Vodka",
 ISNUMBER(SEARCH("TEQUILA",C802)),"Tequila/Mezcal",
 ISNUMBER(SEARCH("MEZCAL",C802)),"Tequila/Mezcal",
 ISNUMBER(SEARCH("RUM",C802)),"Rum",
 ISNUMBER(SEARCH("BRAND",C802)),"Brandy",
 ISNUMBER(SEARCH("COGNAC",C802)),"Brandy",
 ISNUMBER(SEARCH("LIQUEUR",C802)),"Liqueurs",
 ISNUMBER(SEARCH("CORDIAL",C802)),"Liqueurs",
 ISNUMBER(SEARCH("SCHNAPP",C802)),"Liqueurs",
 ISNUMBER(SEARCH("GIN",C802)),"Gin",
 TRUE,"Other")</f>
        <v>Vodka</v>
      </c>
      <c r="E802" s="5">
        <v>26269</v>
      </c>
      <c r="F802" s="5">
        <v>447423.37000000098</v>
      </c>
      <c r="G802" s="5">
        <v>20697.300000000003</v>
      </c>
      <c r="H802" s="5">
        <v>2726</v>
      </c>
    </row>
    <row r="803" spans="1:8">
      <c r="A803" s="5">
        <v>2024</v>
      </c>
      <c r="B803" s="6">
        <v>45444</v>
      </c>
      <c r="C803" s="5" t="s">
        <v>7</v>
      </c>
      <c r="D803" s="3" t="str" cm="1">
        <f t="array" ref="D803">_xlfn.IFS(
 ISNUMBER(SEARCH("WHISK",C803)),"Whiskey",
 ISNUMBER(SEARCH("BOURBON",C803)),"Whiskey",
 ISNUMBER(SEARCH("SCOTCH",C803)),"Whiskey",
 ISNUMBER(SEARCH("RYE",C803)),"Whiskey",
 ISNUMBER(SEARCH("VODKA",C803)),"Vodka",
 ISNUMBER(SEARCH("TEQUILA",C803)),"Tequila/Mezcal",
 ISNUMBER(SEARCH("MEZCAL",C803)),"Tequila/Mezcal",
 ISNUMBER(SEARCH("RUM",C803)),"Rum",
 ISNUMBER(SEARCH("BRAND",C803)),"Brandy",
 ISNUMBER(SEARCH("COGNAC",C803)),"Brandy",
 ISNUMBER(SEARCH("LIQUEUR",C803)),"Liqueurs",
 ISNUMBER(SEARCH("CORDIAL",C803)),"Liqueurs",
 ISNUMBER(SEARCH("SCHNAPP",C803)),"Liqueurs",
 ISNUMBER(SEARCH("GIN",C803)),"Gin",
 TRUE,"Other")</f>
        <v>Rum</v>
      </c>
      <c r="E803" s="5">
        <v>3674</v>
      </c>
      <c r="F803" s="5">
        <v>78645.000000000116</v>
      </c>
      <c r="G803" s="5">
        <v>3029.2</v>
      </c>
      <c r="H803" s="5">
        <v>634</v>
      </c>
    </row>
    <row r="804" spans="1:8">
      <c r="A804" s="5">
        <v>2024</v>
      </c>
      <c r="B804" s="6">
        <v>45444</v>
      </c>
      <c r="C804" s="5" t="s">
        <v>17</v>
      </c>
      <c r="D804" s="3" t="str" cm="1">
        <f t="array" ref="D804">_xlfn.IFS(
 ISNUMBER(SEARCH("WHISK",C804)),"Whiskey",
 ISNUMBER(SEARCH("BOURBON",C804)),"Whiskey",
 ISNUMBER(SEARCH("SCOTCH",C804)),"Whiskey",
 ISNUMBER(SEARCH("RYE",C804)),"Whiskey",
 ISNUMBER(SEARCH("VODKA",C804)),"Vodka",
 ISNUMBER(SEARCH("TEQUILA",C804)),"Tequila/Mezcal",
 ISNUMBER(SEARCH("MEZCAL",C804)),"Tequila/Mezcal",
 ISNUMBER(SEARCH("RUM",C804)),"Rum",
 ISNUMBER(SEARCH("BRAND",C804)),"Brandy",
 ISNUMBER(SEARCH("COGNAC",C804)),"Brandy",
 ISNUMBER(SEARCH("LIQUEUR",C804)),"Liqueurs",
 ISNUMBER(SEARCH("CORDIAL",C804)),"Liqueurs",
 ISNUMBER(SEARCH("SCHNAPP",C804)),"Liqueurs",
 ISNUMBER(SEARCH("GIN",C804)),"Gin",
 TRUE,"Other")</f>
        <v>Whiskey</v>
      </c>
      <c r="E804" s="5">
        <v>4455</v>
      </c>
      <c r="F804" s="5">
        <v>129112.14000000004</v>
      </c>
      <c r="G804" s="5">
        <v>3705.25</v>
      </c>
      <c r="H804" s="5">
        <v>705</v>
      </c>
    </row>
    <row r="805" spans="1:8">
      <c r="A805" s="5">
        <v>2024</v>
      </c>
      <c r="B805" s="6">
        <v>45444</v>
      </c>
      <c r="C805" s="5" t="s">
        <v>20</v>
      </c>
      <c r="D805" s="3" t="str" cm="1">
        <f t="array" ref="D805">_xlfn.IFS(
 ISNUMBER(SEARCH("WHISK",C805)),"Whiskey",
 ISNUMBER(SEARCH("BOURBON",C805)),"Whiskey",
 ISNUMBER(SEARCH("SCOTCH",C805)),"Whiskey",
 ISNUMBER(SEARCH("RYE",C805)),"Whiskey",
 ISNUMBER(SEARCH("VODKA",C805)),"Vodka",
 ISNUMBER(SEARCH("TEQUILA",C805)),"Tequila/Mezcal",
 ISNUMBER(SEARCH("MEZCAL",C805)),"Tequila/Mezcal",
 ISNUMBER(SEARCH("RUM",C805)),"Rum",
 ISNUMBER(SEARCH("BRAND",C805)),"Brandy",
 ISNUMBER(SEARCH("COGNAC",C805)),"Brandy",
 ISNUMBER(SEARCH("LIQUEUR",C805)),"Liqueurs",
 ISNUMBER(SEARCH("CORDIAL",C805)),"Liqueurs",
 ISNUMBER(SEARCH("SCHNAPP",C805)),"Liqueurs",
 ISNUMBER(SEARCH("GIN",C805)),"Gin",
 TRUE,"Other")</f>
        <v>Liqueurs</v>
      </c>
      <c r="E805" s="5">
        <v>5814</v>
      </c>
      <c r="F805" s="5">
        <v>128412.17000000049</v>
      </c>
      <c r="G805" s="5">
        <v>4870.520000000005</v>
      </c>
      <c r="H805" s="5">
        <v>731</v>
      </c>
    </row>
    <row r="806" spans="1:8">
      <c r="A806" s="5">
        <v>2024</v>
      </c>
      <c r="B806" s="6">
        <v>45444</v>
      </c>
      <c r="C806" s="5" t="s">
        <v>32</v>
      </c>
      <c r="D806" s="3" t="str" cm="1">
        <f t="array" ref="D806">_xlfn.IFS(
 ISNUMBER(SEARCH("WHISK",C806)),"Whiskey",
 ISNUMBER(SEARCH("BOURBON",C806)),"Whiskey",
 ISNUMBER(SEARCH("SCOTCH",C806)),"Whiskey",
 ISNUMBER(SEARCH("RYE",C806)),"Whiskey",
 ISNUMBER(SEARCH("VODKA",C806)),"Vodka",
 ISNUMBER(SEARCH("TEQUILA",C806)),"Tequila/Mezcal",
 ISNUMBER(SEARCH("MEZCAL",C806)),"Tequila/Mezcal",
 ISNUMBER(SEARCH("RUM",C806)),"Rum",
 ISNUMBER(SEARCH("BRAND",C806)),"Brandy",
 ISNUMBER(SEARCH("COGNAC",C806)),"Brandy",
 ISNUMBER(SEARCH("LIQUEUR",C806)),"Liqueurs",
 ISNUMBER(SEARCH("CORDIAL",C806)),"Liqueurs",
 ISNUMBER(SEARCH("SCHNAPP",C806)),"Liqueurs",
 ISNUMBER(SEARCH("GIN",C806)),"Gin",
 TRUE,"Other")</f>
        <v>Vodka</v>
      </c>
      <c r="E806" s="5">
        <v>65746</v>
      </c>
      <c r="F806" s="5">
        <v>1106758.1899999671</v>
      </c>
      <c r="G806" s="5">
        <v>71488.550000000396</v>
      </c>
      <c r="H806" s="5">
        <v>4963</v>
      </c>
    </row>
    <row r="807" spans="1:8">
      <c r="A807" s="5">
        <v>2024</v>
      </c>
      <c r="B807" s="6">
        <v>45444</v>
      </c>
      <c r="C807" s="5" t="s">
        <v>36</v>
      </c>
      <c r="D807" s="3" t="str" cm="1">
        <f t="array" ref="D807">_xlfn.IFS(
 ISNUMBER(SEARCH("WHISK",C807)),"Whiskey",
 ISNUMBER(SEARCH("BOURBON",C807)),"Whiskey",
 ISNUMBER(SEARCH("SCOTCH",C807)),"Whiskey",
 ISNUMBER(SEARCH("RYE",C807)),"Whiskey",
 ISNUMBER(SEARCH("VODKA",C807)),"Vodka",
 ISNUMBER(SEARCH("TEQUILA",C807)),"Tequila/Mezcal",
 ISNUMBER(SEARCH("MEZCAL",C807)),"Tequila/Mezcal",
 ISNUMBER(SEARCH("RUM",C807)),"Rum",
 ISNUMBER(SEARCH("BRAND",C807)),"Brandy",
 ISNUMBER(SEARCH("COGNAC",C807)),"Brandy",
 ISNUMBER(SEARCH("LIQUEUR",C807)),"Liqueurs",
 ISNUMBER(SEARCH("CORDIAL",C807)),"Liqueurs",
 ISNUMBER(SEARCH("SCHNAPP",C807)),"Liqueurs",
 ISNUMBER(SEARCH("GIN",C807)),"Gin",
 TRUE,"Other")</f>
        <v>Other</v>
      </c>
      <c r="E807" s="5">
        <v>2489</v>
      </c>
      <c r="F807" s="5">
        <v>34717.569999999985</v>
      </c>
      <c r="G807" s="5">
        <v>1901.35</v>
      </c>
      <c r="H807" s="5">
        <v>314</v>
      </c>
    </row>
    <row r="808" spans="1:8">
      <c r="A808" s="5">
        <v>2024</v>
      </c>
      <c r="B808" s="6">
        <v>45444</v>
      </c>
      <c r="C808" s="5" t="s">
        <v>49</v>
      </c>
      <c r="D808" s="3" t="str" cm="1">
        <f t="array" ref="D808">_xlfn.IFS(
 ISNUMBER(SEARCH("WHISK",C808)),"Whiskey",
 ISNUMBER(SEARCH("BOURBON",C808)),"Whiskey",
 ISNUMBER(SEARCH("SCOTCH",C808)),"Whiskey",
 ISNUMBER(SEARCH("RYE",C808)),"Whiskey",
 ISNUMBER(SEARCH("VODKA",C808)),"Vodka",
 ISNUMBER(SEARCH("TEQUILA",C808)),"Tequila/Mezcal",
 ISNUMBER(SEARCH("MEZCAL",C808)),"Tequila/Mezcal",
 ISNUMBER(SEARCH("RUM",C808)),"Rum",
 ISNUMBER(SEARCH("BRAND",C808)),"Brandy",
 ISNUMBER(SEARCH("COGNAC",C808)),"Brandy",
 ISNUMBER(SEARCH("LIQUEUR",C808)),"Liqueurs",
 ISNUMBER(SEARCH("CORDIAL",C808)),"Liqueurs",
 ISNUMBER(SEARCH("SCHNAPP",C808)),"Liqueurs",
 ISNUMBER(SEARCH("GIN",C808)),"Gin",
 TRUE,"Other")</f>
        <v>Rum</v>
      </c>
      <c r="E808" s="5">
        <v>41906</v>
      </c>
      <c r="F808" s="5">
        <v>525102.32999999647</v>
      </c>
      <c r="G808" s="5">
        <v>43375.00999999998</v>
      </c>
      <c r="H808" s="5">
        <v>3732</v>
      </c>
    </row>
    <row r="809" spans="1:8">
      <c r="A809" s="5">
        <v>2024</v>
      </c>
      <c r="B809" s="6">
        <v>45444</v>
      </c>
      <c r="C809" s="5" t="s">
        <v>28</v>
      </c>
      <c r="D809" s="3" t="str" cm="1">
        <f t="array" ref="D809">_xlfn.IFS(
 ISNUMBER(SEARCH("WHISK",C809)),"Whiskey",
 ISNUMBER(SEARCH("BOURBON",C809)),"Whiskey",
 ISNUMBER(SEARCH("SCOTCH",C809)),"Whiskey",
 ISNUMBER(SEARCH("RYE",C809)),"Whiskey",
 ISNUMBER(SEARCH("VODKA",C809)),"Vodka",
 ISNUMBER(SEARCH("TEQUILA",C809)),"Tequila/Mezcal",
 ISNUMBER(SEARCH("MEZCAL",C809)),"Tequila/Mezcal",
 ISNUMBER(SEARCH("RUM",C809)),"Rum",
 ISNUMBER(SEARCH("BRAND",C809)),"Brandy",
 ISNUMBER(SEARCH("COGNAC",C809)),"Brandy",
 ISNUMBER(SEARCH("LIQUEUR",C809)),"Liqueurs",
 ISNUMBER(SEARCH("CORDIAL",C809)),"Liqueurs",
 ISNUMBER(SEARCH("SCHNAPP",C809)),"Liqueurs",
 ISNUMBER(SEARCH("GIN",C809)),"Gin",
 TRUE,"Other")</f>
        <v>Other</v>
      </c>
      <c r="E809" s="5">
        <v>38709</v>
      </c>
      <c r="F809" s="5">
        <v>290995.36000000103</v>
      </c>
      <c r="G809" s="5">
        <v>34186.609999999942</v>
      </c>
      <c r="H809" s="5">
        <v>815</v>
      </c>
    </row>
    <row r="810" spans="1:8">
      <c r="A810" s="5">
        <v>2024</v>
      </c>
      <c r="B810" s="6">
        <v>45444</v>
      </c>
      <c r="C810" s="5" t="s">
        <v>47</v>
      </c>
      <c r="D810" s="3" t="str" cm="1">
        <f t="array" ref="D810">_xlfn.IFS(
 ISNUMBER(SEARCH("WHISK",C810)),"Whiskey",
 ISNUMBER(SEARCH("BOURBON",C810)),"Whiskey",
 ISNUMBER(SEARCH("SCOTCH",C810)),"Whiskey",
 ISNUMBER(SEARCH("RYE",C810)),"Whiskey",
 ISNUMBER(SEARCH("VODKA",C810)),"Vodka",
 ISNUMBER(SEARCH("TEQUILA",C810)),"Tequila/Mezcal",
 ISNUMBER(SEARCH("MEZCAL",C810)),"Tequila/Mezcal",
 ISNUMBER(SEARCH("RUM",C810)),"Rum",
 ISNUMBER(SEARCH("BRAND",C810)),"Brandy",
 ISNUMBER(SEARCH("COGNAC",C810)),"Brandy",
 ISNUMBER(SEARCH("LIQUEUR",C810)),"Liqueurs",
 ISNUMBER(SEARCH("CORDIAL",C810)),"Liqueurs",
 ISNUMBER(SEARCH("SCHNAPP",C810)),"Liqueurs",
 ISNUMBER(SEARCH("GIN",C810)),"Gin",
 TRUE,"Other")</f>
        <v>Other</v>
      </c>
      <c r="E810" s="5">
        <v>17853</v>
      </c>
      <c r="F810" s="5">
        <v>73303.259999999878</v>
      </c>
      <c r="G810" s="5">
        <v>17601.5</v>
      </c>
      <c r="H810" s="5">
        <v>742</v>
      </c>
    </row>
    <row r="811" spans="1:8">
      <c r="A811" s="5">
        <v>2024</v>
      </c>
      <c r="B811" s="6">
        <v>45444</v>
      </c>
      <c r="C811" s="5" t="s">
        <v>25</v>
      </c>
      <c r="D811" s="3" t="str" cm="1">
        <f t="array" ref="D811">_xlfn.IFS(
 ISNUMBER(SEARCH("WHISK",C811)),"Whiskey",
 ISNUMBER(SEARCH("BOURBON",C811)),"Whiskey",
 ISNUMBER(SEARCH("SCOTCH",C811)),"Whiskey",
 ISNUMBER(SEARCH("RYE",C811)),"Whiskey",
 ISNUMBER(SEARCH("VODKA",C811)),"Vodka",
 ISNUMBER(SEARCH("TEQUILA",C811)),"Tequila/Mezcal",
 ISNUMBER(SEARCH("MEZCAL",C811)),"Tequila/Mezcal",
 ISNUMBER(SEARCH("RUM",C811)),"Rum",
 ISNUMBER(SEARCH("BRAND",C811)),"Brandy",
 ISNUMBER(SEARCH("COGNAC",C811)),"Brandy",
 ISNUMBER(SEARCH("LIQUEUR",C811)),"Liqueurs",
 ISNUMBER(SEARCH("CORDIAL",C811)),"Liqueurs",
 ISNUMBER(SEARCH("SCHNAPP",C811)),"Liqueurs",
 ISNUMBER(SEARCH("GIN",C811)),"Gin",
 TRUE,"Other")</f>
        <v>Rum</v>
      </c>
      <c r="E811" s="5">
        <v>5575</v>
      </c>
      <c r="F811" s="5">
        <v>79483.659999999974</v>
      </c>
      <c r="G811" s="5">
        <v>6236.7100000000064</v>
      </c>
      <c r="H811" s="5">
        <v>827</v>
      </c>
    </row>
    <row r="812" spans="1:8">
      <c r="A812" s="5">
        <v>2024</v>
      </c>
      <c r="B812" s="6">
        <v>45444</v>
      </c>
      <c r="C812" s="5" t="s">
        <v>21</v>
      </c>
      <c r="D812" s="3" t="str" cm="1">
        <f t="array" ref="D812">_xlfn.IFS(
 ISNUMBER(SEARCH("WHISK",C812)),"Whiskey",
 ISNUMBER(SEARCH("BOURBON",C812)),"Whiskey",
 ISNUMBER(SEARCH("SCOTCH",C812)),"Whiskey",
 ISNUMBER(SEARCH("RYE",C812)),"Whiskey",
 ISNUMBER(SEARCH("VODKA",C812)),"Vodka",
 ISNUMBER(SEARCH("TEQUILA",C812)),"Tequila/Mezcal",
 ISNUMBER(SEARCH("MEZCAL",C812)),"Tequila/Mezcal",
 ISNUMBER(SEARCH("RUM",C812)),"Rum",
 ISNUMBER(SEARCH("BRAND",C812)),"Brandy",
 ISNUMBER(SEARCH("COGNAC",C812)),"Brandy",
 ISNUMBER(SEARCH("LIQUEUR",C812)),"Liqueurs",
 ISNUMBER(SEARCH("CORDIAL",C812)),"Liqueurs",
 ISNUMBER(SEARCH("SCHNAPP",C812)),"Liqueurs",
 ISNUMBER(SEARCH("GIN",C812)),"Gin",
 TRUE,"Other")</f>
        <v>Whiskey</v>
      </c>
      <c r="E812" s="5">
        <v>407</v>
      </c>
      <c r="F812" s="5">
        <v>9833.4600000000028</v>
      </c>
      <c r="G812" s="5">
        <v>276</v>
      </c>
      <c r="H812" s="5">
        <v>76</v>
      </c>
    </row>
    <row r="813" spans="1:8">
      <c r="A813" s="5">
        <v>2024</v>
      </c>
      <c r="B813" s="6">
        <v>45444</v>
      </c>
      <c r="C813" s="5" t="s">
        <v>34</v>
      </c>
      <c r="D813" s="3" t="str" cm="1">
        <f t="array" ref="D813">_xlfn.IFS(
 ISNUMBER(SEARCH("WHISK",C813)),"Whiskey",
 ISNUMBER(SEARCH("BOURBON",C813)),"Whiskey",
 ISNUMBER(SEARCH("SCOTCH",C813)),"Whiskey",
 ISNUMBER(SEARCH("RYE",C813)),"Whiskey",
 ISNUMBER(SEARCH("VODKA",C813)),"Vodka",
 ISNUMBER(SEARCH("TEQUILA",C813)),"Tequila/Mezcal",
 ISNUMBER(SEARCH("MEZCAL",C813)),"Tequila/Mezcal",
 ISNUMBER(SEARCH("RUM",C813)),"Rum",
 ISNUMBER(SEARCH("BRAND",C813)),"Brandy",
 ISNUMBER(SEARCH("COGNAC",C813)),"Brandy",
 ISNUMBER(SEARCH("LIQUEUR",C813)),"Liqueurs",
 ISNUMBER(SEARCH("CORDIAL",C813)),"Liqueurs",
 ISNUMBER(SEARCH("SCHNAPP",C813)),"Liqueurs",
 ISNUMBER(SEARCH("GIN",C813)),"Gin",
 TRUE,"Other")</f>
        <v>Tequila/Mezcal</v>
      </c>
      <c r="E813" s="5">
        <v>1201</v>
      </c>
      <c r="F813" s="5">
        <v>38162.299999999996</v>
      </c>
      <c r="G813" s="5">
        <v>902.25</v>
      </c>
      <c r="H813" s="5">
        <v>213</v>
      </c>
    </row>
    <row r="814" spans="1:8">
      <c r="A814" s="5">
        <v>2024</v>
      </c>
      <c r="B814" s="6">
        <v>45444</v>
      </c>
      <c r="C814" s="5" t="s">
        <v>40</v>
      </c>
      <c r="D814" s="3" t="str" cm="1">
        <f t="array" ref="D814">_xlfn.IFS(
 ISNUMBER(SEARCH("WHISK",C814)),"Whiskey",
 ISNUMBER(SEARCH("BOURBON",C814)),"Whiskey",
 ISNUMBER(SEARCH("SCOTCH",C814)),"Whiskey",
 ISNUMBER(SEARCH("RYE",C814)),"Whiskey",
 ISNUMBER(SEARCH("VODKA",C814)),"Vodka",
 ISNUMBER(SEARCH("TEQUILA",C814)),"Tequila/Mezcal",
 ISNUMBER(SEARCH("MEZCAL",C814)),"Tequila/Mezcal",
 ISNUMBER(SEARCH("RUM",C814)),"Rum",
 ISNUMBER(SEARCH("BRAND",C814)),"Brandy",
 ISNUMBER(SEARCH("COGNAC",C814)),"Brandy",
 ISNUMBER(SEARCH("LIQUEUR",C814)),"Liqueurs",
 ISNUMBER(SEARCH("CORDIAL",C814)),"Liqueurs",
 ISNUMBER(SEARCH("SCHNAPP",C814)),"Liqueurs",
 ISNUMBER(SEARCH("GIN",C814)),"Gin",
 TRUE,"Other")</f>
        <v>Whiskey</v>
      </c>
      <c r="E814" s="5">
        <v>5261</v>
      </c>
      <c r="F814" s="5">
        <v>299657.13999999966</v>
      </c>
      <c r="G814" s="5">
        <v>4145.8499999999995</v>
      </c>
      <c r="H814" s="5">
        <v>1307</v>
      </c>
    </row>
    <row r="815" spans="1:8">
      <c r="A815" s="5">
        <v>2024</v>
      </c>
      <c r="B815" s="6">
        <v>45444</v>
      </c>
      <c r="C815" s="5" t="s">
        <v>41</v>
      </c>
      <c r="D815" s="3" t="str" cm="1">
        <f t="array" ref="D815">_xlfn.IFS(
 ISNUMBER(SEARCH("WHISK",C815)),"Whiskey",
 ISNUMBER(SEARCH("BOURBON",C815)),"Whiskey",
 ISNUMBER(SEARCH("SCOTCH",C815)),"Whiskey",
 ISNUMBER(SEARCH("RYE",C815)),"Whiskey",
 ISNUMBER(SEARCH("VODKA",C815)),"Vodka",
 ISNUMBER(SEARCH("TEQUILA",C815)),"Tequila/Mezcal",
 ISNUMBER(SEARCH("MEZCAL",C815)),"Tequila/Mezcal",
 ISNUMBER(SEARCH("RUM",C815)),"Rum",
 ISNUMBER(SEARCH("BRAND",C815)),"Brandy",
 ISNUMBER(SEARCH("COGNAC",C815)),"Brandy",
 ISNUMBER(SEARCH("LIQUEUR",C815)),"Liqueurs",
 ISNUMBER(SEARCH("CORDIAL",C815)),"Liqueurs",
 ISNUMBER(SEARCH("SCHNAPP",C815)),"Liqueurs",
 ISNUMBER(SEARCH("GIN",C815)),"Gin",
 TRUE,"Other")</f>
        <v>Other</v>
      </c>
      <c r="E815" s="5">
        <v>9325</v>
      </c>
      <c r="F815" s="5">
        <v>104644.30000000003</v>
      </c>
      <c r="G815" s="5">
        <v>12750.899999999998</v>
      </c>
      <c r="H815" s="5">
        <v>203</v>
      </c>
    </row>
    <row r="816" spans="1:8">
      <c r="A816" s="5">
        <v>2024</v>
      </c>
      <c r="B816" s="6">
        <v>45444</v>
      </c>
      <c r="C816" s="5" t="s">
        <v>14</v>
      </c>
      <c r="D816" s="3" t="str" cm="1">
        <f t="array" ref="D816">_xlfn.IFS(
 ISNUMBER(SEARCH("WHISK",C816)),"Whiskey",
 ISNUMBER(SEARCH("BOURBON",C816)),"Whiskey",
 ISNUMBER(SEARCH("SCOTCH",C816)),"Whiskey",
 ISNUMBER(SEARCH("RYE",C816)),"Whiskey",
 ISNUMBER(SEARCH("VODKA",C816)),"Vodka",
 ISNUMBER(SEARCH("TEQUILA",C816)),"Tequila/Mezcal",
 ISNUMBER(SEARCH("MEZCAL",C816)),"Tequila/Mezcal",
 ISNUMBER(SEARCH("RUM",C816)),"Rum",
 ISNUMBER(SEARCH("BRAND",C816)),"Brandy",
 ISNUMBER(SEARCH("COGNAC",C816)),"Brandy",
 ISNUMBER(SEARCH("LIQUEUR",C816)),"Liqueurs",
 ISNUMBER(SEARCH("CORDIAL",C816)),"Liqueurs",
 ISNUMBER(SEARCH("SCHNAPP",C816)),"Liqueurs",
 ISNUMBER(SEARCH("GIN",C816)),"Gin",
 TRUE,"Other")</f>
        <v>Gin</v>
      </c>
      <c r="E816" s="5">
        <v>194</v>
      </c>
      <c r="F816" s="5">
        <v>1651.3899999999999</v>
      </c>
      <c r="G816" s="5">
        <v>193.25</v>
      </c>
      <c r="H816" s="5">
        <v>36</v>
      </c>
    </row>
    <row r="817" spans="1:8">
      <c r="A817" s="5">
        <v>2024</v>
      </c>
      <c r="B817" s="6">
        <v>45474</v>
      </c>
      <c r="C817" s="5" t="s">
        <v>15</v>
      </c>
      <c r="D817" s="3" t="str" cm="1">
        <f t="array" ref="D817">_xlfn.IFS(
 ISNUMBER(SEARCH("WHISK",C817)),"Whiskey",
 ISNUMBER(SEARCH("BOURBON",C817)),"Whiskey",
 ISNUMBER(SEARCH("SCOTCH",C817)),"Whiskey",
 ISNUMBER(SEARCH("RYE",C817)),"Whiskey",
 ISNUMBER(SEARCH("VODKA",C817)),"Vodka",
 ISNUMBER(SEARCH("TEQUILA",C817)),"Tequila/Mezcal",
 ISNUMBER(SEARCH("MEZCAL",C817)),"Tequila/Mezcal",
 ISNUMBER(SEARCH("RUM",C817)),"Rum",
 ISNUMBER(SEARCH("BRAND",C817)),"Brandy",
 ISNUMBER(SEARCH("COGNAC",C817)),"Brandy",
 ISNUMBER(SEARCH("LIQUEUR",C817)),"Liqueurs",
 ISNUMBER(SEARCH("CORDIAL",C817)),"Liqueurs",
 ISNUMBER(SEARCH("SCHNAPP",C817)),"Liqueurs",
 ISNUMBER(SEARCH("GIN",C817)),"Gin",
 TRUE,"Other")</f>
        <v>Vodka</v>
      </c>
      <c r="E817" s="5">
        <v>569193</v>
      </c>
      <c r="F817" s="5">
        <v>5844933.8800001228</v>
      </c>
      <c r="G817" s="5">
        <v>487273.69999997574</v>
      </c>
      <c r="H817" s="5">
        <v>34969</v>
      </c>
    </row>
    <row r="818" spans="1:8">
      <c r="A818" s="5">
        <v>2024</v>
      </c>
      <c r="B818" s="6">
        <v>45474</v>
      </c>
      <c r="C818" s="5" t="s">
        <v>16</v>
      </c>
      <c r="D818" s="3" t="str" cm="1">
        <f t="array" ref="D818">_xlfn.IFS(
 ISNUMBER(SEARCH("WHISK",C818)),"Whiskey",
 ISNUMBER(SEARCH("BOURBON",C818)),"Whiskey",
 ISNUMBER(SEARCH("SCOTCH",C818)),"Whiskey",
 ISNUMBER(SEARCH("RYE",C818)),"Whiskey",
 ISNUMBER(SEARCH("VODKA",C818)),"Vodka",
 ISNUMBER(SEARCH("TEQUILA",C818)),"Tequila/Mezcal",
 ISNUMBER(SEARCH("MEZCAL",C818)),"Tequila/Mezcal",
 ISNUMBER(SEARCH("RUM",C818)),"Rum",
 ISNUMBER(SEARCH("BRAND",C818)),"Brandy",
 ISNUMBER(SEARCH("COGNAC",C818)),"Brandy",
 ISNUMBER(SEARCH("LIQUEUR",C818)),"Liqueurs",
 ISNUMBER(SEARCH("CORDIAL",C818)),"Liqueurs",
 ISNUMBER(SEARCH("SCHNAPP",C818)),"Liqueurs",
 ISNUMBER(SEARCH("GIN",C818)),"Gin",
 TRUE,"Other")</f>
        <v>Whiskey</v>
      </c>
      <c r="E818" s="5">
        <v>67249</v>
      </c>
      <c r="F818" s="5">
        <v>880537.41999998526</v>
      </c>
      <c r="G818" s="5">
        <v>54958.960000000297</v>
      </c>
      <c r="H818" s="5">
        <v>7319</v>
      </c>
    </row>
    <row r="819" spans="1:8">
      <c r="A819" s="5">
        <v>2024</v>
      </c>
      <c r="B819" s="6">
        <v>45474</v>
      </c>
      <c r="C819" s="5" t="s">
        <v>18</v>
      </c>
      <c r="D819" s="3" t="str" cm="1">
        <f t="array" ref="D819">_xlfn.IFS(
 ISNUMBER(SEARCH("WHISK",C819)),"Whiskey",
 ISNUMBER(SEARCH("BOURBON",C819)),"Whiskey",
 ISNUMBER(SEARCH("SCOTCH",C819)),"Whiskey",
 ISNUMBER(SEARCH("RYE",C819)),"Whiskey",
 ISNUMBER(SEARCH("VODKA",C819)),"Vodka",
 ISNUMBER(SEARCH("TEQUILA",C819)),"Tequila/Mezcal",
 ISNUMBER(SEARCH("MEZCAL",C819)),"Tequila/Mezcal",
 ISNUMBER(SEARCH("RUM",C819)),"Rum",
 ISNUMBER(SEARCH("BRAND",C819)),"Brandy",
 ISNUMBER(SEARCH("COGNAC",C819)),"Brandy",
 ISNUMBER(SEARCH("LIQUEUR",C819)),"Liqueurs",
 ISNUMBER(SEARCH("CORDIAL",C819)),"Liqueurs",
 ISNUMBER(SEARCH("SCHNAPP",C819)),"Liqueurs",
 ISNUMBER(SEARCH("GIN",C819)),"Gin",
 TRUE,"Other")</f>
        <v>Whiskey</v>
      </c>
      <c r="E819" s="5">
        <v>276556</v>
      </c>
      <c r="F819" s="5">
        <v>4855933.740000031</v>
      </c>
      <c r="G819" s="5">
        <v>267796.52999999531</v>
      </c>
      <c r="H819" s="5">
        <v>21418</v>
      </c>
    </row>
    <row r="820" spans="1:8">
      <c r="A820" s="5">
        <v>2024</v>
      </c>
      <c r="B820" s="6">
        <v>45474</v>
      </c>
      <c r="C820" s="5" t="s">
        <v>22</v>
      </c>
      <c r="D820" s="3" t="str" cm="1">
        <f t="array" ref="D820">_xlfn.IFS(
 ISNUMBER(SEARCH("WHISK",C820)),"Whiskey",
 ISNUMBER(SEARCH("BOURBON",C820)),"Whiskey",
 ISNUMBER(SEARCH("SCOTCH",C820)),"Whiskey",
 ISNUMBER(SEARCH("RYE",C820)),"Whiskey",
 ISNUMBER(SEARCH("VODKA",C820)),"Vodka",
 ISNUMBER(SEARCH("TEQUILA",C820)),"Tequila/Mezcal",
 ISNUMBER(SEARCH("MEZCAL",C820)),"Tequila/Mezcal",
 ISNUMBER(SEARCH("RUM",C820)),"Rum",
 ISNUMBER(SEARCH("BRAND",C820)),"Brandy",
 ISNUMBER(SEARCH("COGNAC",C820)),"Brandy",
 ISNUMBER(SEARCH("LIQUEUR",C820)),"Liqueurs",
 ISNUMBER(SEARCH("CORDIAL",C820)),"Liqueurs",
 ISNUMBER(SEARCH("SCHNAPP",C820)),"Liqueurs",
 ISNUMBER(SEARCH("GIN",C820)),"Gin",
 TRUE,"Other")</f>
        <v>Liqueurs</v>
      </c>
      <c r="E820" s="5">
        <v>21256</v>
      </c>
      <c r="F820" s="5">
        <v>424284.90999999596</v>
      </c>
      <c r="G820" s="5">
        <v>17925.139999999847</v>
      </c>
      <c r="H820" s="5">
        <v>3287</v>
      </c>
    </row>
    <row r="821" spans="1:8">
      <c r="A821" s="5">
        <v>2024</v>
      </c>
      <c r="B821" s="6">
        <v>45474</v>
      </c>
      <c r="C821" s="5" t="s">
        <v>31</v>
      </c>
      <c r="D821" s="3" t="str" cm="1">
        <f t="array" ref="D821">_xlfn.IFS(
 ISNUMBER(SEARCH("WHISK",C821)),"Whiskey",
 ISNUMBER(SEARCH("BOURBON",C821)),"Whiskey",
 ISNUMBER(SEARCH("SCOTCH",C821)),"Whiskey",
 ISNUMBER(SEARCH("RYE",C821)),"Whiskey",
 ISNUMBER(SEARCH("VODKA",C821)),"Vodka",
 ISNUMBER(SEARCH("TEQUILA",C821)),"Tequila/Mezcal",
 ISNUMBER(SEARCH("MEZCAL",C821)),"Tequila/Mezcal",
 ISNUMBER(SEARCH("RUM",C821)),"Rum",
 ISNUMBER(SEARCH("BRAND",C821)),"Brandy",
 ISNUMBER(SEARCH("COGNAC",C821)),"Brandy",
 ISNUMBER(SEARCH("LIQUEUR",C821)),"Liqueurs",
 ISNUMBER(SEARCH("CORDIAL",C821)),"Liqueurs",
 ISNUMBER(SEARCH("SCHNAPP",C821)),"Liqueurs",
 ISNUMBER(SEARCH("GIN",C821)),"Gin",
 TRUE,"Other")</f>
        <v>Liqueurs</v>
      </c>
      <c r="E821" s="5">
        <v>29265</v>
      </c>
      <c r="F821" s="5">
        <v>526155.12000000151</v>
      </c>
      <c r="G821" s="5">
        <v>26094.39999999978</v>
      </c>
      <c r="H821" s="5">
        <v>2905</v>
      </c>
    </row>
    <row r="822" spans="1:8">
      <c r="A822" s="5">
        <v>2024</v>
      </c>
      <c r="B822" s="6">
        <v>45474</v>
      </c>
      <c r="C822" s="5" t="s">
        <v>32</v>
      </c>
      <c r="D822" s="3" t="str" cm="1">
        <f t="array" ref="D822">_xlfn.IFS(
 ISNUMBER(SEARCH("WHISK",C822)),"Whiskey",
 ISNUMBER(SEARCH("BOURBON",C822)),"Whiskey",
 ISNUMBER(SEARCH("SCOTCH",C822)),"Whiskey",
 ISNUMBER(SEARCH("RYE",C822)),"Whiskey",
 ISNUMBER(SEARCH("VODKA",C822)),"Vodka",
 ISNUMBER(SEARCH("TEQUILA",C822)),"Tequila/Mezcal",
 ISNUMBER(SEARCH("MEZCAL",C822)),"Tequila/Mezcal",
 ISNUMBER(SEARCH("RUM",C822)),"Rum",
 ISNUMBER(SEARCH("BRAND",C822)),"Brandy",
 ISNUMBER(SEARCH("COGNAC",C822)),"Brandy",
 ISNUMBER(SEARCH("LIQUEUR",C822)),"Liqueurs",
 ISNUMBER(SEARCH("CORDIAL",C822)),"Liqueurs",
 ISNUMBER(SEARCH("SCHNAPP",C822)),"Liqueurs",
 ISNUMBER(SEARCH("GIN",C822)),"Gin",
 TRUE,"Other")</f>
        <v>Vodka</v>
      </c>
      <c r="E822" s="5">
        <v>61030</v>
      </c>
      <c r="F822" s="5">
        <v>996559.95999997901</v>
      </c>
      <c r="G822" s="5">
        <v>63982.11000000035</v>
      </c>
      <c r="H822" s="5">
        <v>4963</v>
      </c>
    </row>
    <row r="823" spans="1:8">
      <c r="A823" s="5">
        <v>2024</v>
      </c>
      <c r="B823" s="6">
        <v>45474</v>
      </c>
      <c r="C823" s="5" t="s">
        <v>42</v>
      </c>
      <c r="D823" s="3" t="str" cm="1">
        <f t="array" ref="D823">_xlfn.IFS(
 ISNUMBER(SEARCH("WHISK",C823)),"Whiskey",
 ISNUMBER(SEARCH("BOURBON",C823)),"Whiskey",
 ISNUMBER(SEARCH("SCOTCH",C823)),"Whiskey",
 ISNUMBER(SEARCH("RYE",C823)),"Whiskey",
 ISNUMBER(SEARCH("VODKA",C823)),"Vodka",
 ISNUMBER(SEARCH("TEQUILA",C823)),"Tequila/Mezcal",
 ISNUMBER(SEARCH("MEZCAL",C823)),"Tequila/Mezcal",
 ISNUMBER(SEARCH("RUM",C823)),"Rum",
 ISNUMBER(SEARCH("BRAND",C823)),"Brandy",
 ISNUMBER(SEARCH("COGNAC",C823)),"Brandy",
 ISNUMBER(SEARCH("LIQUEUR",C823)),"Liqueurs",
 ISNUMBER(SEARCH("CORDIAL",C823)),"Liqueurs",
 ISNUMBER(SEARCH("SCHNAPP",C823)),"Liqueurs",
 ISNUMBER(SEARCH("GIN",C823)),"Gin",
 TRUE,"Other")</f>
        <v>Rum</v>
      </c>
      <c r="E823" s="5">
        <v>112183</v>
      </c>
      <c r="F823" s="5">
        <v>1802945.689999897</v>
      </c>
      <c r="G823" s="5">
        <v>109557.95000000074</v>
      </c>
      <c r="H823" s="5">
        <v>8176</v>
      </c>
    </row>
    <row r="824" spans="1:8">
      <c r="A824" s="5">
        <v>2024</v>
      </c>
      <c r="B824" s="6">
        <v>45474</v>
      </c>
      <c r="C824" s="5" t="s">
        <v>43</v>
      </c>
      <c r="D824" s="3" t="str" cm="1">
        <f t="array" ref="D824">_xlfn.IFS(
 ISNUMBER(SEARCH("WHISK",C824)),"Whiskey",
 ISNUMBER(SEARCH("BOURBON",C824)),"Whiskey",
 ISNUMBER(SEARCH("SCOTCH",C824)),"Whiskey",
 ISNUMBER(SEARCH("RYE",C824)),"Whiskey",
 ISNUMBER(SEARCH("VODKA",C824)),"Vodka",
 ISNUMBER(SEARCH("TEQUILA",C824)),"Tequila/Mezcal",
 ISNUMBER(SEARCH("MEZCAL",C824)),"Tequila/Mezcal",
 ISNUMBER(SEARCH("RUM",C824)),"Rum",
 ISNUMBER(SEARCH("BRAND",C824)),"Brandy",
 ISNUMBER(SEARCH("COGNAC",C824)),"Brandy",
 ISNUMBER(SEARCH("LIQUEUR",C824)),"Liqueurs",
 ISNUMBER(SEARCH("CORDIAL",C824)),"Liqueurs",
 ISNUMBER(SEARCH("SCHNAPP",C824)),"Liqueurs",
 ISNUMBER(SEARCH("GIN",C824)),"Gin",
 TRUE,"Other")</f>
        <v>Whiskey</v>
      </c>
      <c r="E824" s="5">
        <v>137078</v>
      </c>
      <c r="F824" s="5">
        <v>3178520.6800000407</v>
      </c>
      <c r="G824" s="5">
        <v>111245.78000000169</v>
      </c>
      <c r="H824" s="5">
        <v>17149</v>
      </c>
    </row>
    <row r="825" spans="1:8">
      <c r="A825" s="5">
        <v>2024</v>
      </c>
      <c r="B825" s="6">
        <v>45474</v>
      </c>
      <c r="C825" s="5" t="s">
        <v>48</v>
      </c>
      <c r="D825" s="3" t="str" cm="1">
        <f t="array" ref="D825">_xlfn.IFS(
 ISNUMBER(SEARCH("WHISK",C825)),"Whiskey",
 ISNUMBER(SEARCH("BOURBON",C825)),"Whiskey",
 ISNUMBER(SEARCH("SCOTCH",C825)),"Whiskey",
 ISNUMBER(SEARCH("RYE",C825)),"Whiskey",
 ISNUMBER(SEARCH("VODKA",C825)),"Vodka",
 ISNUMBER(SEARCH("TEQUILA",C825)),"Tequila/Mezcal",
 ISNUMBER(SEARCH("MEZCAL",C825)),"Tequila/Mezcal",
 ISNUMBER(SEARCH("RUM",C825)),"Rum",
 ISNUMBER(SEARCH("BRAND",C825)),"Brandy",
 ISNUMBER(SEARCH("COGNAC",C825)),"Brandy",
 ISNUMBER(SEARCH("LIQUEUR",C825)),"Liqueurs",
 ISNUMBER(SEARCH("CORDIAL",C825)),"Liqueurs",
 ISNUMBER(SEARCH("SCHNAPP",C825)),"Liqueurs",
 ISNUMBER(SEARCH("GIN",C825)),"Gin",
 TRUE,"Other")</f>
        <v>Whiskey</v>
      </c>
      <c r="E825" s="5">
        <v>389301</v>
      </c>
      <c r="F825" s="5">
        <v>2214370.4999999278</v>
      </c>
      <c r="G825" s="5">
        <v>84301.680000004621</v>
      </c>
      <c r="H825" s="5">
        <v>14037</v>
      </c>
    </row>
    <row r="826" spans="1:8">
      <c r="A826" s="5">
        <v>2024</v>
      </c>
      <c r="B826" s="6">
        <v>45474</v>
      </c>
      <c r="C826" s="5" t="s">
        <v>49</v>
      </c>
      <c r="D826" s="3" t="str" cm="1">
        <f t="array" ref="D826">_xlfn.IFS(
 ISNUMBER(SEARCH("WHISK",C826)),"Whiskey",
 ISNUMBER(SEARCH("BOURBON",C826)),"Whiskey",
 ISNUMBER(SEARCH("SCOTCH",C826)),"Whiskey",
 ISNUMBER(SEARCH("RYE",C826)),"Whiskey",
 ISNUMBER(SEARCH("VODKA",C826)),"Vodka",
 ISNUMBER(SEARCH("TEQUILA",C826)),"Tequila/Mezcal",
 ISNUMBER(SEARCH("MEZCAL",C826)),"Tequila/Mezcal",
 ISNUMBER(SEARCH("RUM",C826)),"Rum",
 ISNUMBER(SEARCH("BRAND",C826)),"Brandy",
 ISNUMBER(SEARCH("COGNAC",C826)),"Brandy",
 ISNUMBER(SEARCH("LIQUEUR",C826)),"Liqueurs",
 ISNUMBER(SEARCH("CORDIAL",C826)),"Liqueurs",
 ISNUMBER(SEARCH("SCHNAPP",C826)),"Liqueurs",
 ISNUMBER(SEARCH("GIN",C826)),"Gin",
 TRUE,"Other")</f>
        <v>Rum</v>
      </c>
      <c r="E826" s="5">
        <v>41373</v>
      </c>
      <c r="F826" s="5">
        <v>514645.24999999726</v>
      </c>
      <c r="G826" s="5">
        <v>42968.900000000009</v>
      </c>
      <c r="H826" s="5">
        <v>3793</v>
      </c>
    </row>
    <row r="827" spans="1:8">
      <c r="A827" s="5">
        <v>2024</v>
      </c>
      <c r="B827" s="6">
        <v>45474</v>
      </c>
      <c r="C827" s="5" t="s">
        <v>50</v>
      </c>
      <c r="D827" s="3" t="str" cm="1">
        <f t="array" ref="D827">_xlfn.IFS(
 ISNUMBER(SEARCH("WHISK",C827)),"Whiskey",
 ISNUMBER(SEARCH("BOURBON",C827)),"Whiskey",
 ISNUMBER(SEARCH("SCOTCH",C827)),"Whiskey",
 ISNUMBER(SEARCH("RYE",C827)),"Whiskey",
 ISNUMBER(SEARCH("VODKA",C827)),"Vodka",
 ISNUMBER(SEARCH("TEQUILA",C827)),"Tequila/Mezcal",
 ISNUMBER(SEARCH("MEZCAL",C827)),"Tequila/Mezcal",
 ISNUMBER(SEARCH("RUM",C827)),"Rum",
 ISNUMBER(SEARCH("BRAND",C827)),"Brandy",
 ISNUMBER(SEARCH("COGNAC",C827)),"Brandy",
 ISNUMBER(SEARCH("LIQUEUR",C827)),"Liqueurs",
 ISNUMBER(SEARCH("CORDIAL",C827)),"Liqueurs",
 ISNUMBER(SEARCH("SCHNAPP",C827)),"Liqueurs",
 ISNUMBER(SEARCH("GIN",C827)),"Gin",
 TRUE,"Other")</f>
        <v>Tequila/Mezcal</v>
      </c>
      <c r="E827" s="5">
        <v>104577</v>
      </c>
      <c r="F827" s="5">
        <v>2921371.2899999698</v>
      </c>
      <c r="G827" s="5">
        <v>70150.500000000829</v>
      </c>
      <c r="H827" s="5">
        <v>12147</v>
      </c>
    </row>
    <row r="828" spans="1:8">
      <c r="A828" s="5">
        <v>2024</v>
      </c>
      <c r="B828" s="6">
        <v>45474</v>
      </c>
      <c r="C828" s="5" t="s">
        <v>7</v>
      </c>
      <c r="D828" s="3" t="str" cm="1">
        <f t="array" ref="D828">_xlfn.IFS(
 ISNUMBER(SEARCH("WHISK",C828)),"Whiskey",
 ISNUMBER(SEARCH("BOURBON",C828)),"Whiskey",
 ISNUMBER(SEARCH("SCOTCH",C828)),"Whiskey",
 ISNUMBER(SEARCH("RYE",C828)),"Whiskey",
 ISNUMBER(SEARCH("VODKA",C828)),"Vodka",
 ISNUMBER(SEARCH("TEQUILA",C828)),"Tequila/Mezcal",
 ISNUMBER(SEARCH("MEZCAL",C828)),"Tequila/Mezcal",
 ISNUMBER(SEARCH("RUM",C828)),"Rum",
 ISNUMBER(SEARCH("BRAND",C828)),"Brandy",
 ISNUMBER(SEARCH("COGNAC",C828)),"Brandy",
 ISNUMBER(SEARCH("LIQUEUR",C828)),"Liqueurs",
 ISNUMBER(SEARCH("CORDIAL",C828)),"Liqueurs",
 ISNUMBER(SEARCH("SCHNAPP",C828)),"Liqueurs",
 ISNUMBER(SEARCH("GIN",C828)),"Gin",
 TRUE,"Other")</f>
        <v>Rum</v>
      </c>
      <c r="E828" s="5">
        <v>4129</v>
      </c>
      <c r="F828" s="5">
        <v>88723.750000000087</v>
      </c>
      <c r="G828" s="5">
        <v>3434.5</v>
      </c>
      <c r="H828" s="5">
        <v>684</v>
      </c>
    </row>
    <row r="829" spans="1:8">
      <c r="A829" s="5">
        <v>2024</v>
      </c>
      <c r="B829" s="6">
        <v>45474</v>
      </c>
      <c r="C829" s="5" t="s">
        <v>59</v>
      </c>
      <c r="D829" s="3" t="str" cm="1">
        <f t="array" ref="D829">_xlfn.IFS(
 ISNUMBER(SEARCH("WHISK",C829)),"Whiskey",
 ISNUMBER(SEARCH("BOURBON",C829)),"Whiskey",
 ISNUMBER(SEARCH("SCOTCH",C829)),"Whiskey",
 ISNUMBER(SEARCH("RYE",C829)),"Whiskey",
 ISNUMBER(SEARCH("VODKA",C829)),"Vodka",
 ISNUMBER(SEARCH("TEQUILA",C829)),"Tequila/Mezcal",
 ISNUMBER(SEARCH("MEZCAL",C829)),"Tequila/Mezcal",
 ISNUMBER(SEARCH("RUM",C829)),"Rum",
 ISNUMBER(SEARCH("BRAND",C829)),"Brandy",
 ISNUMBER(SEARCH("COGNAC",C829)),"Brandy",
 ISNUMBER(SEARCH("LIQUEUR",C829)),"Liqueurs",
 ISNUMBER(SEARCH("CORDIAL",C829)),"Liqueurs",
 ISNUMBER(SEARCH("SCHNAPP",C829)),"Liqueurs",
 ISNUMBER(SEARCH("GIN",C829)),"Gin",
 TRUE,"Other")</f>
        <v>Liqueurs</v>
      </c>
      <c r="E829" s="5">
        <v>34900</v>
      </c>
      <c r="F829" s="5">
        <v>385349.74000000965</v>
      </c>
      <c r="G829" s="5">
        <v>13968.889999999594</v>
      </c>
      <c r="H829" s="5">
        <v>5277</v>
      </c>
    </row>
    <row r="830" spans="1:8">
      <c r="A830" s="5">
        <v>2024</v>
      </c>
      <c r="B830" s="6">
        <v>45474</v>
      </c>
      <c r="C830" s="5" t="s">
        <v>12</v>
      </c>
      <c r="D830" s="3" t="str" cm="1">
        <f t="array" ref="D830">_xlfn.IFS(
 ISNUMBER(SEARCH("WHISK",C830)),"Whiskey",
 ISNUMBER(SEARCH("BOURBON",C830)),"Whiskey",
 ISNUMBER(SEARCH("SCOTCH",C830)),"Whiskey",
 ISNUMBER(SEARCH("RYE",C830)),"Whiskey",
 ISNUMBER(SEARCH("VODKA",C830)),"Vodka",
 ISNUMBER(SEARCH("TEQUILA",C830)),"Tequila/Mezcal",
 ISNUMBER(SEARCH("MEZCAL",C830)),"Tequila/Mezcal",
 ISNUMBER(SEARCH("RUM",C830)),"Rum",
 ISNUMBER(SEARCH("BRAND",C830)),"Brandy",
 ISNUMBER(SEARCH("COGNAC",C830)),"Brandy",
 ISNUMBER(SEARCH("LIQUEUR",C830)),"Liqueurs",
 ISNUMBER(SEARCH("CORDIAL",C830)),"Liqueurs",
 ISNUMBER(SEARCH("SCHNAPP",C830)),"Liqueurs",
 ISNUMBER(SEARCH("GIN",C830)),"Gin",
 TRUE,"Other")</f>
        <v>Vodka</v>
      </c>
      <c r="E830" s="5">
        <v>93243</v>
      </c>
      <c r="F830" s="5">
        <v>1049677.7000000475</v>
      </c>
      <c r="G830" s="5">
        <v>64006.260000000308</v>
      </c>
      <c r="H830" s="5">
        <v>11179</v>
      </c>
    </row>
    <row r="831" spans="1:8">
      <c r="A831" s="5">
        <v>2024</v>
      </c>
      <c r="B831" s="6">
        <v>45474</v>
      </c>
      <c r="C831" s="5" t="s">
        <v>13</v>
      </c>
      <c r="D831" s="3" t="str" cm="1">
        <f t="array" ref="D831">_xlfn.IFS(
 ISNUMBER(SEARCH("WHISK",C831)),"Whiskey",
 ISNUMBER(SEARCH("BOURBON",C831)),"Whiskey",
 ISNUMBER(SEARCH("SCOTCH",C831)),"Whiskey",
 ISNUMBER(SEARCH("RYE",C831)),"Whiskey",
 ISNUMBER(SEARCH("VODKA",C831)),"Vodka",
 ISNUMBER(SEARCH("TEQUILA",C831)),"Tequila/Mezcal",
 ISNUMBER(SEARCH("MEZCAL",C831)),"Tequila/Mezcal",
 ISNUMBER(SEARCH("RUM",C831)),"Rum",
 ISNUMBER(SEARCH("BRAND",C831)),"Brandy",
 ISNUMBER(SEARCH("COGNAC",C831)),"Brandy",
 ISNUMBER(SEARCH("LIQUEUR",C831)),"Liqueurs",
 ISNUMBER(SEARCH("CORDIAL",C831)),"Liqueurs",
 ISNUMBER(SEARCH("SCHNAPP",C831)),"Liqueurs",
 ISNUMBER(SEARCH("GIN",C831)),"Gin",
 TRUE,"Other")</f>
        <v>Liqueurs</v>
      </c>
      <c r="E831" s="5">
        <v>89862</v>
      </c>
      <c r="F831" s="5">
        <v>683357.21000003873</v>
      </c>
      <c r="G831" s="5">
        <v>37392.97999999937</v>
      </c>
      <c r="H831" s="5">
        <v>7754</v>
      </c>
    </row>
    <row r="832" spans="1:8">
      <c r="A832" s="5">
        <v>2024</v>
      </c>
      <c r="B832" s="6">
        <v>45474</v>
      </c>
      <c r="C832" s="5" t="s">
        <v>19</v>
      </c>
      <c r="D832" s="3" t="str" cm="1">
        <f t="array" ref="D832">_xlfn.IFS(
 ISNUMBER(SEARCH("WHISK",C832)),"Whiskey",
 ISNUMBER(SEARCH("BOURBON",C832)),"Whiskey",
 ISNUMBER(SEARCH("SCOTCH",C832)),"Whiskey",
 ISNUMBER(SEARCH("RYE",C832)),"Whiskey",
 ISNUMBER(SEARCH("VODKA",C832)),"Vodka",
 ISNUMBER(SEARCH("TEQUILA",C832)),"Tequila/Mezcal",
 ISNUMBER(SEARCH("MEZCAL",C832)),"Tequila/Mezcal",
 ISNUMBER(SEARCH("RUM",C832)),"Rum",
 ISNUMBER(SEARCH("BRAND",C832)),"Brandy",
 ISNUMBER(SEARCH("COGNAC",C832)),"Brandy",
 ISNUMBER(SEARCH("LIQUEUR",C832)),"Liqueurs",
 ISNUMBER(SEARCH("CORDIAL",C832)),"Liqueurs",
 ISNUMBER(SEARCH("SCHNAPP",C832)),"Liqueurs",
 ISNUMBER(SEARCH("GIN",C832)),"Gin",
 TRUE,"Other")</f>
        <v>Other</v>
      </c>
      <c r="E832" s="5">
        <v>73694</v>
      </c>
      <c r="F832" s="5">
        <v>860779.80000000226</v>
      </c>
      <c r="G832" s="5">
        <v>85195.090000000069</v>
      </c>
      <c r="H832" s="5">
        <v>8285</v>
      </c>
    </row>
    <row r="833" spans="1:8">
      <c r="A833" s="5">
        <v>2024</v>
      </c>
      <c r="B833" s="6">
        <v>45474</v>
      </c>
      <c r="C833" s="5" t="s">
        <v>60</v>
      </c>
      <c r="D833" s="3" t="str" cm="1">
        <f t="array" ref="D833">_xlfn.IFS(
 ISNUMBER(SEARCH("WHISK",C833)),"Whiskey",
 ISNUMBER(SEARCH("BOURBON",C833)),"Whiskey",
 ISNUMBER(SEARCH("SCOTCH",C833)),"Whiskey",
 ISNUMBER(SEARCH("RYE",C833)),"Whiskey",
 ISNUMBER(SEARCH("VODKA",C833)),"Vodka",
 ISNUMBER(SEARCH("TEQUILA",C833)),"Tequila/Mezcal",
 ISNUMBER(SEARCH("MEZCAL",C833)),"Tequila/Mezcal",
 ISNUMBER(SEARCH("RUM",C833)),"Rum",
 ISNUMBER(SEARCH("BRAND",C833)),"Brandy",
 ISNUMBER(SEARCH("COGNAC",C833)),"Brandy",
 ISNUMBER(SEARCH("LIQUEUR",C833)),"Liqueurs",
 ISNUMBER(SEARCH("CORDIAL",C833)),"Liqueurs",
 ISNUMBER(SEARCH("SCHNAPP",C833)),"Liqueurs",
 ISNUMBER(SEARCH("GIN",C833)),"Gin",
 TRUE,"Other")</f>
        <v>Liqueurs</v>
      </c>
      <c r="E833" s="5">
        <v>42434</v>
      </c>
      <c r="F833" s="5">
        <v>999472.89000000455</v>
      </c>
      <c r="G833" s="5">
        <v>30980.139999999941</v>
      </c>
      <c r="H833" s="5">
        <v>5081</v>
      </c>
    </row>
    <row r="834" spans="1:8">
      <c r="A834" s="5">
        <v>2024</v>
      </c>
      <c r="B834" s="6">
        <v>45474</v>
      </c>
      <c r="C834" s="5" t="s">
        <v>29</v>
      </c>
      <c r="D834" s="3" t="str" cm="1">
        <f t="array" ref="D834">_xlfn.IFS(
 ISNUMBER(SEARCH("WHISK",C834)),"Whiskey",
 ISNUMBER(SEARCH("BOURBON",C834)),"Whiskey",
 ISNUMBER(SEARCH("SCOTCH",C834)),"Whiskey",
 ISNUMBER(SEARCH("RYE",C834)),"Whiskey",
 ISNUMBER(SEARCH("VODKA",C834)),"Vodka",
 ISNUMBER(SEARCH("TEQUILA",C834)),"Tequila/Mezcal",
 ISNUMBER(SEARCH("MEZCAL",C834)),"Tequila/Mezcal",
 ISNUMBER(SEARCH("RUM",C834)),"Rum",
 ISNUMBER(SEARCH("BRAND",C834)),"Brandy",
 ISNUMBER(SEARCH("COGNAC",C834)),"Brandy",
 ISNUMBER(SEARCH("LIQUEUR",C834)),"Liqueurs",
 ISNUMBER(SEARCH("CORDIAL",C834)),"Liqueurs",
 ISNUMBER(SEARCH("SCHNAPP",C834)),"Liqueurs",
 ISNUMBER(SEARCH("GIN",C834)),"Gin",
 TRUE,"Other")</f>
        <v>Gin</v>
      </c>
      <c r="E834" s="5">
        <v>18172</v>
      </c>
      <c r="F834" s="5">
        <v>460943.58999999927</v>
      </c>
      <c r="G834" s="5">
        <v>16920.370000000006</v>
      </c>
      <c r="H834" s="5">
        <v>2327</v>
      </c>
    </row>
    <row r="835" spans="1:8">
      <c r="A835" s="5">
        <v>2024</v>
      </c>
      <c r="B835" s="6">
        <v>45474</v>
      </c>
      <c r="C835" s="5" t="s">
        <v>30</v>
      </c>
      <c r="D835" s="3" t="str" cm="1">
        <f t="array" ref="D835">_xlfn.IFS(
 ISNUMBER(SEARCH("WHISK",C835)),"Whiskey",
 ISNUMBER(SEARCH("BOURBON",C835)),"Whiskey",
 ISNUMBER(SEARCH("SCOTCH",C835)),"Whiskey",
 ISNUMBER(SEARCH("RYE",C835)),"Whiskey",
 ISNUMBER(SEARCH("VODKA",C835)),"Vodka",
 ISNUMBER(SEARCH("TEQUILA",C835)),"Tequila/Mezcal",
 ISNUMBER(SEARCH("MEZCAL",C835)),"Tequila/Mezcal",
 ISNUMBER(SEARCH("RUM",C835)),"Rum",
 ISNUMBER(SEARCH("BRAND",C835)),"Brandy",
 ISNUMBER(SEARCH("COGNAC",C835)),"Brandy",
 ISNUMBER(SEARCH("LIQUEUR",C835)),"Liqueurs",
 ISNUMBER(SEARCH("CORDIAL",C835)),"Liqueurs",
 ISNUMBER(SEARCH("SCHNAPP",C835)),"Liqueurs",
 ISNUMBER(SEARCH("GIN",C835)),"Gin",
 TRUE,"Other")</f>
        <v>Vodka</v>
      </c>
      <c r="E835" s="5">
        <v>19273</v>
      </c>
      <c r="F835" s="5">
        <v>317706.71000000171</v>
      </c>
      <c r="G835" s="5">
        <v>15020.129999999992</v>
      </c>
      <c r="H835" s="5">
        <v>2487</v>
      </c>
    </row>
    <row r="836" spans="1:8">
      <c r="A836" s="5">
        <v>2024</v>
      </c>
      <c r="B836" s="6">
        <v>45474</v>
      </c>
      <c r="C836" s="5" t="s">
        <v>33</v>
      </c>
      <c r="D836" s="3" t="str" cm="1">
        <f t="array" ref="D836">_xlfn.IFS(
 ISNUMBER(SEARCH("WHISK",C836)),"Whiskey",
 ISNUMBER(SEARCH("BOURBON",C836)),"Whiskey",
 ISNUMBER(SEARCH("SCOTCH",C836)),"Whiskey",
 ISNUMBER(SEARCH("RYE",C836)),"Whiskey",
 ISNUMBER(SEARCH("VODKA",C836)),"Vodka",
 ISNUMBER(SEARCH("TEQUILA",C836)),"Tequila/Mezcal",
 ISNUMBER(SEARCH("MEZCAL",C836)),"Tequila/Mezcal",
 ISNUMBER(SEARCH("RUM",C836)),"Rum",
 ISNUMBER(SEARCH("BRAND",C836)),"Brandy",
 ISNUMBER(SEARCH("COGNAC",C836)),"Brandy",
 ISNUMBER(SEARCH("LIQUEUR",C836)),"Liqueurs",
 ISNUMBER(SEARCH("CORDIAL",C836)),"Liqueurs",
 ISNUMBER(SEARCH("SCHNAPP",C836)),"Liqueurs",
 ISNUMBER(SEARCH("GIN",C836)),"Gin",
 TRUE,"Other")</f>
        <v>Whiskey</v>
      </c>
      <c r="E836" s="5">
        <v>26793</v>
      </c>
      <c r="F836" s="5">
        <v>759477.74999999371</v>
      </c>
      <c r="G836" s="5">
        <v>22934.839999999978</v>
      </c>
      <c r="H836" s="5">
        <v>2565</v>
      </c>
    </row>
    <row r="837" spans="1:8">
      <c r="A837" s="5">
        <v>2024</v>
      </c>
      <c r="B837" s="6">
        <v>45474</v>
      </c>
      <c r="C837" s="5" t="s">
        <v>37</v>
      </c>
      <c r="D837" s="3" t="str" cm="1">
        <f t="array" ref="D837">_xlfn.IFS(
 ISNUMBER(SEARCH("WHISK",C837)),"Whiskey",
 ISNUMBER(SEARCH("BOURBON",C837)),"Whiskey",
 ISNUMBER(SEARCH("SCOTCH",C837)),"Whiskey",
 ISNUMBER(SEARCH("RYE",C837)),"Whiskey",
 ISNUMBER(SEARCH("VODKA",C837)),"Vodka",
 ISNUMBER(SEARCH("TEQUILA",C837)),"Tequila/Mezcal",
 ISNUMBER(SEARCH("MEZCAL",C837)),"Tequila/Mezcal",
 ISNUMBER(SEARCH("RUM",C837)),"Rum",
 ISNUMBER(SEARCH("BRAND",C837)),"Brandy",
 ISNUMBER(SEARCH("COGNAC",C837)),"Brandy",
 ISNUMBER(SEARCH("LIQUEUR",C837)),"Liqueurs",
 ISNUMBER(SEARCH("CORDIAL",C837)),"Liqueurs",
 ISNUMBER(SEARCH("SCHNAPP",C837)),"Liqueurs",
 ISNUMBER(SEARCH("GIN",C837)),"Gin",
 TRUE,"Other")</f>
        <v>Other</v>
      </c>
      <c r="E837" s="5">
        <v>17310</v>
      </c>
      <c r="F837" s="5">
        <v>288336.07000000298</v>
      </c>
      <c r="G837" s="5">
        <v>8805.5999999999694</v>
      </c>
      <c r="H837" s="5">
        <v>3569</v>
      </c>
    </row>
    <row r="838" spans="1:8">
      <c r="A838" s="5">
        <v>2024</v>
      </c>
      <c r="B838" s="6">
        <v>45474</v>
      </c>
      <c r="C838" s="5" t="s">
        <v>44</v>
      </c>
      <c r="D838" s="3" t="str" cm="1">
        <f t="array" ref="D838">_xlfn.IFS(
 ISNUMBER(SEARCH("WHISK",C838)),"Whiskey",
 ISNUMBER(SEARCH("BOURBON",C838)),"Whiskey",
 ISNUMBER(SEARCH("SCOTCH",C838)),"Whiskey",
 ISNUMBER(SEARCH("RYE",C838)),"Whiskey",
 ISNUMBER(SEARCH("VODKA",C838)),"Vodka",
 ISNUMBER(SEARCH("TEQUILA",C838)),"Tequila/Mezcal",
 ISNUMBER(SEARCH("MEZCAL",C838)),"Tequila/Mezcal",
 ISNUMBER(SEARCH("RUM",C838)),"Rum",
 ISNUMBER(SEARCH("BRAND",C838)),"Brandy",
 ISNUMBER(SEARCH("COGNAC",C838)),"Brandy",
 ISNUMBER(SEARCH("LIQUEUR",C838)),"Liqueurs",
 ISNUMBER(SEARCH("CORDIAL",C838)),"Liqueurs",
 ISNUMBER(SEARCH("SCHNAPP",C838)),"Liqueurs",
 ISNUMBER(SEARCH("GIN",C838)),"Gin",
 TRUE,"Other")</f>
        <v>Whiskey</v>
      </c>
      <c r="E838" s="5">
        <v>7648</v>
      </c>
      <c r="F838" s="5">
        <v>243560.23999999993</v>
      </c>
      <c r="G838" s="5">
        <v>5907.75</v>
      </c>
      <c r="H838" s="5">
        <v>1612</v>
      </c>
    </row>
    <row r="839" spans="1:8">
      <c r="A839" s="5">
        <v>2024</v>
      </c>
      <c r="B839" s="6">
        <v>45474</v>
      </c>
      <c r="C839" s="5" t="s">
        <v>46</v>
      </c>
      <c r="D839" s="3" t="str" cm="1">
        <f t="array" ref="D839">_xlfn.IFS(
 ISNUMBER(SEARCH("WHISK",C839)),"Whiskey",
 ISNUMBER(SEARCH("BOURBON",C839)),"Whiskey",
 ISNUMBER(SEARCH("SCOTCH",C839)),"Whiskey",
 ISNUMBER(SEARCH("RYE",C839)),"Whiskey",
 ISNUMBER(SEARCH("VODKA",C839)),"Vodka",
 ISNUMBER(SEARCH("TEQUILA",C839)),"Tequila/Mezcal",
 ISNUMBER(SEARCH("MEZCAL",C839)),"Tequila/Mezcal",
 ISNUMBER(SEARCH("RUM",C839)),"Rum",
 ISNUMBER(SEARCH("BRAND",C839)),"Brandy",
 ISNUMBER(SEARCH("COGNAC",C839)),"Brandy",
 ISNUMBER(SEARCH("LIQUEUR",C839)),"Liqueurs",
 ISNUMBER(SEARCH("CORDIAL",C839)),"Liqueurs",
 ISNUMBER(SEARCH("SCHNAPP",C839)),"Liqueurs",
 ISNUMBER(SEARCH("GIN",C839)),"Gin",
 TRUE,"Other")</f>
        <v>Whiskey</v>
      </c>
      <c r="E839" s="5">
        <v>68295</v>
      </c>
      <c r="F839" s="5">
        <v>1606709.0799999931</v>
      </c>
      <c r="G839" s="5">
        <v>50431.3299999999</v>
      </c>
      <c r="H839" s="5">
        <v>6654</v>
      </c>
    </row>
    <row r="840" spans="1:8">
      <c r="A840" s="5">
        <v>2024</v>
      </c>
      <c r="B840" s="6">
        <v>45474</v>
      </c>
      <c r="C840" s="5" t="s">
        <v>10</v>
      </c>
      <c r="D840" s="3" t="str" cm="1">
        <f t="array" ref="D840">_xlfn.IFS(
 ISNUMBER(SEARCH("WHISK",C840)),"Whiskey",
 ISNUMBER(SEARCH("BOURBON",C840)),"Whiskey",
 ISNUMBER(SEARCH("SCOTCH",C840)),"Whiskey",
 ISNUMBER(SEARCH("RYE",C840)),"Whiskey",
 ISNUMBER(SEARCH("VODKA",C840)),"Vodka",
 ISNUMBER(SEARCH("TEQUILA",C840)),"Tequila/Mezcal",
 ISNUMBER(SEARCH("MEZCAL",C840)),"Tequila/Mezcal",
 ISNUMBER(SEARCH("RUM",C840)),"Rum",
 ISNUMBER(SEARCH("BRAND",C840)),"Brandy",
 ISNUMBER(SEARCH("COGNAC",C840)),"Brandy",
 ISNUMBER(SEARCH("LIQUEUR",C840)),"Liqueurs",
 ISNUMBER(SEARCH("CORDIAL",C840)),"Liqueurs",
 ISNUMBER(SEARCH("SCHNAPP",C840)),"Liqueurs",
 ISNUMBER(SEARCH("GIN",C840)),"Gin",
 TRUE,"Other")</f>
        <v>Other</v>
      </c>
      <c r="E840" s="5">
        <v>9163</v>
      </c>
      <c r="F840" s="5">
        <v>213055.68000000052</v>
      </c>
      <c r="G840" s="5">
        <v>6695.34</v>
      </c>
      <c r="H840" s="5">
        <v>755</v>
      </c>
    </row>
    <row r="841" spans="1:8">
      <c r="A841" s="5">
        <v>2024</v>
      </c>
      <c r="B841" s="6">
        <v>45474</v>
      </c>
      <c r="C841" s="5" t="s">
        <v>25</v>
      </c>
      <c r="D841" s="3" t="str" cm="1">
        <f t="array" ref="D841">_xlfn.IFS(
 ISNUMBER(SEARCH("WHISK",C841)),"Whiskey",
 ISNUMBER(SEARCH("BOURBON",C841)),"Whiskey",
 ISNUMBER(SEARCH("SCOTCH",C841)),"Whiskey",
 ISNUMBER(SEARCH("RYE",C841)),"Whiskey",
 ISNUMBER(SEARCH("VODKA",C841)),"Vodka",
 ISNUMBER(SEARCH("TEQUILA",C841)),"Tequila/Mezcal",
 ISNUMBER(SEARCH("MEZCAL",C841)),"Tequila/Mezcal",
 ISNUMBER(SEARCH("RUM",C841)),"Rum",
 ISNUMBER(SEARCH("BRAND",C841)),"Brandy",
 ISNUMBER(SEARCH("COGNAC",C841)),"Brandy",
 ISNUMBER(SEARCH("LIQUEUR",C841)),"Liqueurs",
 ISNUMBER(SEARCH("CORDIAL",C841)),"Liqueurs",
 ISNUMBER(SEARCH("SCHNAPP",C841)),"Liqueurs",
 ISNUMBER(SEARCH("GIN",C841)),"Gin",
 TRUE,"Other")</f>
        <v>Rum</v>
      </c>
      <c r="E841" s="5">
        <v>6168</v>
      </c>
      <c r="F841" s="5">
        <v>86038.669999999911</v>
      </c>
      <c r="G841" s="5">
        <v>6558.4900000000052</v>
      </c>
      <c r="H841" s="5">
        <v>874</v>
      </c>
    </row>
    <row r="842" spans="1:8">
      <c r="A842" s="5">
        <v>2024</v>
      </c>
      <c r="B842" s="6">
        <v>45474</v>
      </c>
      <c r="C842" s="5" t="s">
        <v>45</v>
      </c>
      <c r="D842" s="3" t="str" cm="1">
        <f t="array" ref="D842">_xlfn.IFS(
 ISNUMBER(SEARCH("WHISK",C842)),"Whiskey",
 ISNUMBER(SEARCH("BOURBON",C842)),"Whiskey",
 ISNUMBER(SEARCH("SCOTCH",C842)),"Whiskey",
 ISNUMBER(SEARCH("RYE",C842)),"Whiskey",
 ISNUMBER(SEARCH("VODKA",C842)),"Vodka",
 ISNUMBER(SEARCH("TEQUILA",C842)),"Tequila/Mezcal",
 ISNUMBER(SEARCH("MEZCAL",C842)),"Tequila/Mezcal",
 ISNUMBER(SEARCH("RUM",C842)),"Rum",
 ISNUMBER(SEARCH("BRAND",C842)),"Brandy",
 ISNUMBER(SEARCH("COGNAC",C842)),"Brandy",
 ISNUMBER(SEARCH("LIQUEUR",C842)),"Liqueurs",
 ISNUMBER(SEARCH("CORDIAL",C842)),"Liqueurs",
 ISNUMBER(SEARCH("SCHNAPP",C842)),"Liqueurs",
 ISNUMBER(SEARCH("GIN",C842)),"Gin",
 TRUE,"Other")</f>
        <v>Other</v>
      </c>
      <c r="E842" s="5">
        <v>14701</v>
      </c>
      <c r="F842" s="5">
        <v>532510.54000000178</v>
      </c>
      <c r="G842" s="5">
        <v>10802.719999999983</v>
      </c>
      <c r="H842" s="5">
        <v>4166</v>
      </c>
    </row>
    <row r="843" spans="1:8">
      <c r="A843" s="5">
        <v>2024</v>
      </c>
      <c r="B843" s="6">
        <v>45474</v>
      </c>
      <c r="C843" s="5" t="s">
        <v>8</v>
      </c>
      <c r="D843" s="3" t="str" cm="1">
        <f t="array" ref="D843">_xlfn.IFS(
 ISNUMBER(SEARCH("WHISK",C843)),"Whiskey",
 ISNUMBER(SEARCH("BOURBON",C843)),"Whiskey",
 ISNUMBER(SEARCH("SCOTCH",C843)),"Whiskey",
 ISNUMBER(SEARCH("RYE",C843)),"Whiskey",
 ISNUMBER(SEARCH("VODKA",C843)),"Vodka",
 ISNUMBER(SEARCH("TEQUILA",C843)),"Tequila/Mezcal",
 ISNUMBER(SEARCH("MEZCAL",C843)),"Tequila/Mezcal",
 ISNUMBER(SEARCH("RUM",C843)),"Rum",
 ISNUMBER(SEARCH("BRAND",C843)),"Brandy",
 ISNUMBER(SEARCH("COGNAC",C843)),"Brandy",
 ISNUMBER(SEARCH("LIQUEUR",C843)),"Liqueurs",
 ISNUMBER(SEARCH("CORDIAL",C843)),"Liqueurs",
 ISNUMBER(SEARCH("SCHNAPP",C843)),"Liqueurs",
 ISNUMBER(SEARCH("GIN",C843)),"Gin",
 TRUE,"Other")</f>
        <v>Brandy</v>
      </c>
      <c r="E843" s="5">
        <v>57492</v>
      </c>
      <c r="F843" s="5">
        <v>363283.06000000093</v>
      </c>
      <c r="G843" s="5">
        <v>28090.909999999651</v>
      </c>
      <c r="H843" s="5">
        <v>4373</v>
      </c>
    </row>
    <row r="844" spans="1:8">
      <c r="A844" s="5">
        <v>2024</v>
      </c>
      <c r="B844" s="6">
        <v>45474</v>
      </c>
      <c r="C844" s="5" t="s">
        <v>11</v>
      </c>
      <c r="D844" s="3" t="str" cm="1">
        <f t="array" ref="D844">_xlfn.IFS(
 ISNUMBER(SEARCH("WHISK",C844)),"Whiskey",
 ISNUMBER(SEARCH("BOURBON",C844)),"Whiskey",
 ISNUMBER(SEARCH("SCOTCH",C844)),"Whiskey",
 ISNUMBER(SEARCH("RYE",C844)),"Whiskey",
 ISNUMBER(SEARCH("VODKA",C844)),"Vodka",
 ISNUMBER(SEARCH("TEQUILA",C844)),"Tequila/Mezcal",
 ISNUMBER(SEARCH("MEZCAL",C844)),"Tequila/Mezcal",
 ISNUMBER(SEARCH("RUM",C844)),"Rum",
 ISNUMBER(SEARCH("BRAND",C844)),"Brandy",
 ISNUMBER(SEARCH("COGNAC",C844)),"Brandy",
 ISNUMBER(SEARCH("LIQUEUR",C844)),"Liqueurs",
 ISNUMBER(SEARCH("CORDIAL",C844)),"Liqueurs",
 ISNUMBER(SEARCH("SCHNAPP",C844)),"Liqueurs",
 ISNUMBER(SEARCH("GIN",C844)),"Gin",
 TRUE,"Other")</f>
        <v>Gin</v>
      </c>
      <c r="E844" s="5">
        <v>31874</v>
      </c>
      <c r="F844" s="5">
        <v>293986.14000000292</v>
      </c>
      <c r="G844" s="5">
        <v>24170.239999999831</v>
      </c>
      <c r="H844" s="5">
        <v>3032</v>
      </c>
    </row>
    <row r="845" spans="1:8">
      <c r="A845" s="5">
        <v>2024</v>
      </c>
      <c r="B845" s="6">
        <v>45474</v>
      </c>
      <c r="C845" s="5" t="s">
        <v>20</v>
      </c>
      <c r="D845" s="3" t="str" cm="1">
        <f t="array" ref="D845">_xlfn.IFS(
 ISNUMBER(SEARCH("WHISK",C845)),"Whiskey",
 ISNUMBER(SEARCH("BOURBON",C845)),"Whiskey",
 ISNUMBER(SEARCH("SCOTCH",C845)),"Whiskey",
 ISNUMBER(SEARCH("RYE",C845)),"Whiskey",
 ISNUMBER(SEARCH("VODKA",C845)),"Vodka",
 ISNUMBER(SEARCH("TEQUILA",C845)),"Tequila/Mezcal",
 ISNUMBER(SEARCH("MEZCAL",C845)),"Tequila/Mezcal",
 ISNUMBER(SEARCH("RUM",C845)),"Rum",
 ISNUMBER(SEARCH("BRAND",C845)),"Brandy",
 ISNUMBER(SEARCH("COGNAC",C845)),"Brandy",
 ISNUMBER(SEARCH("LIQUEUR",C845)),"Liqueurs",
 ISNUMBER(SEARCH("CORDIAL",C845)),"Liqueurs",
 ISNUMBER(SEARCH("SCHNAPP",C845)),"Liqueurs",
 ISNUMBER(SEARCH("GIN",C845)),"Gin",
 TRUE,"Other")</f>
        <v>Liqueurs</v>
      </c>
      <c r="E845" s="5">
        <v>6125</v>
      </c>
      <c r="F845" s="5">
        <v>122548.93000000046</v>
      </c>
      <c r="G845" s="5">
        <v>5190.5200000000059</v>
      </c>
      <c r="H845" s="5">
        <v>825</v>
      </c>
    </row>
    <row r="846" spans="1:8">
      <c r="A846" s="5">
        <v>2024</v>
      </c>
      <c r="B846" s="6">
        <v>45474</v>
      </c>
      <c r="C846" s="5" t="s">
        <v>24</v>
      </c>
      <c r="D846" s="3" t="str" cm="1">
        <f t="array" ref="D846">_xlfn.IFS(
 ISNUMBER(SEARCH("WHISK",C846)),"Whiskey",
 ISNUMBER(SEARCH("BOURBON",C846)),"Whiskey",
 ISNUMBER(SEARCH("SCOTCH",C846)),"Whiskey",
 ISNUMBER(SEARCH("RYE",C846)),"Whiskey",
 ISNUMBER(SEARCH("VODKA",C846)),"Vodka",
 ISNUMBER(SEARCH("TEQUILA",C846)),"Tequila/Mezcal",
 ISNUMBER(SEARCH("MEZCAL",C846)),"Tequila/Mezcal",
 ISNUMBER(SEARCH("RUM",C846)),"Rum",
 ISNUMBER(SEARCH("BRAND",C846)),"Brandy",
 ISNUMBER(SEARCH("COGNAC",C846)),"Brandy",
 ISNUMBER(SEARCH("LIQUEUR",C846)),"Liqueurs",
 ISNUMBER(SEARCH("CORDIAL",C846)),"Liqueurs",
 ISNUMBER(SEARCH("SCHNAPP",C846)),"Liqueurs",
 ISNUMBER(SEARCH("GIN",C846)),"Gin",
 TRUE,"Other")</f>
        <v>Rum</v>
      </c>
      <c r="E846" s="5">
        <v>45889</v>
      </c>
      <c r="F846" s="5">
        <v>685432.44999999646</v>
      </c>
      <c r="G846" s="5">
        <v>42690.479999999989</v>
      </c>
      <c r="H846" s="5">
        <v>4596</v>
      </c>
    </row>
    <row r="847" spans="1:8">
      <c r="A847" s="5">
        <v>2024</v>
      </c>
      <c r="B847" s="6">
        <v>45474</v>
      </c>
      <c r="C847" s="5" t="s">
        <v>35</v>
      </c>
      <c r="D847" s="3" t="str" cm="1">
        <f t="array" ref="D847">_xlfn.IFS(
 ISNUMBER(SEARCH("WHISK",C847)),"Whiskey",
 ISNUMBER(SEARCH("BOURBON",C847)),"Whiskey",
 ISNUMBER(SEARCH("SCOTCH",C847)),"Whiskey",
 ISNUMBER(SEARCH("RYE",C847)),"Whiskey",
 ISNUMBER(SEARCH("VODKA",C847)),"Vodka",
 ISNUMBER(SEARCH("TEQUILA",C847)),"Tequila/Mezcal",
 ISNUMBER(SEARCH("MEZCAL",C847)),"Tequila/Mezcal",
 ISNUMBER(SEARCH("RUM",C847)),"Rum",
 ISNUMBER(SEARCH("BRAND",C847)),"Brandy",
 ISNUMBER(SEARCH("COGNAC",C847)),"Brandy",
 ISNUMBER(SEARCH("LIQUEUR",C847)),"Liqueurs",
 ISNUMBER(SEARCH("CORDIAL",C847)),"Liqueurs",
 ISNUMBER(SEARCH("SCHNAPP",C847)),"Liqueurs",
 ISNUMBER(SEARCH("GIN",C847)),"Gin",
 TRUE,"Other")</f>
        <v>Tequila/Mezcal</v>
      </c>
      <c r="E847" s="5">
        <v>66073</v>
      </c>
      <c r="F847" s="5">
        <v>945368.14999999141</v>
      </c>
      <c r="G847" s="5">
        <v>49881.659999999763</v>
      </c>
      <c r="H847" s="5">
        <v>4997</v>
      </c>
    </row>
    <row r="848" spans="1:8">
      <c r="A848" s="5">
        <v>2024</v>
      </c>
      <c r="B848" s="6">
        <v>45474</v>
      </c>
      <c r="C848" s="5" t="s">
        <v>26</v>
      </c>
      <c r="D848" s="3" t="str" cm="1">
        <f t="array" ref="D848">_xlfn.IFS(
 ISNUMBER(SEARCH("WHISK",C848)),"Whiskey",
 ISNUMBER(SEARCH("BOURBON",C848)),"Whiskey",
 ISNUMBER(SEARCH("SCOTCH",C848)),"Whiskey",
 ISNUMBER(SEARCH("RYE",C848)),"Whiskey",
 ISNUMBER(SEARCH("VODKA",C848)),"Vodka",
 ISNUMBER(SEARCH("TEQUILA",C848)),"Tequila/Mezcal",
 ISNUMBER(SEARCH("MEZCAL",C848)),"Tequila/Mezcal",
 ISNUMBER(SEARCH("RUM",C848)),"Rum",
 ISNUMBER(SEARCH("BRAND",C848)),"Brandy",
 ISNUMBER(SEARCH("COGNAC",C848)),"Brandy",
 ISNUMBER(SEARCH("LIQUEUR",C848)),"Liqueurs",
 ISNUMBER(SEARCH("CORDIAL",C848)),"Liqueurs",
 ISNUMBER(SEARCH("SCHNAPP",C848)),"Liqueurs",
 ISNUMBER(SEARCH("GIN",C848)),"Gin",
 TRUE,"Other")</f>
        <v>Brandy</v>
      </c>
      <c r="E848" s="5">
        <v>37306</v>
      </c>
      <c r="F848" s="5">
        <v>844849.2799999963</v>
      </c>
      <c r="G848" s="5">
        <v>17293.329999999947</v>
      </c>
      <c r="H848" s="5">
        <v>3086</v>
      </c>
    </row>
    <row r="849" spans="1:8">
      <c r="A849" s="5">
        <v>2024</v>
      </c>
      <c r="B849" s="6">
        <v>45474</v>
      </c>
      <c r="C849" s="5" t="s">
        <v>36</v>
      </c>
      <c r="D849" s="3" t="str" cm="1">
        <f t="array" ref="D849">_xlfn.IFS(
 ISNUMBER(SEARCH("WHISK",C849)),"Whiskey",
 ISNUMBER(SEARCH("BOURBON",C849)),"Whiskey",
 ISNUMBER(SEARCH("SCOTCH",C849)),"Whiskey",
 ISNUMBER(SEARCH("RYE",C849)),"Whiskey",
 ISNUMBER(SEARCH("VODKA",C849)),"Vodka",
 ISNUMBER(SEARCH("TEQUILA",C849)),"Tequila/Mezcal",
 ISNUMBER(SEARCH("MEZCAL",C849)),"Tequila/Mezcal",
 ISNUMBER(SEARCH("RUM",C849)),"Rum",
 ISNUMBER(SEARCH("BRAND",C849)),"Brandy",
 ISNUMBER(SEARCH("COGNAC",C849)),"Brandy",
 ISNUMBER(SEARCH("LIQUEUR",C849)),"Liqueurs",
 ISNUMBER(SEARCH("CORDIAL",C849)),"Liqueurs",
 ISNUMBER(SEARCH("SCHNAPP",C849)),"Liqueurs",
 ISNUMBER(SEARCH("GIN",C849)),"Gin",
 TRUE,"Other")</f>
        <v>Other</v>
      </c>
      <c r="E849" s="5">
        <v>3000</v>
      </c>
      <c r="F849" s="5">
        <v>43515.790000000015</v>
      </c>
      <c r="G849" s="5">
        <v>2300.599999999999</v>
      </c>
      <c r="H849" s="5">
        <v>404</v>
      </c>
    </row>
    <row r="850" spans="1:8">
      <c r="A850" s="5">
        <v>2024</v>
      </c>
      <c r="B850" s="6">
        <v>45474</v>
      </c>
      <c r="C850" s="5" t="s">
        <v>38</v>
      </c>
      <c r="D850" s="3" t="str" cm="1">
        <f t="array" ref="D850">_xlfn.IFS(
 ISNUMBER(SEARCH("WHISK",C850)),"Whiskey",
 ISNUMBER(SEARCH("BOURBON",C850)),"Whiskey",
 ISNUMBER(SEARCH("SCOTCH",C850)),"Whiskey",
 ISNUMBER(SEARCH("RYE",C850)),"Whiskey",
 ISNUMBER(SEARCH("VODKA",C850)),"Vodka",
 ISNUMBER(SEARCH("TEQUILA",C850)),"Tequila/Mezcal",
 ISNUMBER(SEARCH("MEZCAL",C850)),"Tequila/Mezcal",
 ISNUMBER(SEARCH("RUM",C850)),"Rum",
 ISNUMBER(SEARCH("BRAND",C850)),"Brandy",
 ISNUMBER(SEARCH("COGNAC",C850)),"Brandy",
 ISNUMBER(SEARCH("LIQUEUR",C850)),"Liqueurs",
 ISNUMBER(SEARCH("CORDIAL",C850)),"Liqueurs",
 ISNUMBER(SEARCH("SCHNAPP",C850)),"Liqueurs",
 ISNUMBER(SEARCH("GIN",C850)),"Gin",
 TRUE,"Other")</f>
        <v>Whiskey</v>
      </c>
      <c r="E850" s="5">
        <v>14229</v>
      </c>
      <c r="F850" s="5">
        <v>393258.66999999993</v>
      </c>
      <c r="G850" s="5">
        <v>15429.100000000011</v>
      </c>
      <c r="H850" s="5">
        <v>2380</v>
      </c>
    </row>
    <row r="851" spans="1:8">
      <c r="A851" s="5">
        <v>2024</v>
      </c>
      <c r="B851" s="6">
        <v>45474</v>
      </c>
      <c r="C851" s="5" t="s">
        <v>39</v>
      </c>
      <c r="D851" s="3" t="str" cm="1">
        <f t="array" ref="D851">_xlfn.IFS(
 ISNUMBER(SEARCH("WHISK",C851)),"Whiskey",
 ISNUMBER(SEARCH("BOURBON",C851)),"Whiskey",
 ISNUMBER(SEARCH("SCOTCH",C851)),"Whiskey",
 ISNUMBER(SEARCH("RYE",C851)),"Whiskey",
 ISNUMBER(SEARCH("VODKA",C851)),"Vodka",
 ISNUMBER(SEARCH("TEQUILA",C851)),"Tequila/Mezcal",
 ISNUMBER(SEARCH("MEZCAL",C851)),"Tequila/Mezcal",
 ISNUMBER(SEARCH("RUM",C851)),"Rum",
 ISNUMBER(SEARCH("BRAND",C851)),"Brandy",
 ISNUMBER(SEARCH("COGNAC",C851)),"Brandy",
 ISNUMBER(SEARCH("LIQUEUR",C851)),"Liqueurs",
 ISNUMBER(SEARCH("CORDIAL",C851)),"Liqueurs",
 ISNUMBER(SEARCH("SCHNAPP",C851)),"Liqueurs",
 ISNUMBER(SEARCH("GIN",C851)),"Gin",
 TRUE,"Other")</f>
        <v>Whiskey</v>
      </c>
      <c r="E851" s="5">
        <v>3926</v>
      </c>
      <c r="F851" s="5">
        <v>164849.34</v>
      </c>
      <c r="G851" s="5">
        <v>2944.5</v>
      </c>
      <c r="H851" s="5">
        <v>537</v>
      </c>
    </row>
    <row r="852" spans="1:8">
      <c r="A852" s="5">
        <v>2024</v>
      </c>
      <c r="B852" s="6">
        <v>45474</v>
      </c>
      <c r="C852" s="5" t="s">
        <v>40</v>
      </c>
      <c r="D852" s="3" t="str" cm="1">
        <f t="array" ref="D852">_xlfn.IFS(
 ISNUMBER(SEARCH("WHISK",C852)),"Whiskey",
 ISNUMBER(SEARCH("BOURBON",C852)),"Whiskey",
 ISNUMBER(SEARCH("SCOTCH",C852)),"Whiskey",
 ISNUMBER(SEARCH("RYE",C852)),"Whiskey",
 ISNUMBER(SEARCH("VODKA",C852)),"Vodka",
 ISNUMBER(SEARCH("TEQUILA",C852)),"Tequila/Mezcal",
 ISNUMBER(SEARCH("MEZCAL",C852)),"Tequila/Mezcal",
 ISNUMBER(SEARCH("RUM",C852)),"Rum",
 ISNUMBER(SEARCH("BRAND",C852)),"Brandy",
 ISNUMBER(SEARCH("COGNAC",C852)),"Brandy",
 ISNUMBER(SEARCH("LIQUEUR",C852)),"Liqueurs",
 ISNUMBER(SEARCH("CORDIAL",C852)),"Liqueurs",
 ISNUMBER(SEARCH("SCHNAPP",C852)),"Liqueurs",
 ISNUMBER(SEARCH("GIN",C852)),"Gin",
 TRUE,"Other")</f>
        <v>Whiskey</v>
      </c>
      <c r="E852" s="5">
        <v>5432</v>
      </c>
      <c r="F852" s="5">
        <v>303773.13999999978</v>
      </c>
      <c r="G852" s="5">
        <v>4203.5499999999993</v>
      </c>
      <c r="H852" s="5">
        <v>1347</v>
      </c>
    </row>
    <row r="853" spans="1:8">
      <c r="A853" s="5">
        <v>2024</v>
      </c>
      <c r="B853" s="6">
        <v>45474</v>
      </c>
      <c r="C853" s="5" t="s">
        <v>47</v>
      </c>
      <c r="D853" s="3" t="str" cm="1">
        <f t="array" ref="D853">_xlfn.IFS(
 ISNUMBER(SEARCH("WHISK",C853)),"Whiskey",
 ISNUMBER(SEARCH("BOURBON",C853)),"Whiskey",
 ISNUMBER(SEARCH("SCOTCH",C853)),"Whiskey",
 ISNUMBER(SEARCH("RYE",C853)),"Whiskey",
 ISNUMBER(SEARCH("VODKA",C853)),"Vodka",
 ISNUMBER(SEARCH("TEQUILA",C853)),"Tequila/Mezcal",
 ISNUMBER(SEARCH("MEZCAL",C853)),"Tequila/Mezcal",
 ISNUMBER(SEARCH("RUM",C853)),"Rum",
 ISNUMBER(SEARCH("BRAND",C853)),"Brandy",
 ISNUMBER(SEARCH("COGNAC",C853)),"Brandy",
 ISNUMBER(SEARCH("LIQUEUR",C853)),"Liqueurs",
 ISNUMBER(SEARCH("CORDIAL",C853)),"Liqueurs",
 ISNUMBER(SEARCH("SCHNAPP",C853)),"Liqueurs",
 ISNUMBER(SEARCH("GIN",C853)),"Gin",
 TRUE,"Other")</f>
        <v>Other</v>
      </c>
      <c r="E853" s="5">
        <v>18598</v>
      </c>
      <c r="F853" s="5">
        <v>76342.419999999853</v>
      </c>
      <c r="G853" s="5">
        <v>18305.75</v>
      </c>
      <c r="H853" s="5">
        <v>801</v>
      </c>
    </row>
    <row r="854" spans="1:8">
      <c r="A854" s="5">
        <v>2024</v>
      </c>
      <c r="B854" s="6">
        <v>45474</v>
      </c>
      <c r="C854" s="5" t="s">
        <v>23</v>
      </c>
      <c r="D854" s="3" t="str" cm="1">
        <f t="array" ref="D854">_xlfn.IFS(
 ISNUMBER(SEARCH("WHISK",C854)),"Whiskey",
 ISNUMBER(SEARCH("BOURBON",C854)),"Whiskey",
 ISNUMBER(SEARCH("SCOTCH",C854)),"Whiskey",
 ISNUMBER(SEARCH("RYE",C854)),"Whiskey",
 ISNUMBER(SEARCH("VODKA",C854)),"Vodka",
 ISNUMBER(SEARCH("TEQUILA",C854)),"Tequila/Mezcal",
 ISNUMBER(SEARCH("MEZCAL",C854)),"Tequila/Mezcal",
 ISNUMBER(SEARCH("RUM",C854)),"Rum",
 ISNUMBER(SEARCH("BRAND",C854)),"Brandy",
 ISNUMBER(SEARCH("COGNAC",C854)),"Brandy",
 ISNUMBER(SEARCH("LIQUEUR",C854)),"Liqueurs",
 ISNUMBER(SEARCH("CORDIAL",C854)),"Liqueurs",
 ISNUMBER(SEARCH("SCHNAPP",C854)),"Liqueurs",
 ISNUMBER(SEARCH("GIN",C854)),"Gin",
 TRUE,"Other")</f>
        <v>Gin</v>
      </c>
      <c r="E854" s="5">
        <v>4985</v>
      </c>
      <c r="F854" s="5">
        <v>127884.27000000011</v>
      </c>
      <c r="G854" s="5">
        <v>3714.7000000000012</v>
      </c>
      <c r="H854" s="5">
        <v>550</v>
      </c>
    </row>
    <row r="855" spans="1:8">
      <c r="A855" s="5">
        <v>2024</v>
      </c>
      <c r="B855" s="6">
        <v>45474</v>
      </c>
      <c r="C855" s="5" t="s">
        <v>28</v>
      </c>
      <c r="D855" s="3" t="str" cm="1">
        <f t="array" ref="D855">_xlfn.IFS(
 ISNUMBER(SEARCH("WHISK",C855)),"Whiskey",
 ISNUMBER(SEARCH("BOURBON",C855)),"Whiskey",
 ISNUMBER(SEARCH("SCOTCH",C855)),"Whiskey",
 ISNUMBER(SEARCH("RYE",C855)),"Whiskey",
 ISNUMBER(SEARCH("VODKA",C855)),"Vodka",
 ISNUMBER(SEARCH("TEQUILA",C855)),"Tequila/Mezcal",
 ISNUMBER(SEARCH("MEZCAL",C855)),"Tequila/Mezcal",
 ISNUMBER(SEARCH("RUM",C855)),"Rum",
 ISNUMBER(SEARCH("BRAND",C855)),"Brandy",
 ISNUMBER(SEARCH("COGNAC",C855)),"Brandy",
 ISNUMBER(SEARCH("LIQUEUR",C855)),"Liqueurs",
 ISNUMBER(SEARCH("CORDIAL",C855)),"Liqueurs",
 ISNUMBER(SEARCH("SCHNAPP",C855)),"Liqueurs",
 ISNUMBER(SEARCH("GIN",C855)),"Gin",
 TRUE,"Other")</f>
        <v>Other</v>
      </c>
      <c r="E855" s="5">
        <v>26425</v>
      </c>
      <c r="F855" s="5">
        <v>199904.96000000002</v>
      </c>
      <c r="G855" s="5">
        <v>22568.300000000003</v>
      </c>
      <c r="H855" s="5">
        <v>813</v>
      </c>
    </row>
    <row r="856" spans="1:8">
      <c r="A856" s="5">
        <v>2024</v>
      </c>
      <c r="B856" s="6">
        <v>45474</v>
      </c>
      <c r="C856" s="5" t="s">
        <v>17</v>
      </c>
      <c r="D856" s="3" t="str" cm="1">
        <f t="array" ref="D856">_xlfn.IFS(
 ISNUMBER(SEARCH("WHISK",C856)),"Whiskey",
 ISNUMBER(SEARCH("BOURBON",C856)),"Whiskey",
 ISNUMBER(SEARCH("SCOTCH",C856)),"Whiskey",
 ISNUMBER(SEARCH("RYE",C856)),"Whiskey",
 ISNUMBER(SEARCH("VODKA",C856)),"Vodka",
 ISNUMBER(SEARCH("TEQUILA",C856)),"Tequila/Mezcal",
 ISNUMBER(SEARCH("MEZCAL",C856)),"Tequila/Mezcal",
 ISNUMBER(SEARCH("RUM",C856)),"Rum",
 ISNUMBER(SEARCH("BRAND",C856)),"Brandy",
 ISNUMBER(SEARCH("COGNAC",C856)),"Brandy",
 ISNUMBER(SEARCH("LIQUEUR",C856)),"Liqueurs",
 ISNUMBER(SEARCH("CORDIAL",C856)),"Liqueurs",
 ISNUMBER(SEARCH("SCHNAPP",C856)),"Liqueurs",
 ISNUMBER(SEARCH("GIN",C856)),"Gin",
 TRUE,"Other")</f>
        <v>Whiskey</v>
      </c>
      <c r="E856" s="5">
        <v>3278</v>
      </c>
      <c r="F856" s="5">
        <v>95701.430000000037</v>
      </c>
      <c r="G856" s="5">
        <v>2856.5</v>
      </c>
      <c r="H856" s="5">
        <v>538</v>
      </c>
    </row>
    <row r="857" spans="1:8">
      <c r="A857" s="5">
        <v>2024</v>
      </c>
      <c r="B857" s="6">
        <v>45474</v>
      </c>
      <c r="C857" s="5" t="s">
        <v>41</v>
      </c>
      <c r="D857" s="3" t="str" cm="1">
        <f t="array" ref="D857">_xlfn.IFS(
 ISNUMBER(SEARCH("WHISK",C857)),"Whiskey",
 ISNUMBER(SEARCH("BOURBON",C857)),"Whiskey",
 ISNUMBER(SEARCH("SCOTCH",C857)),"Whiskey",
 ISNUMBER(SEARCH("RYE",C857)),"Whiskey",
 ISNUMBER(SEARCH("VODKA",C857)),"Vodka",
 ISNUMBER(SEARCH("TEQUILA",C857)),"Tequila/Mezcal",
 ISNUMBER(SEARCH("MEZCAL",C857)),"Tequila/Mezcal",
 ISNUMBER(SEARCH("RUM",C857)),"Rum",
 ISNUMBER(SEARCH("BRAND",C857)),"Brandy",
 ISNUMBER(SEARCH("COGNAC",C857)),"Brandy",
 ISNUMBER(SEARCH("LIQUEUR",C857)),"Liqueurs",
 ISNUMBER(SEARCH("CORDIAL",C857)),"Liqueurs",
 ISNUMBER(SEARCH("SCHNAPP",C857)),"Liqueurs",
 ISNUMBER(SEARCH("GIN",C857)),"Gin",
 TRUE,"Other")</f>
        <v>Other</v>
      </c>
      <c r="E857" s="5">
        <v>9040</v>
      </c>
      <c r="F857" s="5">
        <v>102776.68999999999</v>
      </c>
      <c r="G857" s="5">
        <v>12888.049999999997</v>
      </c>
      <c r="H857" s="5">
        <v>218</v>
      </c>
    </row>
    <row r="858" spans="1:8">
      <c r="A858" s="5">
        <v>2024</v>
      </c>
      <c r="B858" s="6">
        <v>45474</v>
      </c>
      <c r="C858" s="5" t="s">
        <v>21</v>
      </c>
      <c r="D858" s="3" t="str" cm="1">
        <f t="array" ref="D858">_xlfn.IFS(
 ISNUMBER(SEARCH("WHISK",C858)),"Whiskey",
 ISNUMBER(SEARCH("BOURBON",C858)),"Whiskey",
 ISNUMBER(SEARCH("SCOTCH",C858)),"Whiskey",
 ISNUMBER(SEARCH("RYE",C858)),"Whiskey",
 ISNUMBER(SEARCH("VODKA",C858)),"Vodka",
 ISNUMBER(SEARCH("TEQUILA",C858)),"Tequila/Mezcal",
 ISNUMBER(SEARCH("MEZCAL",C858)),"Tequila/Mezcal",
 ISNUMBER(SEARCH("RUM",C858)),"Rum",
 ISNUMBER(SEARCH("BRAND",C858)),"Brandy",
 ISNUMBER(SEARCH("COGNAC",C858)),"Brandy",
 ISNUMBER(SEARCH("LIQUEUR",C858)),"Liqueurs",
 ISNUMBER(SEARCH("CORDIAL",C858)),"Liqueurs",
 ISNUMBER(SEARCH("SCHNAPP",C858)),"Liqueurs",
 ISNUMBER(SEARCH("GIN",C858)),"Gin",
 TRUE,"Other")</f>
        <v>Whiskey</v>
      </c>
      <c r="E858" s="5">
        <v>603</v>
      </c>
      <c r="F858" s="5">
        <v>14090.570000000002</v>
      </c>
      <c r="G858" s="5">
        <v>434.24</v>
      </c>
      <c r="H858" s="5">
        <v>94</v>
      </c>
    </row>
    <row r="859" spans="1:8">
      <c r="A859" s="5">
        <v>2024</v>
      </c>
      <c r="B859" s="6">
        <v>45474</v>
      </c>
      <c r="C859" s="5" t="s">
        <v>14</v>
      </c>
      <c r="D859" s="3" t="str" cm="1">
        <f t="array" ref="D859">_xlfn.IFS(
 ISNUMBER(SEARCH("WHISK",C859)),"Whiskey",
 ISNUMBER(SEARCH("BOURBON",C859)),"Whiskey",
 ISNUMBER(SEARCH("SCOTCH",C859)),"Whiskey",
 ISNUMBER(SEARCH("RYE",C859)),"Whiskey",
 ISNUMBER(SEARCH("VODKA",C859)),"Vodka",
 ISNUMBER(SEARCH("TEQUILA",C859)),"Tequila/Mezcal",
 ISNUMBER(SEARCH("MEZCAL",C859)),"Tequila/Mezcal",
 ISNUMBER(SEARCH("RUM",C859)),"Rum",
 ISNUMBER(SEARCH("BRAND",C859)),"Brandy",
 ISNUMBER(SEARCH("COGNAC",C859)),"Brandy",
 ISNUMBER(SEARCH("LIQUEUR",C859)),"Liqueurs",
 ISNUMBER(SEARCH("CORDIAL",C859)),"Liqueurs",
 ISNUMBER(SEARCH("SCHNAPP",C859)),"Liqueurs",
 ISNUMBER(SEARCH("GIN",C859)),"Gin",
 TRUE,"Other")</f>
        <v>Gin</v>
      </c>
      <c r="E859" s="5">
        <v>261</v>
      </c>
      <c r="F859" s="5">
        <v>2200.2999999999984</v>
      </c>
      <c r="G859" s="5">
        <v>257</v>
      </c>
      <c r="H859" s="5">
        <v>51</v>
      </c>
    </row>
    <row r="860" spans="1:8">
      <c r="A860" s="5">
        <v>2024</v>
      </c>
      <c r="B860" s="6">
        <v>45474</v>
      </c>
      <c r="C860" s="5" t="s">
        <v>34</v>
      </c>
      <c r="D860" s="3" t="str" cm="1">
        <f t="array" ref="D860">_xlfn.IFS(
 ISNUMBER(SEARCH("WHISK",C860)),"Whiskey",
 ISNUMBER(SEARCH("BOURBON",C860)),"Whiskey",
 ISNUMBER(SEARCH("SCOTCH",C860)),"Whiskey",
 ISNUMBER(SEARCH("RYE",C860)),"Whiskey",
 ISNUMBER(SEARCH("VODKA",C860)),"Vodka",
 ISNUMBER(SEARCH("TEQUILA",C860)),"Tequila/Mezcal",
 ISNUMBER(SEARCH("MEZCAL",C860)),"Tequila/Mezcal",
 ISNUMBER(SEARCH("RUM",C860)),"Rum",
 ISNUMBER(SEARCH("BRAND",C860)),"Brandy",
 ISNUMBER(SEARCH("COGNAC",C860)),"Brandy",
 ISNUMBER(SEARCH("LIQUEUR",C860)),"Liqueurs",
 ISNUMBER(SEARCH("CORDIAL",C860)),"Liqueurs",
 ISNUMBER(SEARCH("SCHNAPP",C860)),"Liqueurs",
 ISNUMBER(SEARCH("GIN",C860)),"Gin",
 TRUE,"Other")</f>
        <v>Tequila/Mezcal</v>
      </c>
      <c r="E860" s="5">
        <v>1403</v>
      </c>
      <c r="F860" s="5">
        <v>47834.27999999997</v>
      </c>
      <c r="G860" s="5">
        <v>1062.9000000000001</v>
      </c>
      <c r="H860" s="5">
        <v>264</v>
      </c>
    </row>
    <row r="861" spans="1:8">
      <c r="A861" s="5">
        <v>2024</v>
      </c>
      <c r="B861" s="6">
        <v>45505</v>
      </c>
      <c r="C861" s="5" t="s">
        <v>50</v>
      </c>
      <c r="D861" s="3" t="str" cm="1">
        <f t="array" ref="D861">_xlfn.IFS(
 ISNUMBER(SEARCH("WHISK",C861)),"Whiskey",
 ISNUMBER(SEARCH("BOURBON",C861)),"Whiskey",
 ISNUMBER(SEARCH("SCOTCH",C861)),"Whiskey",
 ISNUMBER(SEARCH("RYE",C861)),"Whiskey",
 ISNUMBER(SEARCH("VODKA",C861)),"Vodka",
 ISNUMBER(SEARCH("TEQUILA",C861)),"Tequila/Mezcal",
 ISNUMBER(SEARCH("MEZCAL",C861)),"Tequila/Mezcal",
 ISNUMBER(SEARCH("RUM",C861)),"Rum",
 ISNUMBER(SEARCH("BRAND",C861)),"Brandy",
 ISNUMBER(SEARCH("COGNAC",C861)),"Brandy",
 ISNUMBER(SEARCH("LIQUEUR",C861)),"Liqueurs",
 ISNUMBER(SEARCH("CORDIAL",C861)),"Liqueurs",
 ISNUMBER(SEARCH("SCHNAPP",C861)),"Liqueurs",
 ISNUMBER(SEARCH("GIN",C861)),"Gin",
 TRUE,"Other")</f>
        <v>Tequila/Mezcal</v>
      </c>
      <c r="E861" s="5">
        <v>104653</v>
      </c>
      <c r="F861" s="5">
        <v>2935203.8099999703</v>
      </c>
      <c r="G861" s="5">
        <v>69612.470000000685</v>
      </c>
      <c r="H861" s="5">
        <v>12499</v>
      </c>
    </row>
    <row r="862" spans="1:8">
      <c r="A862" s="5">
        <v>2024</v>
      </c>
      <c r="B862" s="6">
        <v>45505</v>
      </c>
      <c r="C862" s="5" t="s">
        <v>7</v>
      </c>
      <c r="D862" s="3" t="str" cm="1">
        <f t="array" ref="D862">_xlfn.IFS(
 ISNUMBER(SEARCH("WHISK",C862)),"Whiskey",
 ISNUMBER(SEARCH("BOURBON",C862)),"Whiskey",
 ISNUMBER(SEARCH("SCOTCH",C862)),"Whiskey",
 ISNUMBER(SEARCH("RYE",C862)),"Whiskey",
 ISNUMBER(SEARCH("VODKA",C862)),"Vodka",
 ISNUMBER(SEARCH("TEQUILA",C862)),"Tequila/Mezcal",
 ISNUMBER(SEARCH("MEZCAL",C862)),"Tequila/Mezcal",
 ISNUMBER(SEARCH("RUM",C862)),"Rum",
 ISNUMBER(SEARCH("BRAND",C862)),"Brandy",
 ISNUMBER(SEARCH("COGNAC",C862)),"Brandy",
 ISNUMBER(SEARCH("LIQUEUR",C862)),"Liqueurs",
 ISNUMBER(SEARCH("CORDIAL",C862)),"Liqueurs",
 ISNUMBER(SEARCH("SCHNAPP",C862)),"Liqueurs",
 ISNUMBER(SEARCH("GIN",C862)),"Gin",
 TRUE,"Other")</f>
        <v>Rum</v>
      </c>
      <c r="E862" s="5">
        <v>3250</v>
      </c>
      <c r="F862" s="5">
        <v>73158.560000000027</v>
      </c>
      <c r="G862" s="5">
        <v>2673.25</v>
      </c>
      <c r="H862" s="5">
        <v>612</v>
      </c>
    </row>
    <row r="863" spans="1:8">
      <c r="A863" s="5">
        <v>2024</v>
      </c>
      <c r="B863" s="6">
        <v>45505</v>
      </c>
      <c r="C863" s="5" t="s">
        <v>8</v>
      </c>
      <c r="D863" s="3" t="str" cm="1">
        <f t="array" ref="D863">_xlfn.IFS(
 ISNUMBER(SEARCH("WHISK",C863)),"Whiskey",
 ISNUMBER(SEARCH("BOURBON",C863)),"Whiskey",
 ISNUMBER(SEARCH("SCOTCH",C863)),"Whiskey",
 ISNUMBER(SEARCH("RYE",C863)),"Whiskey",
 ISNUMBER(SEARCH("VODKA",C863)),"Vodka",
 ISNUMBER(SEARCH("TEQUILA",C863)),"Tequila/Mezcal",
 ISNUMBER(SEARCH("MEZCAL",C863)),"Tequila/Mezcal",
 ISNUMBER(SEARCH("RUM",C863)),"Rum",
 ISNUMBER(SEARCH("BRAND",C863)),"Brandy",
 ISNUMBER(SEARCH("COGNAC",C863)),"Brandy",
 ISNUMBER(SEARCH("LIQUEUR",C863)),"Liqueurs",
 ISNUMBER(SEARCH("CORDIAL",C863)),"Liqueurs",
 ISNUMBER(SEARCH("SCHNAPP",C863)),"Liqueurs",
 ISNUMBER(SEARCH("GIN",C863)),"Gin",
 TRUE,"Other")</f>
        <v>Brandy</v>
      </c>
      <c r="E863" s="5">
        <v>53353</v>
      </c>
      <c r="F863" s="5">
        <v>341985.58000000106</v>
      </c>
      <c r="G863" s="5">
        <v>26593.649999999718</v>
      </c>
      <c r="H863" s="5">
        <v>4170</v>
      </c>
    </row>
    <row r="864" spans="1:8">
      <c r="A864" s="5">
        <v>2024</v>
      </c>
      <c r="B864" s="6">
        <v>45505</v>
      </c>
      <c r="C864" s="5" t="s">
        <v>59</v>
      </c>
      <c r="D864" s="3" t="str" cm="1">
        <f t="array" ref="D864">_xlfn.IFS(
 ISNUMBER(SEARCH("WHISK",C864)),"Whiskey",
 ISNUMBER(SEARCH("BOURBON",C864)),"Whiskey",
 ISNUMBER(SEARCH("SCOTCH",C864)),"Whiskey",
 ISNUMBER(SEARCH("RYE",C864)),"Whiskey",
 ISNUMBER(SEARCH("VODKA",C864)),"Vodka",
 ISNUMBER(SEARCH("TEQUILA",C864)),"Tequila/Mezcal",
 ISNUMBER(SEARCH("MEZCAL",C864)),"Tequila/Mezcal",
 ISNUMBER(SEARCH("RUM",C864)),"Rum",
 ISNUMBER(SEARCH("BRAND",C864)),"Brandy",
 ISNUMBER(SEARCH("COGNAC",C864)),"Brandy",
 ISNUMBER(SEARCH("LIQUEUR",C864)),"Liqueurs",
 ISNUMBER(SEARCH("CORDIAL",C864)),"Liqueurs",
 ISNUMBER(SEARCH("SCHNAPP",C864)),"Liqueurs",
 ISNUMBER(SEARCH("GIN",C864)),"Gin",
 TRUE,"Other")</f>
        <v>Liqueurs</v>
      </c>
      <c r="E864" s="5">
        <v>32568</v>
      </c>
      <c r="F864" s="5">
        <v>365567.74000000698</v>
      </c>
      <c r="G864" s="5">
        <v>13186.919999999776</v>
      </c>
      <c r="H864" s="5">
        <v>4832</v>
      </c>
    </row>
    <row r="865" spans="1:8">
      <c r="A865" s="5">
        <v>2024</v>
      </c>
      <c r="B865" s="6">
        <v>45505</v>
      </c>
      <c r="C865" s="5" t="s">
        <v>10</v>
      </c>
      <c r="D865" s="3" t="str" cm="1">
        <f t="array" ref="D865">_xlfn.IFS(
 ISNUMBER(SEARCH("WHISK",C865)),"Whiskey",
 ISNUMBER(SEARCH("BOURBON",C865)),"Whiskey",
 ISNUMBER(SEARCH("SCOTCH",C865)),"Whiskey",
 ISNUMBER(SEARCH("RYE",C865)),"Whiskey",
 ISNUMBER(SEARCH("VODKA",C865)),"Vodka",
 ISNUMBER(SEARCH("TEQUILA",C865)),"Tequila/Mezcal",
 ISNUMBER(SEARCH("MEZCAL",C865)),"Tequila/Mezcal",
 ISNUMBER(SEARCH("RUM",C865)),"Rum",
 ISNUMBER(SEARCH("BRAND",C865)),"Brandy",
 ISNUMBER(SEARCH("COGNAC",C865)),"Brandy",
 ISNUMBER(SEARCH("LIQUEUR",C865)),"Liqueurs",
 ISNUMBER(SEARCH("CORDIAL",C865)),"Liqueurs",
 ISNUMBER(SEARCH("SCHNAPP",C865)),"Liqueurs",
 ISNUMBER(SEARCH("GIN",C865)),"Gin",
 TRUE,"Other")</f>
        <v>Other</v>
      </c>
      <c r="E865" s="5">
        <v>6448</v>
      </c>
      <c r="F865" s="5">
        <v>117195.48000000024</v>
      </c>
      <c r="G865" s="5">
        <v>4447.38</v>
      </c>
      <c r="H865" s="5">
        <v>691</v>
      </c>
    </row>
    <row r="866" spans="1:8">
      <c r="A866" s="5">
        <v>2024</v>
      </c>
      <c r="B866" s="6">
        <v>45505</v>
      </c>
      <c r="C866" s="5" t="s">
        <v>11</v>
      </c>
      <c r="D866" s="3" t="str" cm="1">
        <f t="array" ref="D866">_xlfn.IFS(
 ISNUMBER(SEARCH("WHISK",C866)),"Whiskey",
 ISNUMBER(SEARCH("BOURBON",C866)),"Whiskey",
 ISNUMBER(SEARCH("SCOTCH",C866)),"Whiskey",
 ISNUMBER(SEARCH("RYE",C866)),"Whiskey",
 ISNUMBER(SEARCH("VODKA",C866)),"Vodka",
 ISNUMBER(SEARCH("TEQUILA",C866)),"Tequila/Mezcal",
 ISNUMBER(SEARCH("MEZCAL",C866)),"Tequila/Mezcal",
 ISNUMBER(SEARCH("RUM",C866)),"Rum",
 ISNUMBER(SEARCH("BRAND",C866)),"Brandy",
 ISNUMBER(SEARCH("COGNAC",C866)),"Brandy",
 ISNUMBER(SEARCH("LIQUEUR",C866)),"Liqueurs",
 ISNUMBER(SEARCH("CORDIAL",C866)),"Liqueurs",
 ISNUMBER(SEARCH("SCHNAPP",C866)),"Liqueurs",
 ISNUMBER(SEARCH("GIN",C866)),"Gin",
 TRUE,"Other")</f>
        <v>Gin</v>
      </c>
      <c r="E866" s="5">
        <v>31277</v>
      </c>
      <c r="F866" s="5">
        <v>282147.68000000197</v>
      </c>
      <c r="G866" s="5">
        <v>24456.809999999939</v>
      </c>
      <c r="H866" s="5">
        <v>2768</v>
      </c>
    </row>
    <row r="867" spans="1:8">
      <c r="A867" s="5">
        <v>2024</v>
      </c>
      <c r="B867" s="6">
        <v>45505</v>
      </c>
      <c r="C867" s="5" t="s">
        <v>12</v>
      </c>
      <c r="D867" s="3" t="str" cm="1">
        <f t="array" ref="D867">_xlfn.IFS(
 ISNUMBER(SEARCH("WHISK",C867)),"Whiskey",
 ISNUMBER(SEARCH("BOURBON",C867)),"Whiskey",
 ISNUMBER(SEARCH("SCOTCH",C867)),"Whiskey",
 ISNUMBER(SEARCH("RYE",C867)),"Whiskey",
 ISNUMBER(SEARCH("VODKA",C867)),"Vodka",
 ISNUMBER(SEARCH("TEQUILA",C867)),"Tequila/Mezcal",
 ISNUMBER(SEARCH("MEZCAL",C867)),"Tequila/Mezcal",
 ISNUMBER(SEARCH("RUM",C867)),"Rum",
 ISNUMBER(SEARCH("BRAND",C867)),"Brandy",
 ISNUMBER(SEARCH("COGNAC",C867)),"Brandy",
 ISNUMBER(SEARCH("LIQUEUR",C867)),"Liqueurs",
 ISNUMBER(SEARCH("CORDIAL",C867)),"Liqueurs",
 ISNUMBER(SEARCH("SCHNAPP",C867)),"Liqueurs",
 ISNUMBER(SEARCH("GIN",C867)),"Gin",
 TRUE,"Other")</f>
        <v>Vodka</v>
      </c>
      <c r="E867" s="5">
        <v>93318</v>
      </c>
      <c r="F867" s="5">
        <v>1052169.6300000467</v>
      </c>
      <c r="G867" s="5">
        <v>67273.740000000224</v>
      </c>
      <c r="H867" s="5">
        <v>10345</v>
      </c>
    </row>
    <row r="868" spans="1:8">
      <c r="A868" s="5">
        <v>2024</v>
      </c>
      <c r="B868" s="6">
        <v>45505</v>
      </c>
      <c r="C868" s="5" t="s">
        <v>13</v>
      </c>
      <c r="D868" s="3" t="str" cm="1">
        <f t="array" ref="D868">_xlfn.IFS(
 ISNUMBER(SEARCH("WHISK",C868)),"Whiskey",
 ISNUMBER(SEARCH("BOURBON",C868)),"Whiskey",
 ISNUMBER(SEARCH("SCOTCH",C868)),"Whiskey",
 ISNUMBER(SEARCH("RYE",C868)),"Whiskey",
 ISNUMBER(SEARCH("VODKA",C868)),"Vodka",
 ISNUMBER(SEARCH("TEQUILA",C868)),"Tequila/Mezcal",
 ISNUMBER(SEARCH("MEZCAL",C868)),"Tequila/Mezcal",
 ISNUMBER(SEARCH("RUM",C868)),"Rum",
 ISNUMBER(SEARCH("BRAND",C868)),"Brandy",
 ISNUMBER(SEARCH("COGNAC",C868)),"Brandy",
 ISNUMBER(SEARCH("LIQUEUR",C868)),"Liqueurs",
 ISNUMBER(SEARCH("CORDIAL",C868)),"Liqueurs",
 ISNUMBER(SEARCH("SCHNAPP",C868)),"Liqueurs",
 ISNUMBER(SEARCH("GIN",C868)),"Gin",
 TRUE,"Other")</f>
        <v>Liqueurs</v>
      </c>
      <c r="E868" s="5">
        <v>88588</v>
      </c>
      <c r="F868" s="5">
        <v>642888.49000002956</v>
      </c>
      <c r="G868" s="5">
        <v>34601.679999998974</v>
      </c>
      <c r="H868" s="5">
        <v>7358</v>
      </c>
    </row>
    <row r="869" spans="1:8">
      <c r="A869" s="5">
        <v>2024</v>
      </c>
      <c r="B869" s="6">
        <v>45505</v>
      </c>
      <c r="C869" s="5" t="s">
        <v>15</v>
      </c>
      <c r="D869" s="3" t="str" cm="1">
        <f t="array" ref="D869">_xlfn.IFS(
 ISNUMBER(SEARCH("WHISK",C869)),"Whiskey",
 ISNUMBER(SEARCH("BOURBON",C869)),"Whiskey",
 ISNUMBER(SEARCH("SCOTCH",C869)),"Whiskey",
 ISNUMBER(SEARCH("RYE",C869)),"Whiskey",
 ISNUMBER(SEARCH("VODKA",C869)),"Vodka",
 ISNUMBER(SEARCH("TEQUILA",C869)),"Tequila/Mezcal",
 ISNUMBER(SEARCH("MEZCAL",C869)),"Tequila/Mezcal",
 ISNUMBER(SEARCH("RUM",C869)),"Rum",
 ISNUMBER(SEARCH("BRAND",C869)),"Brandy",
 ISNUMBER(SEARCH("COGNAC",C869)),"Brandy",
 ISNUMBER(SEARCH("LIQUEUR",C869)),"Liqueurs",
 ISNUMBER(SEARCH("CORDIAL",C869)),"Liqueurs",
 ISNUMBER(SEARCH("SCHNAPP",C869)),"Liqueurs",
 ISNUMBER(SEARCH("GIN",C869)),"Gin",
 TRUE,"Other")</f>
        <v>Vodka</v>
      </c>
      <c r="E869" s="5">
        <v>609881</v>
      </c>
      <c r="F869" s="5">
        <v>6909632.8400000781</v>
      </c>
      <c r="G869" s="5">
        <v>573619.3899999737</v>
      </c>
      <c r="H869" s="5">
        <v>35031</v>
      </c>
    </row>
    <row r="870" spans="1:8">
      <c r="A870" s="5">
        <v>2024</v>
      </c>
      <c r="B870" s="6">
        <v>45505</v>
      </c>
      <c r="C870" s="5" t="s">
        <v>16</v>
      </c>
      <c r="D870" s="3" t="str" cm="1">
        <f t="array" ref="D870">_xlfn.IFS(
 ISNUMBER(SEARCH("WHISK",C870)),"Whiskey",
 ISNUMBER(SEARCH("BOURBON",C870)),"Whiskey",
 ISNUMBER(SEARCH("SCOTCH",C870)),"Whiskey",
 ISNUMBER(SEARCH("RYE",C870)),"Whiskey",
 ISNUMBER(SEARCH("VODKA",C870)),"Vodka",
 ISNUMBER(SEARCH("TEQUILA",C870)),"Tequila/Mezcal",
 ISNUMBER(SEARCH("MEZCAL",C870)),"Tequila/Mezcal",
 ISNUMBER(SEARCH("RUM",C870)),"Rum",
 ISNUMBER(SEARCH("BRAND",C870)),"Brandy",
 ISNUMBER(SEARCH("COGNAC",C870)),"Brandy",
 ISNUMBER(SEARCH("LIQUEUR",C870)),"Liqueurs",
 ISNUMBER(SEARCH("CORDIAL",C870)),"Liqueurs",
 ISNUMBER(SEARCH("SCHNAPP",C870)),"Liqueurs",
 ISNUMBER(SEARCH("GIN",C870)),"Gin",
 TRUE,"Other")</f>
        <v>Whiskey</v>
      </c>
      <c r="E870" s="5">
        <v>66959</v>
      </c>
      <c r="F870" s="5">
        <v>875131.05999998632</v>
      </c>
      <c r="G870" s="5">
        <v>55400.250000000182</v>
      </c>
      <c r="H870" s="5">
        <v>7299</v>
      </c>
    </row>
    <row r="871" spans="1:8">
      <c r="A871" s="5">
        <v>2024</v>
      </c>
      <c r="B871" s="6">
        <v>45505</v>
      </c>
      <c r="C871" s="5" t="s">
        <v>17</v>
      </c>
      <c r="D871" s="3" t="str" cm="1">
        <f t="array" ref="D871">_xlfn.IFS(
 ISNUMBER(SEARCH("WHISK",C871)),"Whiskey",
 ISNUMBER(SEARCH("BOURBON",C871)),"Whiskey",
 ISNUMBER(SEARCH("SCOTCH",C871)),"Whiskey",
 ISNUMBER(SEARCH("RYE",C871)),"Whiskey",
 ISNUMBER(SEARCH("VODKA",C871)),"Vodka",
 ISNUMBER(SEARCH("TEQUILA",C871)),"Tequila/Mezcal",
 ISNUMBER(SEARCH("MEZCAL",C871)),"Tequila/Mezcal",
 ISNUMBER(SEARCH("RUM",C871)),"Rum",
 ISNUMBER(SEARCH("BRAND",C871)),"Brandy",
 ISNUMBER(SEARCH("COGNAC",C871)),"Brandy",
 ISNUMBER(SEARCH("LIQUEUR",C871)),"Liqueurs",
 ISNUMBER(SEARCH("CORDIAL",C871)),"Liqueurs",
 ISNUMBER(SEARCH("SCHNAPP",C871)),"Liqueurs",
 ISNUMBER(SEARCH("GIN",C871)),"Gin",
 TRUE,"Other")</f>
        <v>Whiskey</v>
      </c>
      <c r="E871" s="5">
        <v>3532</v>
      </c>
      <c r="F871" s="5">
        <v>100572.27000000002</v>
      </c>
      <c r="G871" s="5">
        <v>3162</v>
      </c>
      <c r="H871" s="5">
        <v>581</v>
      </c>
    </row>
    <row r="872" spans="1:8">
      <c r="A872" s="5">
        <v>2024</v>
      </c>
      <c r="B872" s="6">
        <v>45505</v>
      </c>
      <c r="C872" s="5" t="s">
        <v>18</v>
      </c>
      <c r="D872" s="3" t="str" cm="1">
        <f t="array" ref="D872">_xlfn.IFS(
 ISNUMBER(SEARCH("WHISK",C872)),"Whiskey",
 ISNUMBER(SEARCH("BOURBON",C872)),"Whiskey",
 ISNUMBER(SEARCH("SCOTCH",C872)),"Whiskey",
 ISNUMBER(SEARCH("RYE",C872)),"Whiskey",
 ISNUMBER(SEARCH("VODKA",C872)),"Vodka",
 ISNUMBER(SEARCH("TEQUILA",C872)),"Tequila/Mezcal",
 ISNUMBER(SEARCH("MEZCAL",C872)),"Tequila/Mezcal",
 ISNUMBER(SEARCH("RUM",C872)),"Rum",
 ISNUMBER(SEARCH("BRAND",C872)),"Brandy",
 ISNUMBER(SEARCH("COGNAC",C872)),"Brandy",
 ISNUMBER(SEARCH("LIQUEUR",C872)),"Liqueurs",
 ISNUMBER(SEARCH("CORDIAL",C872)),"Liqueurs",
 ISNUMBER(SEARCH("SCHNAPP",C872)),"Liqueurs",
 ISNUMBER(SEARCH("GIN",C872)),"Gin",
 TRUE,"Other")</f>
        <v>Whiskey</v>
      </c>
      <c r="E872" s="5">
        <v>214036</v>
      </c>
      <c r="F872" s="5">
        <v>3392833.9999999106</v>
      </c>
      <c r="G872" s="5">
        <v>188620.96999999788</v>
      </c>
      <c r="H872" s="5">
        <v>20117</v>
      </c>
    </row>
    <row r="873" spans="1:8">
      <c r="A873" s="5">
        <v>2024</v>
      </c>
      <c r="B873" s="6">
        <v>45505</v>
      </c>
      <c r="C873" s="5" t="s">
        <v>19</v>
      </c>
      <c r="D873" s="3" t="str" cm="1">
        <f t="array" ref="D873">_xlfn.IFS(
 ISNUMBER(SEARCH("WHISK",C873)),"Whiskey",
 ISNUMBER(SEARCH("BOURBON",C873)),"Whiskey",
 ISNUMBER(SEARCH("SCOTCH",C873)),"Whiskey",
 ISNUMBER(SEARCH("RYE",C873)),"Whiskey",
 ISNUMBER(SEARCH("VODKA",C873)),"Vodka",
 ISNUMBER(SEARCH("TEQUILA",C873)),"Tequila/Mezcal",
 ISNUMBER(SEARCH("MEZCAL",C873)),"Tequila/Mezcal",
 ISNUMBER(SEARCH("RUM",C873)),"Rum",
 ISNUMBER(SEARCH("BRAND",C873)),"Brandy",
 ISNUMBER(SEARCH("COGNAC",C873)),"Brandy",
 ISNUMBER(SEARCH("LIQUEUR",C873)),"Liqueurs",
 ISNUMBER(SEARCH("CORDIAL",C873)),"Liqueurs",
 ISNUMBER(SEARCH("SCHNAPP",C873)),"Liqueurs",
 ISNUMBER(SEARCH("GIN",C873)),"Gin",
 TRUE,"Other")</f>
        <v>Other</v>
      </c>
      <c r="E873" s="5">
        <v>62236</v>
      </c>
      <c r="F873" s="5">
        <v>745713.06999999529</v>
      </c>
      <c r="G873" s="5">
        <v>71046.160000000222</v>
      </c>
      <c r="H873" s="5">
        <v>7312</v>
      </c>
    </row>
    <row r="874" spans="1:8">
      <c r="A874" s="5">
        <v>2024</v>
      </c>
      <c r="B874" s="6">
        <v>45505</v>
      </c>
      <c r="C874" s="5" t="s">
        <v>20</v>
      </c>
      <c r="D874" s="3" t="str" cm="1">
        <f t="array" ref="D874">_xlfn.IFS(
 ISNUMBER(SEARCH("WHISK",C874)),"Whiskey",
 ISNUMBER(SEARCH("BOURBON",C874)),"Whiskey",
 ISNUMBER(SEARCH("SCOTCH",C874)),"Whiskey",
 ISNUMBER(SEARCH("RYE",C874)),"Whiskey",
 ISNUMBER(SEARCH("VODKA",C874)),"Vodka",
 ISNUMBER(SEARCH("TEQUILA",C874)),"Tequila/Mezcal",
 ISNUMBER(SEARCH("MEZCAL",C874)),"Tequila/Mezcal",
 ISNUMBER(SEARCH("RUM",C874)),"Rum",
 ISNUMBER(SEARCH("BRAND",C874)),"Brandy",
 ISNUMBER(SEARCH("COGNAC",C874)),"Brandy",
 ISNUMBER(SEARCH("LIQUEUR",C874)),"Liqueurs",
 ISNUMBER(SEARCH("CORDIAL",C874)),"Liqueurs",
 ISNUMBER(SEARCH("SCHNAPP",C874)),"Liqueurs",
 ISNUMBER(SEARCH("GIN",C874)),"Gin",
 TRUE,"Other")</f>
        <v>Liqueurs</v>
      </c>
      <c r="E874" s="5">
        <v>7386</v>
      </c>
      <c r="F874" s="5">
        <v>159654.78000000081</v>
      </c>
      <c r="G874" s="5">
        <v>6346.7200000000048</v>
      </c>
      <c r="H874" s="5">
        <v>830</v>
      </c>
    </row>
    <row r="875" spans="1:8">
      <c r="A875" s="5">
        <v>2024</v>
      </c>
      <c r="B875" s="6">
        <v>45505</v>
      </c>
      <c r="C875" s="5" t="s">
        <v>22</v>
      </c>
      <c r="D875" s="3" t="str" cm="1">
        <f t="array" ref="D875">_xlfn.IFS(
 ISNUMBER(SEARCH("WHISK",C875)),"Whiskey",
 ISNUMBER(SEARCH("BOURBON",C875)),"Whiskey",
 ISNUMBER(SEARCH("SCOTCH",C875)),"Whiskey",
 ISNUMBER(SEARCH("RYE",C875)),"Whiskey",
 ISNUMBER(SEARCH("VODKA",C875)),"Vodka",
 ISNUMBER(SEARCH("TEQUILA",C875)),"Tequila/Mezcal",
 ISNUMBER(SEARCH("MEZCAL",C875)),"Tequila/Mezcal",
 ISNUMBER(SEARCH("RUM",C875)),"Rum",
 ISNUMBER(SEARCH("BRAND",C875)),"Brandy",
 ISNUMBER(SEARCH("COGNAC",C875)),"Brandy",
 ISNUMBER(SEARCH("LIQUEUR",C875)),"Liqueurs",
 ISNUMBER(SEARCH("CORDIAL",C875)),"Liqueurs",
 ISNUMBER(SEARCH("SCHNAPP",C875)),"Liqueurs",
 ISNUMBER(SEARCH("GIN",C875)),"Gin",
 TRUE,"Other")</f>
        <v>Liqueurs</v>
      </c>
      <c r="E875" s="5">
        <v>22448</v>
      </c>
      <c r="F875" s="5">
        <v>442888.73999999592</v>
      </c>
      <c r="G875" s="5">
        <v>18742.219999999907</v>
      </c>
      <c r="H875" s="5">
        <v>3358</v>
      </c>
    </row>
    <row r="876" spans="1:8">
      <c r="A876" s="5">
        <v>2024</v>
      </c>
      <c r="B876" s="6">
        <v>45505</v>
      </c>
      <c r="C876" s="5" t="s">
        <v>23</v>
      </c>
      <c r="D876" s="3" t="str" cm="1">
        <f t="array" ref="D876">_xlfn.IFS(
 ISNUMBER(SEARCH("WHISK",C876)),"Whiskey",
 ISNUMBER(SEARCH("BOURBON",C876)),"Whiskey",
 ISNUMBER(SEARCH("SCOTCH",C876)),"Whiskey",
 ISNUMBER(SEARCH("RYE",C876)),"Whiskey",
 ISNUMBER(SEARCH("VODKA",C876)),"Vodka",
 ISNUMBER(SEARCH("TEQUILA",C876)),"Tequila/Mezcal",
 ISNUMBER(SEARCH("MEZCAL",C876)),"Tequila/Mezcal",
 ISNUMBER(SEARCH("RUM",C876)),"Rum",
 ISNUMBER(SEARCH("BRAND",C876)),"Brandy",
 ISNUMBER(SEARCH("COGNAC",C876)),"Brandy",
 ISNUMBER(SEARCH("LIQUEUR",C876)),"Liqueurs",
 ISNUMBER(SEARCH("CORDIAL",C876)),"Liqueurs",
 ISNUMBER(SEARCH("SCHNAPP",C876)),"Liqueurs",
 ISNUMBER(SEARCH("GIN",C876)),"Gin",
 TRUE,"Other")</f>
        <v>Gin</v>
      </c>
      <c r="E876" s="5">
        <v>3587</v>
      </c>
      <c r="F876" s="5">
        <v>91618.730000000054</v>
      </c>
      <c r="G876" s="5">
        <v>2661</v>
      </c>
      <c r="H876" s="5">
        <v>461</v>
      </c>
    </row>
    <row r="877" spans="1:8">
      <c r="A877" s="5">
        <v>2024</v>
      </c>
      <c r="B877" s="6">
        <v>45505</v>
      </c>
      <c r="C877" s="5" t="s">
        <v>24</v>
      </c>
      <c r="D877" s="3" t="str" cm="1">
        <f t="array" ref="D877">_xlfn.IFS(
 ISNUMBER(SEARCH("WHISK",C877)),"Whiskey",
 ISNUMBER(SEARCH("BOURBON",C877)),"Whiskey",
 ISNUMBER(SEARCH("SCOTCH",C877)),"Whiskey",
 ISNUMBER(SEARCH("RYE",C877)),"Whiskey",
 ISNUMBER(SEARCH("VODKA",C877)),"Vodka",
 ISNUMBER(SEARCH("TEQUILA",C877)),"Tequila/Mezcal",
 ISNUMBER(SEARCH("MEZCAL",C877)),"Tequila/Mezcal",
 ISNUMBER(SEARCH("RUM",C877)),"Rum",
 ISNUMBER(SEARCH("BRAND",C877)),"Brandy",
 ISNUMBER(SEARCH("COGNAC",C877)),"Brandy",
 ISNUMBER(SEARCH("LIQUEUR",C877)),"Liqueurs",
 ISNUMBER(SEARCH("CORDIAL",C877)),"Liqueurs",
 ISNUMBER(SEARCH("SCHNAPP",C877)),"Liqueurs",
 ISNUMBER(SEARCH("GIN",C877)),"Gin",
 TRUE,"Other")</f>
        <v>Rum</v>
      </c>
      <c r="E877" s="5">
        <v>41208</v>
      </c>
      <c r="F877" s="5">
        <v>620159.68000000017</v>
      </c>
      <c r="G877" s="5">
        <v>38384.059999999969</v>
      </c>
      <c r="H877" s="5">
        <v>4222</v>
      </c>
    </row>
    <row r="878" spans="1:8">
      <c r="A878" s="5">
        <v>2024</v>
      </c>
      <c r="B878" s="6">
        <v>45505</v>
      </c>
      <c r="C878" s="5" t="s">
        <v>25</v>
      </c>
      <c r="D878" s="3" t="str" cm="1">
        <f t="array" ref="D878">_xlfn.IFS(
 ISNUMBER(SEARCH("WHISK",C878)),"Whiskey",
 ISNUMBER(SEARCH("BOURBON",C878)),"Whiskey",
 ISNUMBER(SEARCH("SCOTCH",C878)),"Whiskey",
 ISNUMBER(SEARCH("RYE",C878)),"Whiskey",
 ISNUMBER(SEARCH("VODKA",C878)),"Vodka",
 ISNUMBER(SEARCH("TEQUILA",C878)),"Tequila/Mezcal",
 ISNUMBER(SEARCH("MEZCAL",C878)),"Tequila/Mezcal",
 ISNUMBER(SEARCH("RUM",C878)),"Rum",
 ISNUMBER(SEARCH("BRAND",C878)),"Brandy",
 ISNUMBER(SEARCH("COGNAC",C878)),"Brandy",
 ISNUMBER(SEARCH("LIQUEUR",C878)),"Liqueurs",
 ISNUMBER(SEARCH("CORDIAL",C878)),"Liqueurs",
 ISNUMBER(SEARCH("SCHNAPP",C878)),"Liqueurs",
 ISNUMBER(SEARCH("GIN",C878)),"Gin",
 TRUE,"Other")</f>
        <v>Rum</v>
      </c>
      <c r="E878" s="5">
        <v>6155</v>
      </c>
      <c r="F878" s="5">
        <v>83177.739999999962</v>
      </c>
      <c r="G878" s="5">
        <v>6638.5400000000072</v>
      </c>
      <c r="H878" s="5">
        <v>846</v>
      </c>
    </row>
    <row r="879" spans="1:8">
      <c r="A879" s="5">
        <v>2024</v>
      </c>
      <c r="B879" s="6">
        <v>45505</v>
      </c>
      <c r="C879" s="5" t="s">
        <v>26</v>
      </c>
      <c r="D879" s="3" t="str" cm="1">
        <f t="array" ref="D879">_xlfn.IFS(
 ISNUMBER(SEARCH("WHISK",C879)),"Whiskey",
 ISNUMBER(SEARCH("BOURBON",C879)),"Whiskey",
 ISNUMBER(SEARCH("SCOTCH",C879)),"Whiskey",
 ISNUMBER(SEARCH("RYE",C879)),"Whiskey",
 ISNUMBER(SEARCH("VODKA",C879)),"Vodka",
 ISNUMBER(SEARCH("TEQUILA",C879)),"Tequila/Mezcal",
 ISNUMBER(SEARCH("MEZCAL",C879)),"Tequila/Mezcal",
 ISNUMBER(SEARCH("RUM",C879)),"Rum",
 ISNUMBER(SEARCH("BRAND",C879)),"Brandy",
 ISNUMBER(SEARCH("COGNAC",C879)),"Brandy",
 ISNUMBER(SEARCH("LIQUEUR",C879)),"Liqueurs",
 ISNUMBER(SEARCH("CORDIAL",C879)),"Liqueurs",
 ISNUMBER(SEARCH("SCHNAPP",C879)),"Liqueurs",
 ISNUMBER(SEARCH("GIN",C879)),"Gin",
 TRUE,"Other")</f>
        <v>Brandy</v>
      </c>
      <c r="E879" s="5">
        <v>33687</v>
      </c>
      <c r="F879" s="5">
        <v>771961.3499999959</v>
      </c>
      <c r="G879" s="5">
        <v>15683.169999999966</v>
      </c>
      <c r="H879" s="5">
        <v>3018</v>
      </c>
    </row>
    <row r="880" spans="1:8">
      <c r="A880" s="5">
        <v>2024</v>
      </c>
      <c r="B880" s="6">
        <v>45505</v>
      </c>
      <c r="C880" s="5" t="s">
        <v>60</v>
      </c>
      <c r="D880" s="3" t="str" cm="1">
        <f t="array" ref="D880">_xlfn.IFS(
 ISNUMBER(SEARCH("WHISK",C880)),"Whiskey",
 ISNUMBER(SEARCH("BOURBON",C880)),"Whiskey",
 ISNUMBER(SEARCH("SCOTCH",C880)),"Whiskey",
 ISNUMBER(SEARCH("RYE",C880)),"Whiskey",
 ISNUMBER(SEARCH("VODKA",C880)),"Vodka",
 ISNUMBER(SEARCH("TEQUILA",C880)),"Tequila/Mezcal",
 ISNUMBER(SEARCH("MEZCAL",C880)),"Tequila/Mezcal",
 ISNUMBER(SEARCH("RUM",C880)),"Rum",
 ISNUMBER(SEARCH("BRAND",C880)),"Brandy",
 ISNUMBER(SEARCH("COGNAC",C880)),"Brandy",
 ISNUMBER(SEARCH("LIQUEUR",C880)),"Liqueurs",
 ISNUMBER(SEARCH("CORDIAL",C880)),"Liqueurs",
 ISNUMBER(SEARCH("SCHNAPP",C880)),"Liqueurs",
 ISNUMBER(SEARCH("GIN",C880)),"Gin",
 TRUE,"Other")</f>
        <v>Liqueurs</v>
      </c>
      <c r="E880" s="5">
        <v>39047</v>
      </c>
      <c r="F880" s="5">
        <v>916658.89000000339</v>
      </c>
      <c r="G880" s="5">
        <v>28936.859999999917</v>
      </c>
      <c r="H880" s="5">
        <v>4573</v>
      </c>
    </row>
    <row r="881" spans="1:8">
      <c r="A881" s="5">
        <v>2024</v>
      </c>
      <c r="B881" s="6">
        <v>45505</v>
      </c>
      <c r="C881" s="5" t="s">
        <v>28</v>
      </c>
      <c r="D881" s="3" t="str" cm="1">
        <f t="array" ref="D881">_xlfn.IFS(
 ISNUMBER(SEARCH("WHISK",C881)),"Whiskey",
 ISNUMBER(SEARCH("BOURBON",C881)),"Whiskey",
 ISNUMBER(SEARCH("SCOTCH",C881)),"Whiskey",
 ISNUMBER(SEARCH("RYE",C881)),"Whiskey",
 ISNUMBER(SEARCH("VODKA",C881)),"Vodka",
 ISNUMBER(SEARCH("TEQUILA",C881)),"Tequila/Mezcal",
 ISNUMBER(SEARCH("MEZCAL",C881)),"Tequila/Mezcal",
 ISNUMBER(SEARCH("RUM",C881)),"Rum",
 ISNUMBER(SEARCH("BRAND",C881)),"Brandy",
 ISNUMBER(SEARCH("COGNAC",C881)),"Brandy",
 ISNUMBER(SEARCH("LIQUEUR",C881)),"Liqueurs",
 ISNUMBER(SEARCH("CORDIAL",C881)),"Liqueurs",
 ISNUMBER(SEARCH("SCHNAPP",C881)),"Liqueurs",
 ISNUMBER(SEARCH("GIN",C881)),"Gin",
 TRUE,"Other")</f>
        <v>Other</v>
      </c>
      <c r="E881" s="5">
        <v>36069</v>
      </c>
      <c r="F881" s="5">
        <v>267139.73000000016</v>
      </c>
      <c r="G881" s="5">
        <v>32363.639999999967</v>
      </c>
      <c r="H881" s="5">
        <v>799</v>
      </c>
    </row>
    <row r="882" spans="1:8">
      <c r="A882" s="5">
        <v>2024</v>
      </c>
      <c r="B882" s="6">
        <v>45505</v>
      </c>
      <c r="C882" s="5" t="s">
        <v>29</v>
      </c>
      <c r="D882" s="3" t="str" cm="1">
        <f t="array" ref="D882">_xlfn.IFS(
 ISNUMBER(SEARCH("WHISK",C882)),"Whiskey",
 ISNUMBER(SEARCH("BOURBON",C882)),"Whiskey",
 ISNUMBER(SEARCH("SCOTCH",C882)),"Whiskey",
 ISNUMBER(SEARCH("RYE",C882)),"Whiskey",
 ISNUMBER(SEARCH("VODKA",C882)),"Vodka",
 ISNUMBER(SEARCH("TEQUILA",C882)),"Tequila/Mezcal",
 ISNUMBER(SEARCH("MEZCAL",C882)),"Tequila/Mezcal",
 ISNUMBER(SEARCH("RUM",C882)),"Rum",
 ISNUMBER(SEARCH("BRAND",C882)),"Brandy",
 ISNUMBER(SEARCH("COGNAC",C882)),"Brandy",
 ISNUMBER(SEARCH("LIQUEUR",C882)),"Liqueurs",
 ISNUMBER(SEARCH("CORDIAL",C882)),"Liqueurs",
 ISNUMBER(SEARCH("SCHNAPP",C882)),"Liqueurs",
 ISNUMBER(SEARCH("GIN",C882)),"Gin",
 TRUE,"Other")</f>
        <v>Gin</v>
      </c>
      <c r="E882" s="5">
        <v>20267</v>
      </c>
      <c r="F882" s="5">
        <v>535757.75999999791</v>
      </c>
      <c r="G882" s="5">
        <v>19901.86</v>
      </c>
      <c r="H882" s="5">
        <v>2239</v>
      </c>
    </row>
    <row r="883" spans="1:8">
      <c r="A883" s="5">
        <v>2024</v>
      </c>
      <c r="B883" s="6">
        <v>45505</v>
      </c>
      <c r="C883" s="5" t="s">
        <v>30</v>
      </c>
      <c r="D883" s="3" t="str" cm="1">
        <f t="array" ref="D883">_xlfn.IFS(
 ISNUMBER(SEARCH("WHISK",C883)),"Whiskey",
 ISNUMBER(SEARCH("BOURBON",C883)),"Whiskey",
 ISNUMBER(SEARCH("SCOTCH",C883)),"Whiskey",
 ISNUMBER(SEARCH("RYE",C883)),"Whiskey",
 ISNUMBER(SEARCH("VODKA",C883)),"Vodka",
 ISNUMBER(SEARCH("TEQUILA",C883)),"Tequila/Mezcal",
 ISNUMBER(SEARCH("MEZCAL",C883)),"Tequila/Mezcal",
 ISNUMBER(SEARCH("RUM",C883)),"Rum",
 ISNUMBER(SEARCH("BRAND",C883)),"Brandy",
 ISNUMBER(SEARCH("COGNAC",C883)),"Brandy",
 ISNUMBER(SEARCH("LIQUEUR",C883)),"Liqueurs",
 ISNUMBER(SEARCH("CORDIAL",C883)),"Liqueurs",
 ISNUMBER(SEARCH("SCHNAPP",C883)),"Liqueurs",
 ISNUMBER(SEARCH("GIN",C883)),"Gin",
 TRUE,"Other")</f>
        <v>Vodka</v>
      </c>
      <c r="E883" s="5">
        <v>25121</v>
      </c>
      <c r="F883" s="5">
        <v>402262.23000000214</v>
      </c>
      <c r="G883" s="5">
        <v>19693.320000000003</v>
      </c>
      <c r="H883" s="5">
        <v>2586</v>
      </c>
    </row>
    <row r="884" spans="1:8">
      <c r="A884" s="5">
        <v>2024</v>
      </c>
      <c r="B884" s="6">
        <v>45505</v>
      </c>
      <c r="C884" s="5" t="s">
        <v>31</v>
      </c>
      <c r="D884" s="3" t="str" cm="1">
        <f t="array" ref="D884">_xlfn.IFS(
 ISNUMBER(SEARCH("WHISK",C884)),"Whiskey",
 ISNUMBER(SEARCH("BOURBON",C884)),"Whiskey",
 ISNUMBER(SEARCH("SCOTCH",C884)),"Whiskey",
 ISNUMBER(SEARCH("RYE",C884)),"Whiskey",
 ISNUMBER(SEARCH("VODKA",C884)),"Vodka",
 ISNUMBER(SEARCH("TEQUILA",C884)),"Tequila/Mezcal",
 ISNUMBER(SEARCH("MEZCAL",C884)),"Tequila/Mezcal",
 ISNUMBER(SEARCH("RUM",C884)),"Rum",
 ISNUMBER(SEARCH("BRAND",C884)),"Brandy",
 ISNUMBER(SEARCH("COGNAC",C884)),"Brandy",
 ISNUMBER(SEARCH("LIQUEUR",C884)),"Liqueurs",
 ISNUMBER(SEARCH("CORDIAL",C884)),"Liqueurs",
 ISNUMBER(SEARCH("SCHNAPP",C884)),"Liqueurs",
 ISNUMBER(SEARCH("GIN",C884)),"Gin",
 TRUE,"Other")</f>
        <v>Liqueurs</v>
      </c>
      <c r="E884" s="5">
        <v>28446</v>
      </c>
      <c r="F884" s="5">
        <v>505128.02000000176</v>
      </c>
      <c r="G884" s="5">
        <v>25444.879999999848</v>
      </c>
      <c r="H884" s="5">
        <v>2515</v>
      </c>
    </row>
    <row r="885" spans="1:8">
      <c r="A885" s="5">
        <v>2024</v>
      </c>
      <c r="B885" s="6">
        <v>45505</v>
      </c>
      <c r="C885" s="5" t="s">
        <v>32</v>
      </c>
      <c r="D885" s="3" t="str" cm="1">
        <f t="array" ref="D885">_xlfn.IFS(
 ISNUMBER(SEARCH("WHISK",C885)),"Whiskey",
 ISNUMBER(SEARCH("BOURBON",C885)),"Whiskey",
 ISNUMBER(SEARCH("SCOTCH",C885)),"Whiskey",
 ISNUMBER(SEARCH("RYE",C885)),"Whiskey",
 ISNUMBER(SEARCH("VODKA",C885)),"Vodka",
 ISNUMBER(SEARCH("TEQUILA",C885)),"Tequila/Mezcal",
 ISNUMBER(SEARCH("MEZCAL",C885)),"Tequila/Mezcal",
 ISNUMBER(SEARCH("RUM",C885)),"Rum",
 ISNUMBER(SEARCH("BRAND",C885)),"Brandy",
 ISNUMBER(SEARCH("COGNAC",C885)),"Brandy",
 ISNUMBER(SEARCH("LIQUEUR",C885)),"Liqueurs",
 ISNUMBER(SEARCH("CORDIAL",C885)),"Liqueurs",
 ISNUMBER(SEARCH("SCHNAPP",C885)),"Liqueurs",
 ISNUMBER(SEARCH("GIN",C885)),"Gin",
 TRUE,"Other")</f>
        <v>Vodka</v>
      </c>
      <c r="E885" s="5">
        <v>67600</v>
      </c>
      <c r="F885" s="5">
        <v>1111921.6999999683</v>
      </c>
      <c r="G885" s="5">
        <v>67148.560000000434</v>
      </c>
      <c r="H885" s="5">
        <v>5064</v>
      </c>
    </row>
    <row r="886" spans="1:8">
      <c r="A886" s="5">
        <v>2024</v>
      </c>
      <c r="B886" s="6">
        <v>45505</v>
      </c>
      <c r="C886" s="5" t="s">
        <v>33</v>
      </c>
      <c r="D886" s="3" t="str" cm="1">
        <f t="array" ref="D886">_xlfn.IFS(
 ISNUMBER(SEARCH("WHISK",C886)),"Whiskey",
 ISNUMBER(SEARCH("BOURBON",C886)),"Whiskey",
 ISNUMBER(SEARCH("SCOTCH",C886)),"Whiskey",
 ISNUMBER(SEARCH("RYE",C886)),"Whiskey",
 ISNUMBER(SEARCH("VODKA",C886)),"Vodka",
 ISNUMBER(SEARCH("TEQUILA",C886)),"Tequila/Mezcal",
 ISNUMBER(SEARCH("MEZCAL",C886)),"Tequila/Mezcal",
 ISNUMBER(SEARCH("RUM",C886)),"Rum",
 ISNUMBER(SEARCH("BRAND",C886)),"Brandy",
 ISNUMBER(SEARCH("COGNAC",C886)),"Brandy",
 ISNUMBER(SEARCH("LIQUEUR",C886)),"Liqueurs",
 ISNUMBER(SEARCH("CORDIAL",C886)),"Liqueurs",
 ISNUMBER(SEARCH("SCHNAPP",C886)),"Liqueurs",
 ISNUMBER(SEARCH("GIN",C886)),"Gin",
 TRUE,"Other")</f>
        <v>Whiskey</v>
      </c>
      <c r="E886" s="5">
        <v>28048</v>
      </c>
      <c r="F886" s="5">
        <v>762424.91999999166</v>
      </c>
      <c r="G886" s="5">
        <v>22894.019999999953</v>
      </c>
      <c r="H886" s="5">
        <v>2519</v>
      </c>
    </row>
    <row r="887" spans="1:8">
      <c r="A887" s="5">
        <v>2024</v>
      </c>
      <c r="B887" s="6">
        <v>45505</v>
      </c>
      <c r="C887" s="5" t="s">
        <v>34</v>
      </c>
      <c r="D887" s="3" t="str" cm="1">
        <f t="array" ref="D887">_xlfn.IFS(
 ISNUMBER(SEARCH("WHISK",C887)),"Whiskey",
 ISNUMBER(SEARCH("BOURBON",C887)),"Whiskey",
 ISNUMBER(SEARCH("SCOTCH",C887)),"Whiskey",
 ISNUMBER(SEARCH("RYE",C887)),"Whiskey",
 ISNUMBER(SEARCH("VODKA",C887)),"Vodka",
 ISNUMBER(SEARCH("TEQUILA",C887)),"Tequila/Mezcal",
 ISNUMBER(SEARCH("MEZCAL",C887)),"Tequila/Mezcal",
 ISNUMBER(SEARCH("RUM",C887)),"Rum",
 ISNUMBER(SEARCH("BRAND",C887)),"Brandy",
 ISNUMBER(SEARCH("COGNAC",C887)),"Brandy",
 ISNUMBER(SEARCH("LIQUEUR",C887)),"Liqueurs",
 ISNUMBER(SEARCH("CORDIAL",C887)),"Liqueurs",
 ISNUMBER(SEARCH("SCHNAPP",C887)),"Liqueurs",
 ISNUMBER(SEARCH("GIN",C887)),"Gin",
 TRUE,"Other")</f>
        <v>Tequila/Mezcal</v>
      </c>
      <c r="E887" s="5">
        <v>1298</v>
      </c>
      <c r="F887" s="5">
        <v>40931.709999999992</v>
      </c>
      <c r="G887" s="5">
        <v>974.7</v>
      </c>
      <c r="H887" s="5">
        <v>237</v>
      </c>
    </row>
    <row r="888" spans="1:8">
      <c r="A888" s="5">
        <v>2024</v>
      </c>
      <c r="B888" s="6">
        <v>45505</v>
      </c>
      <c r="C888" s="5" t="s">
        <v>35</v>
      </c>
      <c r="D888" s="3" t="str" cm="1">
        <f t="array" ref="D888">_xlfn.IFS(
 ISNUMBER(SEARCH("WHISK",C888)),"Whiskey",
 ISNUMBER(SEARCH("BOURBON",C888)),"Whiskey",
 ISNUMBER(SEARCH("SCOTCH",C888)),"Whiskey",
 ISNUMBER(SEARCH("RYE",C888)),"Whiskey",
 ISNUMBER(SEARCH("VODKA",C888)),"Vodka",
 ISNUMBER(SEARCH("TEQUILA",C888)),"Tequila/Mezcal",
 ISNUMBER(SEARCH("MEZCAL",C888)),"Tequila/Mezcal",
 ISNUMBER(SEARCH("RUM",C888)),"Rum",
 ISNUMBER(SEARCH("BRAND",C888)),"Brandy",
 ISNUMBER(SEARCH("COGNAC",C888)),"Brandy",
 ISNUMBER(SEARCH("LIQUEUR",C888)),"Liqueurs",
 ISNUMBER(SEARCH("CORDIAL",C888)),"Liqueurs",
 ISNUMBER(SEARCH("SCHNAPP",C888)),"Liqueurs",
 ISNUMBER(SEARCH("GIN",C888)),"Gin",
 TRUE,"Other")</f>
        <v>Tequila/Mezcal</v>
      </c>
      <c r="E888" s="5">
        <v>67458</v>
      </c>
      <c r="F888" s="5">
        <v>954935.26999999094</v>
      </c>
      <c r="G888" s="5">
        <v>50430.739999999954</v>
      </c>
      <c r="H888" s="5">
        <v>4720</v>
      </c>
    </row>
    <row r="889" spans="1:8">
      <c r="A889" s="5">
        <v>2024</v>
      </c>
      <c r="B889" s="6">
        <v>45505</v>
      </c>
      <c r="C889" s="5" t="s">
        <v>36</v>
      </c>
      <c r="D889" s="3" t="str" cm="1">
        <f t="array" ref="D889">_xlfn.IFS(
 ISNUMBER(SEARCH("WHISK",C889)),"Whiskey",
 ISNUMBER(SEARCH("BOURBON",C889)),"Whiskey",
 ISNUMBER(SEARCH("SCOTCH",C889)),"Whiskey",
 ISNUMBER(SEARCH("RYE",C889)),"Whiskey",
 ISNUMBER(SEARCH("VODKA",C889)),"Vodka",
 ISNUMBER(SEARCH("TEQUILA",C889)),"Tequila/Mezcal",
 ISNUMBER(SEARCH("MEZCAL",C889)),"Tequila/Mezcal",
 ISNUMBER(SEARCH("RUM",C889)),"Rum",
 ISNUMBER(SEARCH("BRAND",C889)),"Brandy",
 ISNUMBER(SEARCH("COGNAC",C889)),"Brandy",
 ISNUMBER(SEARCH("LIQUEUR",C889)),"Liqueurs",
 ISNUMBER(SEARCH("CORDIAL",C889)),"Liqueurs",
 ISNUMBER(SEARCH("SCHNAPP",C889)),"Liqueurs",
 ISNUMBER(SEARCH("GIN",C889)),"Gin",
 TRUE,"Other")</f>
        <v>Other</v>
      </c>
      <c r="E889" s="5">
        <v>3020</v>
      </c>
      <c r="F889" s="5">
        <v>42956.310000000012</v>
      </c>
      <c r="G889" s="5">
        <v>2392.7000000000003</v>
      </c>
      <c r="H889" s="5">
        <v>358</v>
      </c>
    </row>
    <row r="890" spans="1:8">
      <c r="A890" s="5">
        <v>2024</v>
      </c>
      <c r="B890" s="6">
        <v>45505</v>
      </c>
      <c r="C890" s="5" t="s">
        <v>37</v>
      </c>
      <c r="D890" s="3" t="str" cm="1">
        <f t="array" ref="D890">_xlfn.IFS(
 ISNUMBER(SEARCH("WHISK",C890)),"Whiskey",
 ISNUMBER(SEARCH("BOURBON",C890)),"Whiskey",
 ISNUMBER(SEARCH("SCOTCH",C890)),"Whiskey",
 ISNUMBER(SEARCH("RYE",C890)),"Whiskey",
 ISNUMBER(SEARCH("VODKA",C890)),"Vodka",
 ISNUMBER(SEARCH("TEQUILA",C890)),"Tequila/Mezcal",
 ISNUMBER(SEARCH("MEZCAL",C890)),"Tequila/Mezcal",
 ISNUMBER(SEARCH("RUM",C890)),"Rum",
 ISNUMBER(SEARCH("BRAND",C890)),"Brandy",
 ISNUMBER(SEARCH("COGNAC",C890)),"Brandy",
 ISNUMBER(SEARCH("LIQUEUR",C890)),"Liqueurs",
 ISNUMBER(SEARCH("CORDIAL",C890)),"Liqueurs",
 ISNUMBER(SEARCH("SCHNAPP",C890)),"Liqueurs",
 ISNUMBER(SEARCH("GIN",C890)),"Gin",
 TRUE,"Other")</f>
        <v>Other</v>
      </c>
      <c r="E890" s="5">
        <v>16130</v>
      </c>
      <c r="F890" s="5">
        <v>267060.08000000281</v>
      </c>
      <c r="G890" s="5">
        <v>8254.5000000000218</v>
      </c>
      <c r="H890" s="5">
        <v>3072</v>
      </c>
    </row>
    <row r="891" spans="1:8">
      <c r="A891" s="5">
        <v>2024</v>
      </c>
      <c r="B891" s="6">
        <v>45505</v>
      </c>
      <c r="C891" s="5" t="s">
        <v>38</v>
      </c>
      <c r="D891" s="3" t="str" cm="1">
        <f t="array" ref="D891">_xlfn.IFS(
 ISNUMBER(SEARCH("WHISK",C891)),"Whiskey",
 ISNUMBER(SEARCH("BOURBON",C891)),"Whiskey",
 ISNUMBER(SEARCH("SCOTCH",C891)),"Whiskey",
 ISNUMBER(SEARCH("RYE",C891)),"Whiskey",
 ISNUMBER(SEARCH("VODKA",C891)),"Vodka",
 ISNUMBER(SEARCH("TEQUILA",C891)),"Tequila/Mezcal",
 ISNUMBER(SEARCH("MEZCAL",C891)),"Tequila/Mezcal",
 ISNUMBER(SEARCH("RUM",C891)),"Rum",
 ISNUMBER(SEARCH("BRAND",C891)),"Brandy",
 ISNUMBER(SEARCH("COGNAC",C891)),"Brandy",
 ISNUMBER(SEARCH("LIQUEUR",C891)),"Liqueurs",
 ISNUMBER(SEARCH("CORDIAL",C891)),"Liqueurs",
 ISNUMBER(SEARCH("SCHNAPP",C891)),"Liqueurs",
 ISNUMBER(SEARCH("GIN",C891)),"Gin",
 TRUE,"Other")</f>
        <v>Whiskey</v>
      </c>
      <c r="E891" s="5">
        <v>14968</v>
      </c>
      <c r="F891" s="5">
        <v>419935.35999999882</v>
      </c>
      <c r="G891" s="5">
        <v>15883.760000000017</v>
      </c>
      <c r="H891" s="5">
        <v>2411</v>
      </c>
    </row>
    <row r="892" spans="1:8">
      <c r="A892" s="5">
        <v>2024</v>
      </c>
      <c r="B892" s="6">
        <v>45505</v>
      </c>
      <c r="C892" s="5" t="s">
        <v>40</v>
      </c>
      <c r="D892" s="3" t="str" cm="1">
        <f t="array" ref="D892">_xlfn.IFS(
 ISNUMBER(SEARCH("WHISK",C892)),"Whiskey",
 ISNUMBER(SEARCH("BOURBON",C892)),"Whiskey",
 ISNUMBER(SEARCH("SCOTCH",C892)),"Whiskey",
 ISNUMBER(SEARCH("RYE",C892)),"Whiskey",
 ISNUMBER(SEARCH("VODKA",C892)),"Vodka",
 ISNUMBER(SEARCH("TEQUILA",C892)),"Tequila/Mezcal",
 ISNUMBER(SEARCH("MEZCAL",C892)),"Tequila/Mezcal",
 ISNUMBER(SEARCH("RUM",C892)),"Rum",
 ISNUMBER(SEARCH("BRAND",C892)),"Brandy",
 ISNUMBER(SEARCH("COGNAC",C892)),"Brandy",
 ISNUMBER(SEARCH("LIQUEUR",C892)),"Liqueurs",
 ISNUMBER(SEARCH("CORDIAL",C892)),"Liqueurs",
 ISNUMBER(SEARCH("SCHNAPP",C892)),"Liqueurs",
 ISNUMBER(SEARCH("GIN",C892)),"Gin",
 TRUE,"Other")</f>
        <v>Whiskey</v>
      </c>
      <c r="E892" s="5">
        <v>3964</v>
      </c>
      <c r="F892" s="5">
        <v>221830.03000000044</v>
      </c>
      <c r="G892" s="5">
        <v>3078.75</v>
      </c>
      <c r="H892" s="5">
        <v>1114</v>
      </c>
    </row>
    <row r="893" spans="1:8">
      <c r="A893" s="5">
        <v>2024</v>
      </c>
      <c r="B893" s="6">
        <v>45505</v>
      </c>
      <c r="C893" s="5" t="s">
        <v>41</v>
      </c>
      <c r="D893" s="3" t="str" cm="1">
        <f t="array" ref="D893">_xlfn.IFS(
 ISNUMBER(SEARCH("WHISK",C893)),"Whiskey",
 ISNUMBER(SEARCH("BOURBON",C893)),"Whiskey",
 ISNUMBER(SEARCH("SCOTCH",C893)),"Whiskey",
 ISNUMBER(SEARCH("RYE",C893)),"Whiskey",
 ISNUMBER(SEARCH("VODKA",C893)),"Vodka",
 ISNUMBER(SEARCH("TEQUILA",C893)),"Tequila/Mezcal",
 ISNUMBER(SEARCH("MEZCAL",C893)),"Tequila/Mezcal",
 ISNUMBER(SEARCH("RUM",C893)),"Rum",
 ISNUMBER(SEARCH("BRAND",C893)),"Brandy",
 ISNUMBER(SEARCH("COGNAC",C893)),"Brandy",
 ISNUMBER(SEARCH("LIQUEUR",C893)),"Liqueurs",
 ISNUMBER(SEARCH("CORDIAL",C893)),"Liqueurs",
 ISNUMBER(SEARCH("SCHNAPP",C893)),"Liqueurs",
 ISNUMBER(SEARCH("GIN",C893)),"Gin",
 TRUE,"Other")</f>
        <v>Other</v>
      </c>
      <c r="E893" s="5">
        <v>1871</v>
      </c>
      <c r="F893" s="5">
        <v>22088.510000000013</v>
      </c>
      <c r="G893" s="5">
        <v>937.14999999999964</v>
      </c>
      <c r="H893" s="5">
        <v>148</v>
      </c>
    </row>
    <row r="894" spans="1:8">
      <c r="A894" s="5">
        <v>2024</v>
      </c>
      <c r="B894" s="6">
        <v>45505</v>
      </c>
      <c r="C894" s="5" t="s">
        <v>42</v>
      </c>
      <c r="D894" s="3" t="str" cm="1">
        <f t="array" ref="D894">_xlfn.IFS(
 ISNUMBER(SEARCH("WHISK",C894)),"Whiskey",
 ISNUMBER(SEARCH("BOURBON",C894)),"Whiskey",
 ISNUMBER(SEARCH("SCOTCH",C894)),"Whiskey",
 ISNUMBER(SEARCH("RYE",C894)),"Whiskey",
 ISNUMBER(SEARCH("VODKA",C894)),"Vodka",
 ISNUMBER(SEARCH("TEQUILA",C894)),"Tequila/Mezcal",
 ISNUMBER(SEARCH("MEZCAL",C894)),"Tequila/Mezcal",
 ISNUMBER(SEARCH("RUM",C894)),"Rum",
 ISNUMBER(SEARCH("BRAND",C894)),"Brandy",
 ISNUMBER(SEARCH("COGNAC",C894)),"Brandy",
 ISNUMBER(SEARCH("LIQUEUR",C894)),"Liqueurs",
 ISNUMBER(SEARCH("CORDIAL",C894)),"Liqueurs",
 ISNUMBER(SEARCH("SCHNAPP",C894)),"Liqueurs",
 ISNUMBER(SEARCH("GIN",C894)),"Gin",
 TRUE,"Other")</f>
        <v>Rum</v>
      </c>
      <c r="E894" s="5">
        <v>102328</v>
      </c>
      <c r="F894" s="5">
        <v>1449795.4899999239</v>
      </c>
      <c r="G894" s="5">
        <v>89917.270000000572</v>
      </c>
      <c r="H894" s="5">
        <v>8068</v>
      </c>
    </row>
    <row r="895" spans="1:8">
      <c r="A895" s="5">
        <v>2024</v>
      </c>
      <c r="B895" s="6">
        <v>45505</v>
      </c>
      <c r="C895" s="5" t="s">
        <v>43</v>
      </c>
      <c r="D895" s="3" t="str" cm="1">
        <f t="array" ref="D895">_xlfn.IFS(
 ISNUMBER(SEARCH("WHISK",C895)),"Whiskey",
 ISNUMBER(SEARCH("BOURBON",C895)),"Whiskey",
 ISNUMBER(SEARCH("SCOTCH",C895)),"Whiskey",
 ISNUMBER(SEARCH("RYE",C895)),"Whiskey",
 ISNUMBER(SEARCH("VODKA",C895)),"Vodka",
 ISNUMBER(SEARCH("TEQUILA",C895)),"Tequila/Mezcal",
 ISNUMBER(SEARCH("MEZCAL",C895)),"Tequila/Mezcal",
 ISNUMBER(SEARCH("RUM",C895)),"Rum",
 ISNUMBER(SEARCH("BRAND",C895)),"Brandy",
 ISNUMBER(SEARCH("COGNAC",C895)),"Brandy",
 ISNUMBER(SEARCH("LIQUEUR",C895)),"Liqueurs",
 ISNUMBER(SEARCH("CORDIAL",C895)),"Liqueurs",
 ISNUMBER(SEARCH("SCHNAPP",C895)),"Liqueurs",
 ISNUMBER(SEARCH("GIN",C895)),"Gin",
 TRUE,"Other")</f>
        <v>Whiskey</v>
      </c>
      <c r="E895" s="5">
        <v>137256</v>
      </c>
      <c r="F895" s="5">
        <v>3221106.6399999987</v>
      </c>
      <c r="G895" s="5">
        <v>110951.27000000144</v>
      </c>
      <c r="H895" s="5">
        <v>16355</v>
      </c>
    </row>
    <row r="896" spans="1:8">
      <c r="A896" s="5">
        <v>2024</v>
      </c>
      <c r="B896" s="6">
        <v>45505</v>
      </c>
      <c r="C896" s="5" t="s">
        <v>44</v>
      </c>
      <c r="D896" s="3" t="str" cm="1">
        <f t="array" ref="D896">_xlfn.IFS(
 ISNUMBER(SEARCH("WHISK",C896)),"Whiskey",
 ISNUMBER(SEARCH("BOURBON",C896)),"Whiskey",
 ISNUMBER(SEARCH("SCOTCH",C896)),"Whiskey",
 ISNUMBER(SEARCH("RYE",C896)),"Whiskey",
 ISNUMBER(SEARCH("VODKA",C896)),"Vodka",
 ISNUMBER(SEARCH("TEQUILA",C896)),"Tequila/Mezcal",
 ISNUMBER(SEARCH("MEZCAL",C896)),"Tequila/Mezcal",
 ISNUMBER(SEARCH("RUM",C896)),"Rum",
 ISNUMBER(SEARCH("BRAND",C896)),"Brandy",
 ISNUMBER(SEARCH("COGNAC",C896)),"Brandy",
 ISNUMBER(SEARCH("LIQUEUR",C896)),"Liqueurs",
 ISNUMBER(SEARCH("CORDIAL",C896)),"Liqueurs",
 ISNUMBER(SEARCH("SCHNAPP",C896)),"Liqueurs",
 ISNUMBER(SEARCH("GIN",C896)),"Gin",
 TRUE,"Other")</f>
        <v>Whiskey</v>
      </c>
      <c r="E896" s="5">
        <v>10656</v>
      </c>
      <c r="F896" s="5">
        <v>339188.52000000019</v>
      </c>
      <c r="G896" s="5">
        <v>8281.4999999999964</v>
      </c>
      <c r="H896" s="5">
        <v>1824</v>
      </c>
    </row>
    <row r="897" spans="1:8">
      <c r="A897" s="5">
        <v>2024</v>
      </c>
      <c r="B897" s="6">
        <v>45505</v>
      </c>
      <c r="C897" s="5" t="s">
        <v>45</v>
      </c>
      <c r="D897" s="3" t="str" cm="1">
        <f t="array" ref="D897">_xlfn.IFS(
 ISNUMBER(SEARCH("WHISK",C897)),"Whiskey",
 ISNUMBER(SEARCH("BOURBON",C897)),"Whiskey",
 ISNUMBER(SEARCH("SCOTCH",C897)),"Whiskey",
 ISNUMBER(SEARCH("RYE",C897)),"Whiskey",
 ISNUMBER(SEARCH("VODKA",C897)),"Vodka",
 ISNUMBER(SEARCH("TEQUILA",C897)),"Tequila/Mezcal",
 ISNUMBER(SEARCH("MEZCAL",C897)),"Tequila/Mezcal",
 ISNUMBER(SEARCH("RUM",C897)),"Rum",
 ISNUMBER(SEARCH("BRAND",C897)),"Brandy",
 ISNUMBER(SEARCH("COGNAC",C897)),"Brandy",
 ISNUMBER(SEARCH("LIQUEUR",C897)),"Liqueurs",
 ISNUMBER(SEARCH("CORDIAL",C897)),"Liqueurs",
 ISNUMBER(SEARCH("SCHNAPP",C897)),"Liqueurs",
 ISNUMBER(SEARCH("GIN",C897)),"Gin",
 TRUE,"Other")</f>
        <v>Other</v>
      </c>
      <c r="E897" s="5">
        <v>17897</v>
      </c>
      <c r="F897" s="5">
        <v>461078.58999999991</v>
      </c>
      <c r="G897" s="5">
        <v>14330.699999999972</v>
      </c>
      <c r="H897" s="5">
        <v>3627</v>
      </c>
    </row>
    <row r="898" spans="1:8">
      <c r="A898" s="5">
        <v>2024</v>
      </c>
      <c r="B898" s="6">
        <v>45505</v>
      </c>
      <c r="C898" s="5" t="s">
        <v>46</v>
      </c>
      <c r="D898" s="3" t="str" cm="1">
        <f t="array" ref="D898">_xlfn.IFS(
 ISNUMBER(SEARCH("WHISK",C898)),"Whiskey",
 ISNUMBER(SEARCH("BOURBON",C898)),"Whiskey",
 ISNUMBER(SEARCH("SCOTCH",C898)),"Whiskey",
 ISNUMBER(SEARCH("RYE",C898)),"Whiskey",
 ISNUMBER(SEARCH("VODKA",C898)),"Vodka",
 ISNUMBER(SEARCH("TEQUILA",C898)),"Tequila/Mezcal",
 ISNUMBER(SEARCH("MEZCAL",C898)),"Tequila/Mezcal",
 ISNUMBER(SEARCH("RUM",C898)),"Rum",
 ISNUMBER(SEARCH("BRAND",C898)),"Brandy",
 ISNUMBER(SEARCH("COGNAC",C898)),"Brandy",
 ISNUMBER(SEARCH("LIQUEUR",C898)),"Liqueurs",
 ISNUMBER(SEARCH("CORDIAL",C898)),"Liqueurs",
 ISNUMBER(SEARCH("SCHNAPP",C898)),"Liqueurs",
 ISNUMBER(SEARCH("GIN",C898)),"Gin",
 TRUE,"Other")</f>
        <v>Whiskey</v>
      </c>
      <c r="E898" s="5">
        <v>65020</v>
      </c>
      <c r="F898" s="5">
        <v>1540504.379999991</v>
      </c>
      <c r="G898" s="5">
        <v>48071.609999999826</v>
      </c>
      <c r="H898" s="5">
        <v>6383</v>
      </c>
    </row>
    <row r="899" spans="1:8">
      <c r="A899" s="5">
        <v>2024</v>
      </c>
      <c r="B899" s="6">
        <v>45505</v>
      </c>
      <c r="C899" s="5" t="s">
        <v>47</v>
      </c>
      <c r="D899" s="3" t="str" cm="1">
        <f t="array" ref="D899">_xlfn.IFS(
 ISNUMBER(SEARCH("WHISK",C899)),"Whiskey",
 ISNUMBER(SEARCH("BOURBON",C899)),"Whiskey",
 ISNUMBER(SEARCH("SCOTCH",C899)),"Whiskey",
 ISNUMBER(SEARCH("RYE",C899)),"Whiskey",
 ISNUMBER(SEARCH("VODKA",C899)),"Vodka",
 ISNUMBER(SEARCH("TEQUILA",C899)),"Tequila/Mezcal",
 ISNUMBER(SEARCH("MEZCAL",C899)),"Tequila/Mezcal",
 ISNUMBER(SEARCH("RUM",C899)),"Rum",
 ISNUMBER(SEARCH("BRAND",C899)),"Brandy",
 ISNUMBER(SEARCH("COGNAC",C899)),"Brandy",
 ISNUMBER(SEARCH("LIQUEUR",C899)),"Liqueurs",
 ISNUMBER(SEARCH("CORDIAL",C899)),"Liqueurs",
 ISNUMBER(SEARCH("SCHNAPP",C899)),"Liqueurs",
 ISNUMBER(SEARCH("GIN",C899)),"Gin",
 TRUE,"Other")</f>
        <v>Other</v>
      </c>
      <c r="E899" s="5">
        <v>17569</v>
      </c>
      <c r="F899" s="5">
        <v>72896.619999999966</v>
      </c>
      <c r="G899" s="5">
        <v>17329.5</v>
      </c>
      <c r="H899" s="5">
        <v>680</v>
      </c>
    </row>
    <row r="900" spans="1:8">
      <c r="A900" s="5">
        <v>2024</v>
      </c>
      <c r="B900" s="6">
        <v>45505</v>
      </c>
      <c r="C900" s="5" t="s">
        <v>48</v>
      </c>
      <c r="D900" s="3" t="str" cm="1">
        <f t="array" ref="D900">_xlfn.IFS(
 ISNUMBER(SEARCH("WHISK",C900)),"Whiskey",
 ISNUMBER(SEARCH("BOURBON",C900)),"Whiskey",
 ISNUMBER(SEARCH("SCOTCH",C900)),"Whiskey",
 ISNUMBER(SEARCH("RYE",C900)),"Whiskey",
 ISNUMBER(SEARCH("VODKA",C900)),"Vodka",
 ISNUMBER(SEARCH("TEQUILA",C900)),"Tequila/Mezcal",
 ISNUMBER(SEARCH("MEZCAL",C900)),"Tequila/Mezcal",
 ISNUMBER(SEARCH("RUM",C900)),"Rum",
 ISNUMBER(SEARCH("BRAND",C900)),"Brandy",
 ISNUMBER(SEARCH("COGNAC",C900)),"Brandy",
 ISNUMBER(SEARCH("LIQUEUR",C900)),"Liqueurs",
 ISNUMBER(SEARCH("CORDIAL",C900)),"Liqueurs",
 ISNUMBER(SEARCH("SCHNAPP",C900)),"Liqueurs",
 ISNUMBER(SEARCH("GIN",C900)),"Gin",
 TRUE,"Other")</f>
        <v>Whiskey</v>
      </c>
      <c r="E900" s="5">
        <v>395126</v>
      </c>
      <c r="F900" s="5">
        <v>2337686.5399999293</v>
      </c>
      <c r="G900" s="5">
        <v>94773.560000005586</v>
      </c>
      <c r="H900" s="5">
        <v>14186</v>
      </c>
    </row>
    <row r="901" spans="1:8">
      <c r="A901" s="5">
        <v>2024</v>
      </c>
      <c r="B901" s="6">
        <v>45505</v>
      </c>
      <c r="C901" s="5" t="s">
        <v>49</v>
      </c>
      <c r="D901" s="3" t="str" cm="1">
        <f t="array" ref="D901">_xlfn.IFS(
 ISNUMBER(SEARCH("WHISK",C901)),"Whiskey",
 ISNUMBER(SEARCH("BOURBON",C901)),"Whiskey",
 ISNUMBER(SEARCH("SCOTCH",C901)),"Whiskey",
 ISNUMBER(SEARCH("RYE",C901)),"Whiskey",
 ISNUMBER(SEARCH("VODKA",C901)),"Vodka",
 ISNUMBER(SEARCH("TEQUILA",C901)),"Tequila/Mezcal",
 ISNUMBER(SEARCH("MEZCAL",C901)),"Tequila/Mezcal",
 ISNUMBER(SEARCH("RUM",C901)),"Rum",
 ISNUMBER(SEARCH("BRAND",C901)),"Brandy",
 ISNUMBER(SEARCH("COGNAC",C901)),"Brandy",
 ISNUMBER(SEARCH("LIQUEUR",C901)),"Liqueurs",
 ISNUMBER(SEARCH("CORDIAL",C901)),"Liqueurs",
 ISNUMBER(SEARCH("SCHNAPP",C901)),"Liqueurs",
 ISNUMBER(SEARCH("GIN",C901)),"Gin",
 TRUE,"Other")</f>
        <v>Rum</v>
      </c>
      <c r="E901" s="5">
        <v>40706</v>
      </c>
      <c r="F901" s="5">
        <v>496143.89999999764</v>
      </c>
      <c r="G901" s="5">
        <v>43295.730000000018</v>
      </c>
      <c r="H901" s="5">
        <v>3597</v>
      </c>
    </row>
    <row r="902" spans="1:8">
      <c r="A902" s="5">
        <v>2024</v>
      </c>
      <c r="B902" s="6">
        <v>45505</v>
      </c>
      <c r="C902" s="5" t="s">
        <v>39</v>
      </c>
      <c r="D902" s="3" t="str" cm="1">
        <f t="array" ref="D902">_xlfn.IFS(
 ISNUMBER(SEARCH("WHISK",C902)),"Whiskey",
 ISNUMBER(SEARCH("BOURBON",C902)),"Whiskey",
 ISNUMBER(SEARCH("SCOTCH",C902)),"Whiskey",
 ISNUMBER(SEARCH("RYE",C902)),"Whiskey",
 ISNUMBER(SEARCH("VODKA",C902)),"Vodka",
 ISNUMBER(SEARCH("TEQUILA",C902)),"Tequila/Mezcal",
 ISNUMBER(SEARCH("MEZCAL",C902)),"Tequila/Mezcal",
 ISNUMBER(SEARCH("RUM",C902)),"Rum",
 ISNUMBER(SEARCH("BRAND",C902)),"Brandy",
 ISNUMBER(SEARCH("COGNAC",C902)),"Brandy",
 ISNUMBER(SEARCH("LIQUEUR",C902)),"Liqueurs",
 ISNUMBER(SEARCH("CORDIAL",C902)),"Liqueurs",
 ISNUMBER(SEARCH("SCHNAPP",C902)),"Liqueurs",
 ISNUMBER(SEARCH("GIN",C902)),"Gin",
 TRUE,"Other")</f>
        <v>Whiskey</v>
      </c>
      <c r="E902" s="5">
        <v>3159</v>
      </c>
      <c r="F902" s="5">
        <v>124238.88000000008</v>
      </c>
      <c r="G902" s="5">
        <v>2301.75</v>
      </c>
      <c r="H902" s="5">
        <v>476</v>
      </c>
    </row>
    <row r="903" spans="1:8">
      <c r="A903" s="5">
        <v>2024</v>
      </c>
      <c r="B903" s="6">
        <v>45505</v>
      </c>
      <c r="C903" s="5" t="s">
        <v>21</v>
      </c>
      <c r="D903" s="3" t="str" cm="1">
        <f t="array" ref="D903">_xlfn.IFS(
 ISNUMBER(SEARCH("WHISK",C903)),"Whiskey",
 ISNUMBER(SEARCH("BOURBON",C903)),"Whiskey",
 ISNUMBER(SEARCH("SCOTCH",C903)),"Whiskey",
 ISNUMBER(SEARCH("RYE",C903)),"Whiskey",
 ISNUMBER(SEARCH("VODKA",C903)),"Vodka",
 ISNUMBER(SEARCH("TEQUILA",C903)),"Tequila/Mezcal",
 ISNUMBER(SEARCH("MEZCAL",C903)),"Tequila/Mezcal",
 ISNUMBER(SEARCH("RUM",C903)),"Rum",
 ISNUMBER(SEARCH("BRAND",C903)),"Brandy",
 ISNUMBER(SEARCH("COGNAC",C903)),"Brandy",
 ISNUMBER(SEARCH("LIQUEUR",C903)),"Liqueurs",
 ISNUMBER(SEARCH("CORDIAL",C903)),"Liqueurs",
 ISNUMBER(SEARCH("SCHNAPP",C903)),"Liqueurs",
 ISNUMBER(SEARCH("GIN",C903)),"Gin",
 TRUE,"Other")</f>
        <v>Whiskey</v>
      </c>
      <c r="E903" s="5">
        <v>402</v>
      </c>
      <c r="F903" s="5">
        <v>10480.720000000001</v>
      </c>
      <c r="G903" s="5">
        <v>281.24</v>
      </c>
      <c r="H903" s="5">
        <v>79</v>
      </c>
    </row>
    <row r="904" spans="1:8">
      <c r="A904" s="5">
        <v>2024</v>
      </c>
      <c r="B904" s="6">
        <v>45505</v>
      </c>
      <c r="C904" s="5" t="s">
        <v>14</v>
      </c>
      <c r="D904" s="3" t="str" cm="1">
        <f t="array" ref="D904">_xlfn.IFS(
 ISNUMBER(SEARCH("WHISK",C904)),"Whiskey",
 ISNUMBER(SEARCH("BOURBON",C904)),"Whiskey",
 ISNUMBER(SEARCH("SCOTCH",C904)),"Whiskey",
 ISNUMBER(SEARCH("RYE",C904)),"Whiskey",
 ISNUMBER(SEARCH("VODKA",C904)),"Vodka",
 ISNUMBER(SEARCH("TEQUILA",C904)),"Tequila/Mezcal",
 ISNUMBER(SEARCH("MEZCAL",C904)),"Tequila/Mezcal",
 ISNUMBER(SEARCH("RUM",C904)),"Rum",
 ISNUMBER(SEARCH("BRAND",C904)),"Brandy",
 ISNUMBER(SEARCH("COGNAC",C904)),"Brandy",
 ISNUMBER(SEARCH("LIQUEUR",C904)),"Liqueurs",
 ISNUMBER(SEARCH("CORDIAL",C904)),"Liqueurs",
 ISNUMBER(SEARCH("SCHNAPP",C904)),"Liqueurs",
 ISNUMBER(SEARCH("GIN",C904)),"Gin",
 TRUE,"Other")</f>
        <v>Gin</v>
      </c>
      <c r="E904" s="5">
        <v>254</v>
      </c>
      <c r="F904" s="5">
        <v>2169.1599999999989</v>
      </c>
      <c r="G904" s="5">
        <v>254</v>
      </c>
      <c r="H904" s="5">
        <v>46</v>
      </c>
    </row>
    <row r="905" spans="1:8">
      <c r="A905" s="5">
        <v>2024</v>
      </c>
      <c r="B905" s="6">
        <v>45536</v>
      </c>
      <c r="C905" s="5" t="s">
        <v>50</v>
      </c>
      <c r="D905" s="3" t="str" cm="1">
        <f t="array" ref="D905">_xlfn.IFS(
 ISNUMBER(SEARCH("WHISK",C905)),"Whiskey",
 ISNUMBER(SEARCH("BOURBON",C905)),"Whiskey",
 ISNUMBER(SEARCH("SCOTCH",C905)),"Whiskey",
 ISNUMBER(SEARCH("RYE",C905)),"Whiskey",
 ISNUMBER(SEARCH("VODKA",C905)),"Vodka",
 ISNUMBER(SEARCH("TEQUILA",C905)),"Tequila/Mezcal",
 ISNUMBER(SEARCH("MEZCAL",C905)),"Tequila/Mezcal",
 ISNUMBER(SEARCH("RUM",C905)),"Rum",
 ISNUMBER(SEARCH("BRAND",C905)),"Brandy",
 ISNUMBER(SEARCH("COGNAC",C905)),"Brandy",
 ISNUMBER(SEARCH("LIQUEUR",C905)),"Liqueurs",
 ISNUMBER(SEARCH("CORDIAL",C905)),"Liqueurs",
 ISNUMBER(SEARCH("SCHNAPP",C905)),"Liqueurs",
 ISNUMBER(SEARCH("GIN",C905)),"Gin",
 TRUE,"Other")</f>
        <v>Tequila/Mezcal</v>
      </c>
      <c r="E905" s="5">
        <v>96435</v>
      </c>
      <c r="F905" s="5">
        <v>2797915.5899999593</v>
      </c>
      <c r="G905" s="5">
        <v>65429.790000000612</v>
      </c>
      <c r="H905" s="5">
        <v>11158</v>
      </c>
    </row>
    <row r="906" spans="1:8">
      <c r="A906" s="5">
        <v>2024</v>
      </c>
      <c r="B906" s="6">
        <v>45536</v>
      </c>
      <c r="C906" s="5" t="s">
        <v>8</v>
      </c>
      <c r="D906" s="3" t="str" cm="1">
        <f t="array" ref="D906">_xlfn.IFS(
 ISNUMBER(SEARCH("WHISK",C906)),"Whiskey",
 ISNUMBER(SEARCH("BOURBON",C906)),"Whiskey",
 ISNUMBER(SEARCH("SCOTCH",C906)),"Whiskey",
 ISNUMBER(SEARCH("RYE",C906)),"Whiskey",
 ISNUMBER(SEARCH("VODKA",C906)),"Vodka",
 ISNUMBER(SEARCH("TEQUILA",C906)),"Tequila/Mezcal",
 ISNUMBER(SEARCH("MEZCAL",C906)),"Tequila/Mezcal",
 ISNUMBER(SEARCH("RUM",C906)),"Rum",
 ISNUMBER(SEARCH("BRAND",C906)),"Brandy",
 ISNUMBER(SEARCH("COGNAC",C906)),"Brandy",
 ISNUMBER(SEARCH("LIQUEUR",C906)),"Liqueurs",
 ISNUMBER(SEARCH("CORDIAL",C906)),"Liqueurs",
 ISNUMBER(SEARCH("SCHNAPP",C906)),"Liqueurs",
 ISNUMBER(SEARCH("GIN",C906)),"Gin",
 TRUE,"Other")</f>
        <v>Brandy</v>
      </c>
      <c r="E906" s="5">
        <v>55835</v>
      </c>
      <c r="F906" s="5">
        <v>361231.2600000017</v>
      </c>
      <c r="G906" s="5">
        <v>27640.729999999705</v>
      </c>
      <c r="H906" s="5">
        <v>4230</v>
      </c>
    </row>
    <row r="907" spans="1:8">
      <c r="A907" s="5">
        <v>2024</v>
      </c>
      <c r="B907" s="6">
        <v>45536</v>
      </c>
      <c r="C907" s="5" t="s">
        <v>59</v>
      </c>
      <c r="D907" s="3" t="str" cm="1">
        <f t="array" ref="D907">_xlfn.IFS(
 ISNUMBER(SEARCH("WHISK",C907)),"Whiskey",
 ISNUMBER(SEARCH("BOURBON",C907)),"Whiskey",
 ISNUMBER(SEARCH("SCOTCH",C907)),"Whiskey",
 ISNUMBER(SEARCH("RYE",C907)),"Whiskey",
 ISNUMBER(SEARCH("VODKA",C907)),"Vodka",
 ISNUMBER(SEARCH("TEQUILA",C907)),"Tequila/Mezcal",
 ISNUMBER(SEARCH("MEZCAL",C907)),"Tequila/Mezcal",
 ISNUMBER(SEARCH("RUM",C907)),"Rum",
 ISNUMBER(SEARCH("BRAND",C907)),"Brandy",
 ISNUMBER(SEARCH("COGNAC",C907)),"Brandy",
 ISNUMBER(SEARCH("LIQUEUR",C907)),"Liqueurs",
 ISNUMBER(SEARCH("CORDIAL",C907)),"Liqueurs",
 ISNUMBER(SEARCH("SCHNAPP",C907)),"Liqueurs",
 ISNUMBER(SEARCH("GIN",C907)),"Gin",
 TRUE,"Other")</f>
        <v>Liqueurs</v>
      </c>
      <c r="E907" s="5">
        <v>31118</v>
      </c>
      <c r="F907" s="5">
        <v>341217.32000000484</v>
      </c>
      <c r="G907" s="5">
        <v>12171.859999999782</v>
      </c>
      <c r="H907" s="5">
        <v>4505</v>
      </c>
    </row>
    <row r="908" spans="1:8">
      <c r="A908" s="5">
        <v>2024</v>
      </c>
      <c r="B908" s="6">
        <v>45536</v>
      </c>
      <c r="C908" s="5" t="s">
        <v>12</v>
      </c>
      <c r="D908" s="3" t="str" cm="1">
        <f t="array" ref="D908">_xlfn.IFS(
 ISNUMBER(SEARCH("WHISK",C908)),"Whiskey",
 ISNUMBER(SEARCH("BOURBON",C908)),"Whiskey",
 ISNUMBER(SEARCH("SCOTCH",C908)),"Whiskey",
 ISNUMBER(SEARCH("RYE",C908)),"Whiskey",
 ISNUMBER(SEARCH("VODKA",C908)),"Vodka",
 ISNUMBER(SEARCH("TEQUILA",C908)),"Tequila/Mezcal",
 ISNUMBER(SEARCH("MEZCAL",C908)),"Tequila/Mezcal",
 ISNUMBER(SEARCH("RUM",C908)),"Rum",
 ISNUMBER(SEARCH("BRAND",C908)),"Brandy",
 ISNUMBER(SEARCH("COGNAC",C908)),"Brandy",
 ISNUMBER(SEARCH("LIQUEUR",C908)),"Liqueurs",
 ISNUMBER(SEARCH("CORDIAL",C908)),"Liqueurs",
 ISNUMBER(SEARCH("SCHNAPP",C908)),"Liqueurs",
 ISNUMBER(SEARCH("GIN",C908)),"Gin",
 TRUE,"Other")</f>
        <v>Vodka</v>
      </c>
      <c r="E908" s="5">
        <v>79757</v>
      </c>
      <c r="F908" s="5">
        <v>910818.6000000299</v>
      </c>
      <c r="G908" s="5">
        <v>53963.510000000053</v>
      </c>
      <c r="H908" s="5">
        <v>9164</v>
      </c>
    </row>
    <row r="909" spans="1:8">
      <c r="A909" s="5">
        <v>2024</v>
      </c>
      <c r="B909" s="6">
        <v>45536</v>
      </c>
      <c r="C909" s="5" t="s">
        <v>13</v>
      </c>
      <c r="D909" s="3" t="str" cm="1">
        <f t="array" ref="D909">_xlfn.IFS(
 ISNUMBER(SEARCH("WHISK",C909)),"Whiskey",
 ISNUMBER(SEARCH("BOURBON",C909)),"Whiskey",
 ISNUMBER(SEARCH("SCOTCH",C909)),"Whiskey",
 ISNUMBER(SEARCH("RYE",C909)),"Whiskey",
 ISNUMBER(SEARCH("VODKA",C909)),"Vodka",
 ISNUMBER(SEARCH("TEQUILA",C909)),"Tequila/Mezcal",
 ISNUMBER(SEARCH("MEZCAL",C909)),"Tequila/Mezcal",
 ISNUMBER(SEARCH("RUM",C909)),"Rum",
 ISNUMBER(SEARCH("BRAND",C909)),"Brandy",
 ISNUMBER(SEARCH("COGNAC",C909)),"Brandy",
 ISNUMBER(SEARCH("LIQUEUR",C909)),"Liqueurs",
 ISNUMBER(SEARCH("CORDIAL",C909)),"Liqueurs",
 ISNUMBER(SEARCH("SCHNAPP",C909)),"Liqueurs",
 ISNUMBER(SEARCH("GIN",C909)),"Gin",
 TRUE,"Other")</f>
        <v>Liqueurs</v>
      </c>
      <c r="E909" s="5">
        <v>84974</v>
      </c>
      <c r="F909" s="5">
        <v>611673.77000002959</v>
      </c>
      <c r="G909" s="5">
        <v>34421.979999998497</v>
      </c>
      <c r="H909" s="5">
        <v>7043</v>
      </c>
    </row>
    <row r="910" spans="1:8">
      <c r="A910" s="5">
        <v>2024</v>
      </c>
      <c r="B910" s="6">
        <v>45536</v>
      </c>
      <c r="C910" s="5" t="s">
        <v>15</v>
      </c>
      <c r="D910" s="3" t="str" cm="1">
        <f t="array" ref="D910">_xlfn.IFS(
 ISNUMBER(SEARCH("WHISK",C910)),"Whiskey",
 ISNUMBER(SEARCH("BOURBON",C910)),"Whiskey",
 ISNUMBER(SEARCH("SCOTCH",C910)),"Whiskey",
 ISNUMBER(SEARCH("RYE",C910)),"Whiskey",
 ISNUMBER(SEARCH("VODKA",C910)),"Vodka",
 ISNUMBER(SEARCH("TEQUILA",C910)),"Tequila/Mezcal",
 ISNUMBER(SEARCH("MEZCAL",C910)),"Tequila/Mezcal",
 ISNUMBER(SEARCH("RUM",C910)),"Rum",
 ISNUMBER(SEARCH("BRAND",C910)),"Brandy",
 ISNUMBER(SEARCH("COGNAC",C910)),"Brandy",
 ISNUMBER(SEARCH("LIQUEUR",C910)),"Liqueurs",
 ISNUMBER(SEARCH("CORDIAL",C910)),"Liqueurs",
 ISNUMBER(SEARCH("SCHNAPP",C910)),"Liqueurs",
 ISNUMBER(SEARCH("GIN",C910)),"Gin",
 TRUE,"Other")</f>
        <v>Vodka</v>
      </c>
      <c r="E910" s="5">
        <v>495971</v>
      </c>
      <c r="F910" s="5">
        <v>4570830.710000135</v>
      </c>
      <c r="G910" s="5">
        <v>410154.13999998366</v>
      </c>
      <c r="H910" s="5">
        <v>31873</v>
      </c>
    </row>
    <row r="911" spans="1:8">
      <c r="A911" s="5">
        <v>2024</v>
      </c>
      <c r="B911" s="6">
        <v>45536</v>
      </c>
      <c r="C911" s="5" t="s">
        <v>16</v>
      </c>
      <c r="D911" s="3" t="str" cm="1">
        <f t="array" ref="D911">_xlfn.IFS(
 ISNUMBER(SEARCH("WHISK",C911)),"Whiskey",
 ISNUMBER(SEARCH("BOURBON",C911)),"Whiskey",
 ISNUMBER(SEARCH("SCOTCH",C911)),"Whiskey",
 ISNUMBER(SEARCH("RYE",C911)),"Whiskey",
 ISNUMBER(SEARCH("VODKA",C911)),"Vodka",
 ISNUMBER(SEARCH("TEQUILA",C911)),"Tequila/Mezcal",
 ISNUMBER(SEARCH("MEZCAL",C911)),"Tequila/Mezcal",
 ISNUMBER(SEARCH("RUM",C911)),"Rum",
 ISNUMBER(SEARCH("BRAND",C911)),"Brandy",
 ISNUMBER(SEARCH("COGNAC",C911)),"Brandy",
 ISNUMBER(SEARCH("LIQUEUR",C911)),"Liqueurs",
 ISNUMBER(SEARCH("CORDIAL",C911)),"Liqueurs",
 ISNUMBER(SEARCH("SCHNAPP",C911)),"Liqueurs",
 ISNUMBER(SEARCH("GIN",C911)),"Gin",
 TRUE,"Other")</f>
        <v>Whiskey</v>
      </c>
      <c r="E911" s="5">
        <v>59358</v>
      </c>
      <c r="F911" s="5">
        <v>814490.90999999363</v>
      </c>
      <c r="G911" s="5">
        <v>48322.470000000132</v>
      </c>
      <c r="H911" s="5">
        <v>6316</v>
      </c>
    </row>
    <row r="912" spans="1:8">
      <c r="A912" s="5">
        <v>2024</v>
      </c>
      <c r="B912" s="6">
        <v>45536</v>
      </c>
      <c r="C912" s="5" t="s">
        <v>18</v>
      </c>
      <c r="D912" s="3" t="str" cm="1">
        <f t="array" ref="D912">_xlfn.IFS(
 ISNUMBER(SEARCH("WHISK",C912)),"Whiskey",
 ISNUMBER(SEARCH("BOURBON",C912)),"Whiskey",
 ISNUMBER(SEARCH("SCOTCH",C912)),"Whiskey",
 ISNUMBER(SEARCH("RYE",C912)),"Whiskey",
 ISNUMBER(SEARCH("VODKA",C912)),"Vodka",
 ISNUMBER(SEARCH("TEQUILA",C912)),"Tequila/Mezcal",
 ISNUMBER(SEARCH("MEZCAL",C912)),"Tequila/Mezcal",
 ISNUMBER(SEARCH("RUM",C912)),"Rum",
 ISNUMBER(SEARCH("BRAND",C912)),"Brandy",
 ISNUMBER(SEARCH("COGNAC",C912)),"Brandy",
 ISNUMBER(SEARCH("LIQUEUR",C912)),"Liqueurs",
 ISNUMBER(SEARCH("CORDIAL",C912)),"Liqueurs",
 ISNUMBER(SEARCH("SCHNAPP",C912)),"Liqueurs",
 ISNUMBER(SEARCH("GIN",C912)),"Gin",
 TRUE,"Other")</f>
        <v>Whiskey</v>
      </c>
      <c r="E912" s="5">
        <v>227266</v>
      </c>
      <c r="F912" s="5">
        <v>3558437.9299998428</v>
      </c>
      <c r="G912" s="5">
        <v>224442.309999997</v>
      </c>
      <c r="H912" s="5">
        <v>18194</v>
      </c>
    </row>
    <row r="913" spans="1:8">
      <c r="A913" s="5">
        <v>2024</v>
      </c>
      <c r="B913" s="6">
        <v>45536</v>
      </c>
      <c r="C913" s="5" t="s">
        <v>19</v>
      </c>
      <c r="D913" s="3" t="str" cm="1">
        <f t="array" ref="D913">_xlfn.IFS(
 ISNUMBER(SEARCH("WHISK",C913)),"Whiskey",
 ISNUMBER(SEARCH("BOURBON",C913)),"Whiskey",
 ISNUMBER(SEARCH("SCOTCH",C913)),"Whiskey",
 ISNUMBER(SEARCH("RYE",C913)),"Whiskey",
 ISNUMBER(SEARCH("VODKA",C913)),"Vodka",
 ISNUMBER(SEARCH("TEQUILA",C913)),"Tequila/Mezcal",
 ISNUMBER(SEARCH("MEZCAL",C913)),"Tequila/Mezcal",
 ISNUMBER(SEARCH("RUM",C913)),"Rum",
 ISNUMBER(SEARCH("BRAND",C913)),"Brandy",
 ISNUMBER(SEARCH("COGNAC",C913)),"Brandy",
 ISNUMBER(SEARCH("LIQUEUR",C913)),"Liqueurs",
 ISNUMBER(SEARCH("CORDIAL",C913)),"Liqueurs",
 ISNUMBER(SEARCH("SCHNAPP",C913)),"Liqueurs",
 ISNUMBER(SEARCH("GIN",C913)),"Gin",
 TRUE,"Other")</f>
        <v>Other</v>
      </c>
      <c r="E913" s="5">
        <v>58388</v>
      </c>
      <c r="F913" s="5">
        <v>688763.60999999731</v>
      </c>
      <c r="G913" s="5">
        <v>68406.4300000004</v>
      </c>
      <c r="H913" s="5">
        <v>6623</v>
      </c>
    </row>
    <row r="914" spans="1:8">
      <c r="A914" s="5">
        <v>2024</v>
      </c>
      <c r="B914" s="6">
        <v>45536</v>
      </c>
      <c r="C914" s="5" t="s">
        <v>20</v>
      </c>
      <c r="D914" s="3" t="str" cm="1">
        <f t="array" ref="D914">_xlfn.IFS(
 ISNUMBER(SEARCH("WHISK",C914)),"Whiskey",
 ISNUMBER(SEARCH("BOURBON",C914)),"Whiskey",
 ISNUMBER(SEARCH("SCOTCH",C914)),"Whiskey",
 ISNUMBER(SEARCH("RYE",C914)),"Whiskey",
 ISNUMBER(SEARCH("VODKA",C914)),"Vodka",
 ISNUMBER(SEARCH("TEQUILA",C914)),"Tequila/Mezcal",
 ISNUMBER(SEARCH("MEZCAL",C914)),"Tequila/Mezcal",
 ISNUMBER(SEARCH("RUM",C914)),"Rum",
 ISNUMBER(SEARCH("BRAND",C914)),"Brandy",
 ISNUMBER(SEARCH("COGNAC",C914)),"Brandy",
 ISNUMBER(SEARCH("LIQUEUR",C914)),"Liqueurs",
 ISNUMBER(SEARCH("CORDIAL",C914)),"Liqueurs",
 ISNUMBER(SEARCH("SCHNAPP",C914)),"Liqueurs",
 ISNUMBER(SEARCH("GIN",C914)),"Gin",
 TRUE,"Other")</f>
        <v>Liqueurs</v>
      </c>
      <c r="E914" s="5">
        <v>8049</v>
      </c>
      <c r="F914" s="5">
        <v>170473.03000000067</v>
      </c>
      <c r="G914" s="5">
        <v>6915.3600000000042</v>
      </c>
      <c r="H914" s="5">
        <v>829</v>
      </c>
    </row>
    <row r="915" spans="1:8">
      <c r="A915" s="5">
        <v>2024</v>
      </c>
      <c r="B915" s="6">
        <v>45536</v>
      </c>
      <c r="C915" s="5" t="s">
        <v>22</v>
      </c>
      <c r="D915" s="3" t="str" cm="1">
        <f t="array" ref="D915">_xlfn.IFS(
 ISNUMBER(SEARCH("WHISK",C915)),"Whiskey",
 ISNUMBER(SEARCH("BOURBON",C915)),"Whiskey",
 ISNUMBER(SEARCH("SCOTCH",C915)),"Whiskey",
 ISNUMBER(SEARCH("RYE",C915)),"Whiskey",
 ISNUMBER(SEARCH("VODKA",C915)),"Vodka",
 ISNUMBER(SEARCH("TEQUILA",C915)),"Tequila/Mezcal",
 ISNUMBER(SEARCH("MEZCAL",C915)),"Tequila/Mezcal",
 ISNUMBER(SEARCH("RUM",C915)),"Rum",
 ISNUMBER(SEARCH("BRAND",C915)),"Brandy",
 ISNUMBER(SEARCH("COGNAC",C915)),"Brandy",
 ISNUMBER(SEARCH("LIQUEUR",C915)),"Liqueurs",
 ISNUMBER(SEARCH("CORDIAL",C915)),"Liqueurs",
 ISNUMBER(SEARCH("SCHNAPP",C915)),"Liqueurs",
 ISNUMBER(SEARCH("GIN",C915)),"Gin",
 TRUE,"Other")</f>
        <v>Liqueurs</v>
      </c>
      <c r="E915" s="5">
        <v>23664</v>
      </c>
      <c r="F915" s="5">
        <v>494549.47999999556</v>
      </c>
      <c r="G915" s="5">
        <v>20594.07999999986</v>
      </c>
      <c r="H915" s="5">
        <v>2975</v>
      </c>
    </row>
    <row r="916" spans="1:8">
      <c r="A916" s="5">
        <v>2024</v>
      </c>
      <c r="B916" s="6">
        <v>45536</v>
      </c>
      <c r="C916" s="5" t="s">
        <v>24</v>
      </c>
      <c r="D916" s="3" t="str" cm="1">
        <f t="array" ref="D916">_xlfn.IFS(
 ISNUMBER(SEARCH("WHISK",C916)),"Whiskey",
 ISNUMBER(SEARCH("BOURBON",C916)),"Whiskey",
 ISNUMBER(SEARCH("SCOTCH",C916)),"Whiskey",
 ISNUMBER(SEARCH("RYE",C916)),"Whiskey",
 ISNUMBER(SEARCH("VODKA",C916)),"Vodka",
 ISNUMBER(SEARCH("TEQUILA",C916)),"Tequila/Mezcal",
 ISNUMBER(SEARCH("MEZCAL",C916)),"Tequila/Mezcal",
 ISNUMBER(SEARCH("RUM",C916)),"Rum",
 ISNUMBER(SEARCH("BRAND",C916)),"Brandy",
 ISNUMBER(SEARCH("COGNAC",C916)),"Brandy",
 ISNUMBER(SEARCH("LIQUEUR",C916)),"Liqueurs",
 ISNUMBER(SEARCH("CORDIAL",C916)),"Liqueurs",
 ISNUMBER(SEARCH("SCHNAPP",C916)),"Liqueurs",
 ISNUMBER(SEARCH("GIN",C916)),"Gin",
 TRUE,"Other")</f>
        <v>Rum</v>
      </c>
      <c r="E916" s="5">
        <v>32493</v>
      </c>
      <c r="F916" s="5">
        <v>479962.69000000128</v>
      </c>
      <c r="G916" s="5">
        <v>29582.019999999942</v>
      </c>
      <c r="H916" s="5">
        <v>3549</v>
      </c>
    </row>
    <row r="917" spans="1:8">
      <c r="A917" s="5">
        <v>2024</v>
      </c>
      <c r="B917" s="6">
        <v>45536</v>
      </c>
      <c r="C917" s="5" t="s">
        <v>25</v>
      </c>
      <c r="D917" s="3" t="str" cm="1">
        <f t="array" ref="D917">_xlfn.IFS(
 ISNUMBER(SEARCH("WHISK",C917)),"Whiskey",
 ISNUMBER(SEARCH("BOURBON",C917)),"Whiskey",
 ISNUMBER(SEARCH("SCOTCH",C917)),"Whiskey",
 ISNUMBER(SEARCH("RYE",C917)),"Whiskey",
 ISNUMBER(SEARCH("VODKA",C917)),"Vodka",
 ISNUMBER(SEARCH("TEQUILA",C917)),"Tequila/Mezcal",
 ISNUMBER(SEARCH("MEZCAL",C917)),"Tequila/Mezcal",
 ISNUMBER(SEARCH("RUM",C917)),"Rum",
 ISNUMBER(SEARCH("BRAND",C917)),"Brandy",
 ISNUMBER(SEARCH("COGNAC",C917)),"Brandy",
 ISNUMBER(SEARCH("LIQUEUR",C917)),"Liqueurs",
 ISNUMBER(SEARCH("CORDIAL",C917)),"Liqueurs",
 ISNUMBER(SEARCH("SCHNAPP",C917)),"Liqueurs",
 ISNUMBER(SEARCH("GIN",C917)),"Gin",
 TRUE,"Other")</f>
        <v>Rum</v>
      </c>
      <c r="E917" s="5">
        <v>5234</v>
      </c>
      <c r="F917" s="5">
        <v>73424.090000000026</v>
      </c>
      <c r="G917" s="5">
        <v>5551.1100000000051</v>
      </c>
      <c r="H917" s="5">
        <v>815</v>
      </c>
    </row>
    <row r="918" spans="1:8">
      <c r="A918" s="5">
        <v>2024</v>
      </c>
      <c r="B918" s="6">
        <v>45536</v>
      </c>
      <c r="C918" s="5" t="s">
        <v>60</v>
      </c>
      <c r="D918" s="3" t="str" cm="1">
        <f t="array" ref="D918">_xlfn.IFS(
 ISNUMBER(SEARCH("WHISK",C918)),"Whiskey",
 ISNUMBER(SEARCH("BOURBON",C918)),"Whiskey",
 ISNUMBER(SEARCH("SCOTCH",C918)),"Whiskey",
 ISNUMBER(SEARCH("RYE",C918)),"Whiskey",
 ISNUMBER(SEARCH("VODKA",C918)),"Vodka",
 ISNUMBER(SEARCH("TEQUILA",C918)),"Tequila/Mezcal",
 ISNUMBER(SEARCH("MEZCAL",C918)),"Tequila/Mezcal",
 ISNUMBER(SEARCH("RUM",C918)),"Rum",
 ISNUMBER(SEARCH("BRAND",C918)),"Brandy",
 ISNUMBER(SEARCH("COGNAC",C918)),"Brandy",
 ISNUMBER(SEARCH("LIQUEUR",C918)),"Liqueurs",
 ISNUMBER(SEARCH("CORDIAL",C918)),"Liqueurs",
 ISNUMBER(SEARCH("SCHNAPP",C918)),"Liqueurs",
 ISNUMBER(SEARCH("GIN",C918)),"Gin",
 TRUE,"Other")</f>
        <v>Liqueurs</v>
      </c>
      <c r="E918" s="5">
        <v>39408</v>
      </c>
      <c r="F918" s="5">
        <v>921219.28000000119</v>
      </c>
      <c r="G918" s="5">
        <v>28660.439999999955</v>
      </c>
      <c r="H918" s="5">
        <v>4227</v>
      </c>
    </row>
    <row r="919" spans="1:8">
      <c r="A919" s="5">
        <v>2024</v>
      </c>
      <c r="B919" s="6">
        <v>45536</v>
      </c>
      <c r="C919" s="5" t="s">
        <v>31</v>
      </c>
      <c r="D919" s="3" t="str" cm="1">
        <f t="array" ref="D919">_xlfn.IFS(
 ISNUMBER(SEARCH("WHISK",C919)),"Whiskey",
 ISNUMBER(SEARCH("BOURBON",C919)),"Whiskey",
 ISNUMBER(SEARCH("SCOTCH",C919)),"Whiskey",
 ISNUMBER(SEARCH("RYE",C919)),"Whiskey",
 ISNUMBER(SEARCH("VODKA",C919)),"Vodka",
 ISNUMBER(SEARCH("TEQUILA",C919)),"Tequila/Mezcal",
 ISNUMBER(SEARCH("MEZCAL",C919)),"Tequila/Mezcal",
 ISNUMBER(SEARCH("RUM",C919)),"Rum",
 ISNUMBER(SEARCH("BRAND",C919)),"Brandy",
 ISNUMBER(SEARCH("COGNAC",C919)),"Brandy",
 ISNUMBER(SEARCH("LIQUEUR",C919)),"Liqueurs",
 ISNUMBER(SEARCH("CORDIAL",C919)),"Liqueurs",
 ISNUMBER(SEARCH("SCHNAPP",C919)),"Liqueurs",
 ISNUMBER(SEARCH("GIN",C919)),"Gin",
 TRUE,"Other")</f>
        <v>Liqueurs</v>
      </c>
      <c r="E919" s="5">
        <v>27234</v>
      </c>
      <c r="F919" s="5">
        <v>481909.25000000122</v>
      </c>
      <c r="G919" s="5">
        <v>24160.379999999863</v>
      </c>
      <c r="H919" s="5">
        <v>2527</v>
      </c>
    </row>
    <row r="920" spans="1:8">
      <c r="A920" s="5">
        <v>2024</v>
      </c>
      <c r="B920" s="6">
        <v>45536</v>
      </c>
      <c r="C920" s="5" t="s">
        <v>32</v>
      </c>
      <c r="D920" s="3" t="str" cm="1">
        <f t="array" ref="D920">_xlfn.IFS(
 ISNUMBER(SEARCH("WHISK",C920)),"Whiskey",
 ISNUMBER(SEARCH("BOURBON",C920)),"Whiskey",
 ISNUMBER(SEARCH("SCOTCH",C920)),"Whiskey",
 ISNUMBER(SEARCH("RYE",C920)),"Whiskey",
 ISNUMBER(SEARCH("VODKA",C920)),"Vodka",
 ISNUMBER(SEARCH("TEQUILA",C920)),"Tequila/Mezcal",
 ISNUMBER(SEARCH("MEZCAL",C920)),"Tequila/Mezcal",
 ISNUMBER(SEARCH("RUM",C920)),"Rum",
 ISNUMBER(SEARCH("BRAND",C920)),"Brandy",
 ISNUMBER(SEARCH("COGNAC",C920)),"Brandy",
 ISNUMBER(SEARCH("LIQUEUR",C920)),"Liqueurs",
 ISNUMBER(SEARCH("CORDIAL",C920)),"Liqueurs",
 ISNUMBER(SEARCH("SCHNAPP",C920)),"Liqueurs",
 ISNUMBER(SEARCH("GIN",C920)),"Gin",
 TRUE,"Other")</f>
        <v>Vodka</v>
      </c>
      <c r="E920" s="5">
        <v>50809</v>
      </c>
      <c r="F920" s="5">
        <v>843462.96999998577</v>
      </c>
      <c r="G920" s="5">
        <v>53460.980000000251</v>
      </c>
      <c r="H920" s="5">
        <v>4242</v>
      </c>
    </row>
    <row r="921" spans="1:8">
      <c r="A921" s="5">
        <v>2024</v>
      </c>
      <c r="B921" s="6">
        <v>45536</v>
      </c>
      <c r="C921" s="5" t="s">
        <v>33</v>
      </c>
      <c r="D921" s="3" t="str" cm="1">
        <f t="array" ref="D921">_xlfn.IFS(
 ISNUMBER(SEARCH("WHISK",C921)),"Whiskey",
 ISNUMBER(SEARCH("BOURBON",C921)),"Whiskey",
 ISNUMBER(SEARCH("SCOTCH",C921)),"Whiskey",
 ISNUMBER(SEARCH("RYE",C921)),"Whiskey",
 ISNUMBER(SEARCH("VODKA",C921)),"Vodka",
 ISNUMBER(SEARCH("TEQUILA",C921)),"Tequila/Mezcal",
 ISNUMBER(SEARCH("MEZCAL",C921)),"Tequila/Mezcal",
 ISNUMBER(SEARCH("RUM",C921)),"Rum",
 ISNUMBER(SEARCH("BRAND",C921)),"Brandy",
 ISNUMBER(SEARCH("COGNAC",C921)),"Brandy",
 ISNUMBER(SEARCH("LIQUEUR",C921)),"Liqueurs",
 ISNUMBER(SEARCH("CORDIAL",C921)),"Liqueurs",
 ISNUMBER(SEARCH("SCHNAPP",C921)),"Liqueurs",
 ISNUMBER(SEARCH("GIN",C921)),"Gin",
 TRUE,"Other")</f>
        <v>Whiskey</v>
      </c>
      <c r="E921" s="5">
        <v>23650</v>
      </c>
      <c r="F921" s="5">
        <v>642301.32999999553</v>
      </c>
      <c r="G921" s="5">
        <v>19012.909999999978</v>
      </c>
      <c r="H921" s="5">
        <v>2485</v>
      </c>
    </row>
    <row r="922" spans="1:8">
      <c r="A922" s="5">
        <v>2024</v>
      </c>
      <c r="B922" s="6">
        <v>45536</v>
      </c>
      <c r="C922" s="5" t="s">
        <v>35</v>
      </c>
      <c r="D922" s="3" t="str" cm="1">
        <f t="array" ref="D922">_xlfn.IFS(
 ISNUMBER(SEARCH("WHISK",C922)),"Whiskey",
 ISNUMBER(SEARCH("BOURBON",C922)),"Whiskey",
 ISNUMBER(SEARCH("SCOTCH",C922)),"Whiskey",
 ISNUMBER(SEARCH("RYE",C922)),"Whiskey",
 ISNUMBER(SEARCH("VODKA",C922)),"Vodka",
 ISNUMBER(SEARCH("TEQUILA",C922)),"Tequila/Mezcal",
 ISNUMBER(SEARCH("MEZCAL",C922)),"Tequila/Mezcal",
 ISNUMBER(SEARCH("RUM",C922)),"Rum",
 ISNUMBER(SEARCH("BRAND",C922)),"Brandy",
 ISNUMBER(SEARCH("COGNAC",C922)),"Brandy",
 ISNUMBER(SEARCH("LIQUEUR",C922)),"Liqueurs",
 ISNUMBER(SEARCH("CORDIAL",C922)),"Liqueurs",
 ISNUMBER(SEARCH("SCHNAPP",C922)),"Liqueurs",
 ISNUMBER(SEARCH("GIN",C922)),"Gin",
 TRUE,"Other")</f>
        <v>Tequila/Mezcal</v>
      </c>
      <c r="E922" s="5">
        <v>53389</v>
      </c>
      <c r="F922" s="5">
        <v>747066.80999999389</v>
      </c>
      <c r="G922" s="5">
        <v>38866.919999999889</v>
      </c>
      <c r="H922" s="5">
        <v>4119</v>
      </c>
    </row>
    <row r="923" spans="1:8">
      <c r="A923" s="5">
        <v>2024</v>
      </c>
      <c r="B923" s="6">
        <v>45536</v>
      </c>
      <c r="C923" s="5" t="s">
        <v>37</v>
      </c>
      <c r="D923" s="3" t="str" cm="1">
        <f t="array" ref="D923">_xlfn.IFS(
 ISNUMBER(SEARCH("WHISK",C923)),"Whiskey",
 ISNUMBER(SEARCH("BOURBON",C923)),"Whiskey",
 ISNUMBER(SEARCH("SCOTCH",C923)),"Whiskey",
 ISNUMBER(SEARCH("RYE",C923)),"Whiskey",
 ISNUMBER(SEARCH("VODKA",C923)),"Vodka",
 ISNUMBER(SEARCH("TEQUILA",C923)),"Tequila/Mezcal",
 ISNUMBER(SEARCH("MEZCAL",C923)),"Tequila/Mezcal",
 ISNUMBER(SEARCH("RUM",C923)),"Rum",
 ISNUMBER(SEARCH("BRAND",C923)),"Brandy",
 ISNUMBER(SEARCH("COGNAC",C923)),"Brandy",
 ISNUMBER(SEARCH("LIQUEUR",C923)),"Liqueurs",
 ISNUMBER(SEARCH("CORDIAL",C923)),"Liqueurs",
 ISNUMBER(SEARCH("SCHNAPP",C923)),"Liqueurs",
 ISNUMBER(SEARCH("GIN",C923)),"Gin",
 TRUE,"Other")</f>
        <v>Other</v>
      </c>
      <c r="E923" s="5">
        <v>14723</v>
      </c>
      <c r="F923" s="5">
        <v>243027.94000000277</v>
      </c>
      <c r="G923" s="5">
        <v>7445.6500000000187</v>
      </c>
      <c r="H923" s="5">
        <v>2874</v>
      </c>
    </row>
    <row r="924" spans="1:8">
      <c r="A924" s="5">
        <v>2024</v>
      </c>
      <c r="B924" s="6">
        <v>45536</v>
      </c>
      <c r="C924" s="5" t="s">
        <v>38</v>
      </c>
      <c r="D924" s="3" t="str" cm="1">
        <f t="array" ref="D924">_xlfn.IFS(
 ISNUMBER(SEARCH("WHISK",C924)),"Whiskey",
 ISNUMBER(SEARCH("BOURBON",C924)),"Whiskey",
 ISNUMBER(SEARCH("SCOTCH",C924)),"Whiskey",
 ISNUMBER(SEARCH("RYE",C924)),"Whiskey",
 ISNUMBER(SEARCH("VODKA",C924)),"Vodka",
 ISNUMBER(SEARCH("TEQUILA",C924)),"Tequila/Mezcal",
 ISNUMBER(SEARCH("MEZCAL",C924)),"Tequila/Mezcal",
 ISNUMBER(SEARCH("RUM",C924)),"Rum",
 ISNUMBER(SEARCH("BRAND",C924)),"Brandy",
 ISNUMBER(SEARCH("COGNAC",C924)),"Brandy",
 ISNUMBER(SEARCH("LIQUEUR",C924)),"Liqueurs",
 ISNUMBER(SEARCH("CORDIAL",C924)),"Liqueurs",
 ISNUMBER(SEARCH("SCHNAPP",C924)),"Liqueurs",
 ISNUMBER(SEARCH("GIN",C924)),"Gin",
 TRUE,"Other")</f>
        <v>Whiskey</v>
      </c>
      <c r="E924" s="5">
        <v>13865</v>
      </c>
      <c r="F924" s="5">
        <v>405192.17000000033</v>
      </c>
      <c r="G924" s="5">
        <v>15036.570000000002</v>
      </c>
      <c r="H924" s="5">
        <v>2206</v>
      </c>
    </row>
    <row r="925" spans="1:8">
      <c r="A925" s="5">
        <v>2024</v>
      </c>
      <c r="B925" s="6">
        <v>45536</v>
      </c>
      <c r="C925" s="5" t="s">
        <v>42</v>
      </c>
      <c r="D925" s="3" t="str" cm="1">
        <f t="array" ref="D925">_xlfn.IFS(
 ISNUMBER(SEARCH("WHISK",C925)),"Whiskey",
 ISNUMBER(SEARCH("BOURBON",C925)),"Whiskey",
 ISNUMBER(SEARCH("SCOTCH",C925)),"Whiskey",
 ISNUMBER(SEARCH("RYE",C925)),"Whiskey",
 ISNUMBER(SEARCH("VODKA",C925)),"Vodka",
 ISNUMBER(SEARCH("TEQUILA",C925)),"Tequila/Mezcal",
 ISNUMBER(SEARCH("MEZCAL",C925)),"Tequila/Mezcal",
 ISNUMBER(SEARCH("RUM",C925)),"Rum",
 ISNUMBER(SEARCH("BRAND",C925)),"Brandy",
 ISNUMBER(SEARCH("COGNAC",C925)),"Brandy",
 ISNUMBER(SEARCH("LIQUEUR",C925)),"Liqueurs",
 ISNUMBER(SEARCH("CORDIAL",C925)),"Liqueurs",
 ISNUMBER(SEARCH("SCHNAPP",C925)),"Liqueurs",
 ISNUMBER(SEARCH("GIN",C925)),"Gin",
 TRUE,"Other")</f>
        <v>Rum</v>
      </c>
      <c r="E925" s="5">
        <v>102245</v>
      </c>
      <c r="F925" s="5">
        <v>1695170.9399999129</v>
      </c>
      <c r="G925" s="5">
        <v>109182.03000000103</v>
      </c>
      <c r="H925" s="5">
        <v>6878</v>
      </c>
    </row>
    <row r="926" spans="1:8">
      <c r="A926" s="5">
        <v>2024</v>
      </c>
      <c r="B926" s="6">
        <v>45536</v>
      </c>
      <c r="C926" s="5" t="s">
        <v>43</v>
      </c>
      <c r="D926" s="3" t="str" cm="1">
        <f t="array" ref="D926">_xlfn.IFS(
 ISNUMBER(SEARCH("WHISK",C926)),"Whiskey",
 ISNUMBER(SEARCH("BOURBON",C926)),"Whiskey",
 ISNUMBER(SEARCH("SCOTCH",C926)),"Whiskey",
 ISNUMBER(SEARCH("RYE",C926)),"Whiskey",
 ISNUMBER(SEARCH("VODKA",C926)),"Vodka",
 ISNUMBER(SEARCH("TEQUILA",C926)),"Tequila/Mezcal",
 ISNUMBER(SEARCH("MEZCAL",C926)),"Tequila/Mezcal",
 ISNUMBER(SEARCH("RUM",C926)),"Rum",
 ISNUMBER(SEARCH("BRAND",C926)),"Brandy",
 ISNUMBER(SEARCH("COGNAC",C926)),"Brandy",
 ISNUMBER(SEARCH("LIQUEUR",C926)),"Liqueurs",
 ISNUMBER(SEARCH("CORDIAL",C926)),"Liqueurs",
 ISNUMBER(SEARCH("SCHNAPP",C926)),"Liqueurs",
 ISNUMBER(SEARCH("GIN",C926)),"Gin",
 TRUE,"Other")</f>
        <v>Whiskey</v>
      </c>
      <c r="E926" s="5">
        <v>136675</v>
      </c>
      <c r="F926" s="5">
        <v>3237347.1500000241</v>
      </c>
      <c r="G926" s="5">
        <v>109073.57000000139</v>
      </c>
      <c r="H926" s="5">
        <v>16040</v>
      </c>
    </row>
    <row r="927" spans="1:8">
      <c r="A927" s="5">
        <v>2024</v>
      </c>
      <c r="B927" s="6">
        <v>45536</v>
      </c>
      <c r="C927" s="5" t="s">
        <v>44</v>
      </c>
      <c r="D927" s="3" t="str" cm="1">
        <f t="array" ref="D927">_xlfn.IFS(
 ISNUMBER(SEARCH("WHISK",C927)),"Whiskey",
 ISNUMBER(SEARCH("BOURBON",C927)),"Whiskey",
 ISNUMBER(SEARCH("SCOTCH",C927)),"Whiskey",
 ISNUMBER(SEARCH("RYE",C927)),"Whiskey",
 ISNUMBER(SEARCH("VODKA",C927)),"Vodka",
 ISNUMBER(SEARCH("TEQUILA",C927)),"Tequila/Mezcal",
 ISNUMBER(SEARCH("MEZCAL",C927)),"Tequila/Mezcal",
 ISNUMBER(SEARCH("RUM",C927)),"Rum",
 ISNUMBER(SEARCH("BRAND",C927)),"Brandy",
 ISNUMBER(SEARCH("COGNAC",C927)),"Brandy",
 ISNUMBER(SEARCH("LIQUEUR",C927)),"Liqueurs",
 ISNUMBER(SEARCH("CORDIAL",C927)),"Liqueurs",
 ISNUMBER(SEARCH("SCHNAPP",C927)),"Liqueurs",
 ISNUMBER(SEARCH("GIN",C927)),"Gin",
 TRUE,"Other")</f>
        <v>Whiskey</v>
      </c>
      <c r="E927" s="5">
        <v>7899</v>
      </c>
      <c r="F927" s="5">
        <v>245857.4000000013</v>
      </c>
      <c r="G927" s="5">
        <v>6092.8499999999995</v>
      </c>
      <c r="H927" s="5">
        <v>1301</v>
      </c>
    </row>
    <row r="928" spans="1:8">
      <c r="A928" s="5">
        <v>2024</v>
      </c>
      <c r="B928" s="6">
        <v>45536</v>
      </c>
      <c r="C928" s="5" t="s">
        <v>46</v>
      </c>
      <c r="D928" s="3" t="str" cm="1">
        <f t="array" ref="D928">_xlfn.IFS(
 ISNUMBER(SEARCH("WHISK",C928)),"Whiskey",
 ISNUMBER(SEARCH("BOURBON",C928)),"Whiskey",
 ISNUMBER(SEARCH("SCOTCH",C928)),"Whiskey",
 ISNUMBER(SEARCH("RYE",C928)),"Whiskey",
 ISNUMBER(SEARCH("VODKA",C928)),"Vodka",
 ISNUMBER(SEARCH("TEQUILA",C928)),"Tequila/Mezcal",
 ISNUMBER(SEARCH("MEZCAL",C928)),"Tequila/Mezcal",
 ISNUMBER(SEARCH("RUM",C928)),"Rum",
 ISNUMBER(SEARCH("BRAND",C928)),"Brandy",
 ISNUMBER(SEARCH("COGNAC",C928)),"Brandy",
 ISNUMBER(SEARCH("LIQUEUR",C928)),"Liqueurs",
 ISNUMBER(SEARCH("CORDIAL",C928)),"Liqueurs",
 ISNUMBER(SEARCH("SCHNAPP",C928)),"Liqueurs",
 ISNUMBER(SEARCH("GIN",C928)),"Gin",
 TRUE,"Other")</f>
        <v>Whiskey</v>
      </c>
      <c r="E928" s="5">
        <v>54843</v>
      </c>
      <c r="F928" s="5">
        <v>1197971.5299999933</v>
      </c>
      <c r="G928" s="5">
        <v>37091.089999999698</v>
      </c>
      <c r="H928" s="5">
        <v>6071</v>
      </c>
    </row>
    <row r="929" spans="1:8">
      <c r="A929" s="5">
        <v>2024</v>
      </c>
      <c r="B929" s="6">
        <v>45536</v>
      </c>
      <c r="C929" s="5" t="s">
        <v>48</v>
      </c>
      <c r="D929" s="3" t="str" cm="1">
        <f t="array" ref="D929">_xlfn.IFS(
 ISNUMBER(SEARCH("WHISK",C929)),"Whiskey",
 ISNUMBER(SEARCH("BOURBON",C929)),"Whiskey",
 ISNUMBER(SEARCH("SCOTCH",C929)),"Whiskey",
 ISNUMBER(SEARCH("RYE",C929)),"Whiskey",
 ISNUMBER(SEARCH("VODKA",C929)),"Vodka",
 ISNUMBER(SEARCH("TEQUILA",C929)),"Tequila/Mezcal",
 ISNUMBER(SEARCH("MEZCAL",C929)),"Tequila/Mezcal",
 ISNUMBER(SEARCH("RUM",C929)),"Rum",
 ISNUMBER(SEARCH("BRAND",C929)),"Brandy",
 ISNUMBER(SEARCH("COGNAC",C929)),"Brandy",
 ISNUMBER(SEARCH("LIQUEUR",C929)),"Liqueurs",
 ISNUMBER(SEARCH("CORDIAL",C929)),"Liqueurs",
 ISNUMBER(SEARCH("SCHNAPP",C929)),"Liqueurs",
 ISNUMBER(SEARCH("GIN",C929)),"Gin",
 TRUE,"Other")</f>
        <v>Whiskey</v>
      </c>
      <c r="E929" s="5">
        <v>383932</v>
      </c>
      <c r="F929" s="5">
        <v>2218549.0699999463</v>
      </c>
      <c r="G929" s="5">
        <v>86564.420000004277</v>
      </c>
      <c r="H929" s="5">
        <v>13559</v>
      </c>
    </row>
    <row r="930" spans="1:8">
      <c r="A930" s="5">
        <v>2024</v>
      </c>
      <c r="B930" s="6">
        <v>45536</v>
      </c>
      <c r="C930" s="5" t="s">
        <v>49</v>
      </c>
      <c r="D930" s="3" t="str" cm="1">
        <f t="array" ref="D930">_xlfn.IFS(
 ISNUMBER(SEARCH("WHISK",C930)),"Whiskey",
 ISNUMBER(SEARCH("BOURBON",C930)),"Whiskey",
 ISNUMBER(SEARCH("SCOTCH",C930)),"Whiskey",
 ISNUMBER(SEARCH("RYE",C930)),"Whiskey",
 ISNUMBER(SEARCH("VODKA",C930)),"Vodka",
 ISNUMBER(SEARCH("TEQUILA",C930)),"Tequila/Mezcal",
 ISNUMBER(SEARCH("MEZCAL",C930)),"Tequila/Mezcal",
 ISNUMBER(SEARCH("RUM",C930)),"Rum",
 ISNUMBER(SEARCH("BRAND",C930)),"Brandy",
 ISNUMBER(SEARCH("COGNAC",C930)),"Brandy",
 ISNUMBER(SEARCH("LIQUEUR",C930)),"Liqueurs",
 ISNUMBER(SEARCH("CORDIAL",C930)),"Liqueurs",
 ISNUMBER(SEARCH("SCHNAPP",C930)),"Liqueurs",
 ISNUMBER(SEARCH("GIN",C930)),"Gin",
 TRUE,"Other")</f>
        <v>Rum</v>
      </c>
      <c r="E930" s="5">
        <v>35181</v>
      </c>
      <c r="F930" s="5">
        <v>411547.87999999733</v>
      </c>
      <c r="G930" s="5">
        <v>35692.109999999928</v>
      </c>
      <c r="H930" s="5">
        <v>3267</v>
      </c>
    </row>
    <row r="931" spans="1:8">
      <c r="A931" s="5">
        <v>2024</v>
      </c>
      <c r="B931" s="6">
        <v>45536</v>
      </c>
      <c r="C931" s="5" t="s">
        <v>45</v>
      </c>
      <c r="D931" s="3" t="str" cm="1">
        <f t="array" ref="D931">_xlfn.IFS(
 ISNUMBER(SEARCH("WHISK",C931)),"Whiskey",
 ISNUMBER(SEARCH("BOURBON",C931)),"Whiskey",
 ISNUMBER(SEARCH("SCOTCH",C931)),"Whiskey",
 ISNUMBER(SEARCH("RYE",C931)),"Whiskey",
 ISNUMBER(SEARCH("VODKA",C931)),"Vodka",
 ISNUMBER(SEARCH("TEQUILA",C931)),"Tequila/Mezcal",
 ISNUMBER(SEARCH("MEZCAL",C931)),"Tequila/Mezcal",
 ISNUMBER(SEARCH("RUM",C931)),"Rum",
 ISNUMBER(SEARCH("BRAND",C931)),"Brandy",
 ISNUMBER(SEARCH("COGNAC",C931)),"Brandy",
 ISNUMBER(SEARCH("LIQUEUR",C931)),"Liqueurs",
 ISNUMBER(SEARCH("CORDIAL",C931)),"Liqueurs",
 ISNUMBER(SEARCH("SCHNAPP",C931)),"Liqueurs",
 ISNUMBER(SEARCH("GIN",C931)),"Gin",
 TRUE,"Other")</f>
        <v>Other</v>
      </c>
      <c r="E931" s="5">
        <v>79888</v>
      </c>
      <c r="F931" s="5">
        <v>2152065.8599999184</v>
      </c>
      <c r="G931" s="5">
        <v>61289.03000000069</v>
      </c>
      <c r="H931" s="5">
        <v>7825</v>
      </c>
    </row>
    <row r="932" spans="1:8">
      <c r="A932" s="5">
        <v>2024</v>
      </c>
      <c r="B932" s="6">
        <v>45536</v>
      </c>
      <c r="C932" s="5" t="s">
        <v>26</v>
      </c>
      <c r="D932" s="3" t="str" cm="1">
        <f t="array" ref="D932">_xlfn.IFS(
 ISNUMBER(SEARCH("WHISK",C932)),"Whiskey",
 ISNUMBER(SEARCH("BOURBON",C932)),"Whiskey",
 ISNUMBER(SEARCH("SCOTCH",C932)),"Whiskey",
 ISNUMBER(SEARCH("RYE",C932)),"Whiskey",
 ISNUMBER(SEARCH("VODKA",C932)),"Vodka",
 ISNUMBER(SEARCH("TEQUILA",C932)),"Tequila/Mezcal",
 ISNUMBER(SEARCH("MEZCAL",C932)),"Tequila/Mezcal",
 ISNUMBER(SEARCH("RUM",C932)),"Rum",
 ISNUMBER(SEARCH("BRAND",C932)),"Brandy",
 ISNUMBER(SEARCH("COGNAC",C932)),"Brandy",
 ISNUMBER(SEARCH("LIQUEUR",C932)),"Liqueurs",
 ISNUMBER(SEARCH("CORDIAL",C932)),"Liqueurs",
 ISNUMBER(SEARCH("SCHNAPP",C932)),"Liqueurs",
 ISNUMBER(SEARCH("GIN",C932)),"Gin",
 TRUE,"Other")</f>
        <v>Brandy</v>
      </c>
      <c r="E932" s="5">
        <v>30114</v>
      </c>
      <c r="F932" s="5">
        <v>693017.41000000015</v>
      </c>
      <c r="G932" s="5">
        <v>14469.43999999996</v>
      </c>
      <c r="H932" s="5">
        <v>2718</v>
      </c>
    </row>
    <row r="933" spans="1:8">
      <c r="A933" s="5">
        <v>2024</v>
      </c>
      <c r="B933" s="6">
        <v>45536</v>
      </c>
      <c r="C933" s="5" t="s">
        <v>47</v>
      </c>
      <c r="D933" s="3" t="str" cm="1">
        <f t="array" ref="D933">_xlfn.IFS(
 ISNUMBER(SEARCH("WHISK",C933)),"Whiskey",
 ISNUMBER(SEARCH("BOURBON",C933)),"Whiskey",
 ISNUMBER(SEARCH("SCOTCH",C933)),"Whiskey",
 ISNUMBER(SEARCH("RYE",C933)),"Whiskey",
 ISNUMBER(SEARCH("VODKA",C933)),"Vodka",
 ISNUMBER(SEARCH("TEQUILA",C933)),"Tequila/Mezcal",
 ISNUMBER(SEARCH("MEZCAL",C933)),"Tequila/Mezcal",
 ISNUMBER(SEARCH("RUM",C933)),"Rum",
 ISNUMBER(SEARCH("BRAND",C933)),"Brandy",
 ISNUMBER(SEARCH("COGNAC",C933)),"Brandy",
 ISNUMBER(SEARCH("LIQUEUR",C933)),"Liqueurs",
 ISNUMBER(SEARCH("CORDIAL",C933)),"Liqueurs",
 ISNUMBER(SEARCH("SCHNAPP",C933)),"Liqueurs",
 ISNUMBER(SEARCH("GIN",C933)),"Gin",
 TRUE,"Other")</f>
        <v>Other</v>
      </c>
      <c r="E933" s="5">
        <v>14866</v>
      </c>
      <c r="F933" s="5">
        <v>60913.04000000003</v>
      </c>
      <c r="G933" s="5">
        <v>14701</v>
      </c>
      <c r="H933" s="5">
        <v>616</v>
      </c>
    </row>
    <row r="934" spans="1:8">
      <c r="A934" s="5">
        <v>2024</v>
      </c>
      <c r="B934" s="6">
        <v>45536</v>
      </c>
      <c r="C934" s="5" t="s">
        <v>11</v>
      </c>
      <c r="D934" s="3" t="str" cm="1">
        <f t="array" ref="D934">_xlfn.IFS(
 ISNUMBER(SEARCH("WHISK",C934)),"Whiskey",
 ISNUMBER(SEARCH("BOURBON",C934)),"Whiskey",
 ISNUMBER(SEARCH("SCOTCH",C934)),"Whiskey",
 ISNUMBER(SEARCH("RYE",C934)),"Whiskey",
 ISNUMBER(SEARCH("VODKA",C934)),"Vodka",
 ISNUMBER(SEARCH("TEQUILA",C934)),"Tequila/Mezcal",
 ISNUMBER(SEARCH("MEZCAL",C934)),"Tequila/Mezcal",
 ISNUMBER(SEARCH("RUM",C934)),"Rum",
 ISNUMBER(SEARCH("BRAND",C934)),"Brandy",
 ISNUMBER(SEARCH("COGNAC",C934)),"Brandy",
 ISNUMBER(SEARCH("LIQUEUR",C934)),"Liqueurs",
 ISNUMBER(SEARCH("CORDIAL",C934)),"Liqueurs",
 ISNUMBER(SEARCH("SCHNAPP",C934)),"Liqueurs",
 ISNUMBER(SEARCH("GIN",C934)),"Gin",
 TRUE,"Other")</f>
        <v>Gin</v>
      </c>
      <c r="E934" s="5">
        <v>28594</v>
      </c>
      <c r="F934" s="5">
        <v>283159.15000000212</v>
      </c>
      <c r="G934" s="5">
        <v>24097.149999999951</v>
      </c>
      <c r="H934" s="5">
        <v>2655</v>
      </c>
    </row>
    <row r="935" spans="1:8">
      <c r="A935" s="5">
        <v>2024</v>
      </c>
      <c r="B935" s="6">
        <v>45536</v>
      </c>
      <c r="C935" s="5" t="s">
        <v>29</v>
      </c>
      <c r="D935" s="3" t="str" cm="1">
        <f t="array" ref="D935">_xlfn.IFS(
 ISNUMBER(SEARCH("WHISK",C935)),"Whiskey",
 ISNUMBER(SEARCH("BOURBON",C935)),"Whiskey",
 ISNUMBER(SEARCH("SCOTCH",C935)),"Whiskey",
 ISNUMBER(SEARCH("RYE",C935)),"Whiskey",
 ISNUMBER(SEARCH("VODKA",C935)),"Vodka",
 ISNUMBER(SEARCH("TEQUILA",C935)),"Tequila/Mezcal",
 ISNUMBER(SEARCH("MEZCAL",C935)),"Tequila/Mezcal",
 ISNUMBER(SEARCH("RUM",C935)),"Rum",
 ISNUMBER(SEARCH("BRAND",C935)),"Brandy",
 ISNUMBER(SEARCH("COGNAC",C935)),"Brandy",
 ISNUMBER(SEARCH("LIQUEUR",C935)),"Liqueurs",
 ISNUMBER(SEARCH("CORDIAL",C935)),"Liqueurs",
 ISNUMBER(SEARCH("SCHNAPP",C935)),"Liqueurs",
 ISNUMBER(SEARCH("GIN",C935)),"Gin",
 TRUE,"Other")</f>
        <v>Gin</v>
      </c>
      <c r="E935" s="5">
        <v>16349</v>
      </c>
      <c r="F935" s="5">
        <v>422371.66999999987</v>
      </c>
      <c r="G935" s="5">
        <v>15110.950000000008</v>
      </c>
      <c r="H935" s="5">
        <v>1809</v>
      </c>
    </row>
    <row r="936" spans="1:8">
      <c r="A936" s="5">
        <v>2024</v>
      </c>
      <c r="B936" s="6">
        <v>45536</v>
      </c>
      <c r="C936" s="5" t="s">
        <v>36</v>
      </c>
      <c r="D936" s="3" t="str" cm="1">
        <f t="array" ref="D936">_xlfn.IFS(
 ISNUMBER(SEARCH("WHISK",C936)),"Whiskey",
 ISNUMBER(SEARCH("BOURBON",C936)),"Whiskey",
 ISNUMBER(SEARCH("SCOTCH",C936)),"Whiskey",
 ISNUMBER(SEARCH("RYE",C936)),"Whiskey",
 ISNUMBER(SEARCH("VODKA",C936)),"Vodka",
 ISNUMBER(SEARCH("TEQUILA",C936)),"Tequila/Mezcal",
 ISNUMBER(SEARCH("MEZCAL",C936)),"Tequila/Mezcal",
 ISNUMBER(SEARCH("RUM",C936)),"Rum",
 ISNUMBER(SEARCH("BRAND",C936)),"Brandy",
 ISNUMBER(SEARCH("COGNAC",C936)),"Brandy",
 ISNUMBER(SEARCH("LIQUEUR",C936)),"Liqueurs",
 ISNUMBER(SEARCH("CORDIAL",C936)),"Liqueurs",
 ISNUMBER(SEARCH("SCHNAPP",C936)),"Liqueurs",
 ISNUMBER(SEARCH("GIN",C936)),"Gin",
 TRUE,"Other")</f>
        <v>Other</v>
      </c>
      <c r="E936" s="5">
        <v>4680</v>
      </c>
      <c r="F936" s="5">
        <v>66718.810000000012</v>
      </c>
      <c r="G936" s="5">
        <v>3680.2000000000012</v>
      </c>
      <c r="H936" s="5">
        <v>418</v>
      </c>
    </row>
    <row r="937" spans="1:8">
      <c r="A937" s="5">
        <v>2024</v>
      </c>
      <c r="B937" s="6">
        <v>45536</v>
      </c>
      <c r="C937" s="5" t="s">
        <v>10</v>
      </c>
      <c r="D937" s="3" t="str" cm="1">
        <f t="array" ref="D937">_xlfn.IFS(
 ISNUMBER(SEARCH("WHISK",C937)),"Whiskey",
 ISNUMBER(SEARCH("BOURBON",C937)),"Whiskey",
 ISNUMBER(SEARCH("SCOTCH",C937)),"Whiskey",
 ISNUMBER(SEARCH("RYE",C937)),"Whiskey",
 ISNUMBER(SEARCH("VODKA",C937)),"Vodka",
 ISNUMBER(SEARCH("TEQUILA",C937)),"Tequila/Mezcal",
 ISNUMBER(SEARCH("MEZCAL",C937)),"Tequila/Mezcal",
 ISNUMBER(SEARCH("RUM",C937)),"Rum",
 ISNUMBER(SEARCH("BRAND",C937)),"Brandy",
 ISNUMBER(SEARCH("COGNAC",C937)),"Brandy",
 ISNUMBER(SEARCH("LIQUEUR",C937)),"Liqueurs",
 ISNUMBER(SEARCH("CORDIAL",C937)),"Liqueurs",
 ISNUMBER(SEARCH("SCHNAPP",C937)),"Liqueurs",
 ISNUMBER(SEARCH("GIN",C937)),"Gin",
 TRUE,"Other")</f>
        <v>Other</v>
      </c>
      <c r="E937" s="5">
        <v>5916</v>
      </c>
      <c r="F937" s="5">
        <v>131133.90000000014</v>
      </c>
      <c r="G937" s="5">
        <v>4123.0899999999992</v>
      </c>
      <c r="H937" s="5">
        <v>652</v>
      </c>
    </row>
    <row r="938" spans="1:8">
      <c r="A938" s="5">
        <v>2024</v>
      </c>
      <c r="B938" s="6">
        <v>45536</v>
      </c>
      <c r="C938" s="5" t="s">
        <v>23</v>
      </c>
      <c r="D938" s="3" t="str" cm="1">
        <f t="array" ref="D938">_xlfn.IFS(
 ISNUMBER(SEARCH("WHISK",C938)),"Whiskey",
 ISNUMBER(SEARCH("BOURBON",C938)),"Whiskey",
 ISNUMBER(SEARCH("SCOTCH",C938)),"Whiskey",
 ISNUMBER(SEARCH("RYE",C938)),"Whiskey",
 ISNUMBER(SEARCH("VODKA",C938)),"Vodka",
 ISNUMBER(SEARCH("TEQUILA",C938)),"Tequila/Mezcal",
 ISNUMBER(SEARCH("MEZCAL",C938)),"Tequila/Mezcal",
 ISNUMBER(SEARCH("RUM",C938)),"Rum",
 ISNUMBER(SEARCH("BRAND",C938)),"Brandy",
 ISNUMBER(SEARCH("COGNAC",C938)),"Brandy",
 ISNUMBER(SEARCH("LIQUEUR",C938)),"Liqueurs",
 ISNUMBER(SEARCH("CORDIAL",C938)),"Liqueurs",
 ISNUMBER(SEARCH("SCHNAPP",C938)),"Liqueurs",
 ISNUMBER(SEARCH("GIN",C938)),"Gin",
 TRUE,"Other")</f>
        <v>Gin</v>
      </c>
      <c r="E938" s="5">
        <v>4091</v>
      </c>
      <c r="F938" s="5">
        <v>104883.96000000006</v>
      </c>
      <c r="G938" s="5">
        <v>3068.0499999999997</v>
      </c>
      <c r="H938" s="5">
        <v>408</v>
      </c>
    </row>
    <row r="939" spans="1:8">
      <c r="A939" s="5">
        <v>2024</v>
      </c>
      <c r="B939" s="6">
        <v>45536</v>
      </c>
      <c r="C939" s="5" t="s">
        <v>30</v>
      </c>
      <c r="D939" s="3" t="str" cm="1">
        <f t="array" ref="D939">_xlfn.IFS(
 ISNUMBER(SEARCH("WHISK",C939)),"Whiskey",
 ISNUMBER(SEARCH("BOURBON",C939)),"Whiskey",
 ISNUMBER(SEARCH("SCOTCH",C939)),"Whiskey",
 ISNUMBER(SEARCH("RYE",C939)),"Whiskey",
 ISNUMBER(SEARCH("VODKA",C939)),"Vodka",
 ISNUMBER(SEARCH("TEQUILA",C939)),"Tequila/Mezcal",
 ISNUMBER(SEARCH("MEZCAL",C939)),"Tequila/Mezcal",
 ISNUMBER(SEARCH("RUM",C939)),"Rum",
 ISNUMBER(SEARCH("BRAND",C939)),"Brandy",
 ISNUMBER(SEARCH("COGNAC",C939)),"Brandy",
 ISNUMBER(SEARCH("LIQUEUR",C939)),"Liqueurs",
 ISNUMBER(SEARCH("CORDIAL",C939)),"Liqueurs",
 ISNUMBER(SEARCH("SCHNAPP",C939)),"Liqueurs",
 ISNUMBER(SEARCH("GIN",C939)),"Gin",
 TRUE,"Other")</f>
        <v>Vodka</v>
      </c>
      <c r="E939" s="5">
        <v>16550</v>
      </c>
      <c r="F939" s="5">
        <v>266936.75000000262</v>
      </c>
      <c r="G939" s="5">
        <v>13004.600000000008</v>
      </c>
      <c r="H939" s="5">
        <v>2132</v>
      </c>
    </row>
    <row r="940" spans="1:8">
      <c r="A940" s="5">
        <v>2024</v>
      </c>
      <c r="B940" s="6">
        <v>45536</v>
      </c>
      <c r="C940" s="5" t="s">
        <v>40</v>
      </c>
      <c r="D940" s="3" t="str" cm="1">
        <f t="array" ref="D940">_xlfn.IFS(
 ISNUMBER(SEARCH("WHISK",C940)),"Whiskey",
 ISNUMBER(SEARCH("BOURBON",C940)),"Whiskey",
 ISNUMBER(SEARCH("SCOTCH",C940)),"Whiskey",
 ISNUMBER(SEARCH("RYE",C940)),"Whiskey",
 ISNUMBER(SEARCH("VODKA",C940)),"Vodka",
 ISNUMBER(SEARCH("TEQUILA",C940)),"Tequila/Mezcal",
 ISNUMBER(SEARCH("MEZCAL",C940)),"Tequila/Mezcal",
 ISNUMBER(SEARCH("RUM",C940)),"Rum",
 ISNUMBER(SEARCH("BRAND",C940)),"Brandy",
 ISNUMBER(SEARCH("COGNAC",C940)),"Brandy",
 ISNUMBER(SEARCH("LIQUEUR",C940)),"Liqueurs",
 ISNUMBER(SEARCH("CORDIAL",C940)),"Liqueurs",
 ISNUMBER(SEARCH("SCHNAPP",C940)),"Liqueurs",
 ISNUMBER(SEARCH("GIN",C940)),"Gin",
 TRUE,"Other")</f>
        <v>Whiskey</v>
      </c>
      <c r="E940" s="5">
        <v>4598</v>
      </c>
      <c r="F940" s="5">
        <v>304810.20000000042</v>
      </c>
      <c r="G940" s="5">
        <v>3559.75</v>
      </c>
      <c r="H940" s="5">
        <v>1151</v>
      </c>
    </row>
    <row r="941" spans="1:8">
      <c r="A941" s="5">
        <v>2024</v>
      </c>
      <c r="B941" s="6">
        <v>45536</v>
      </c>
      <c r="C941" s="5" t="s">
        <v>17</v>
      </c>
      <c r="D941" s="3" t="str" cm="1">
        <f t="array" ref="D941">_xlfn.IFS(
 ISNUMBER(SEARCH("WHISK",C941)),"Whiskey",
 ISNUMBER(SEARCH("BOURBON",C941)),"Whiskey",
 ISNUMBER(SEARCH("SCOTCH",C941)),"Whiskey",
 ISNUMBER(SEARCH("RYE",C941)),"Whiskey",
 ISNUMBER(SEARCH("VODKA",C941)),"Vodka",
 ISNUMBER(SEARCH("TEQUILA",C941)),"Tequila/Mezcal",
 ISNUMBER(SEARCH("MEZCAL",C941)),"Tequila/Mezcal",
 ISNUMBER(SEARCH("RUM",C941)),"Rum",
 ISNUMBER(SEARCH("BRAND",C941)),"Brandy",
 ISNUMBER(SEARCH("COGNAC",C941)),"Brandy",
 ISNUMBER(SEARCH("LIQUEUR",C941)),"Liqueurs",
 ISNUMBER(SEARCH("CORDIAL",C941)),"Liqueurs",
 ISNUMBER(SEARCH("SCHNAPP",C941)),"Liqueurs",
 ISNUMBER(SEARCH("GIN",C941)),"Gin",
 TRUE,"Other")</f>
        <v>Whiskey</v>
      </c>
      <c r="E941" s="5">
        <v>3149</v>
      </c>
      <c r="F941" s="5">
        <v>97632.390000000029</v>
      </c>
      <c r="G941" s="5">
        <v>2680.75</v>
      </c>
      <c r="H941" s="5">
        <v>567</v>
      </c>
    </row>
    <row r="942" spans="1:8">
      <c r="A942" s="5">
        <v>2024</v>
      </c>
      <c r="B942" s="6">
        <v>45536</v>
      </c>
      <c r="C942" s="5" t="s">
        <v>28</v>
      </c>
      <c r="D942" s="3" t="str" cm="1">
        <f t="array" ref="D942">_xlfn.IFS(
 ISNUMBER(SEARCH("WHISK",C942)),"Whiskey",
 ISNUMBER(SEARCH("BOURBON",C942)),"Whiskey",
 ISNUMBER(SEARCH("SCOTCH",C942)),"Whiskey",
 ISNUMBER(SEARCH("RYE",C942)),"Whiskey",
 ISNUMBER(SEARCH("VODKA",C942)),"Vodka",
 ISNUMBER(SEARCH("TEQUILA",C942)),"Tequila/Mezcal",
 ISNUMBER(SEARCH("MEZCAL",C942)),"Tequila/Mezcal",
 ISNUMBER(SEARCH("RUM",C942)),"Rum",
 ISNUMBER(SEARCH("BRAND",C942)),"Brandy",
 ISNUMBER(SEARCH("COGNAC",C942)),"Brandy",
 ISNUMBER(SEARCH("LIQUEUR",C942)),"Liqueurs",
 ISNUMBER(SEARCH("CORDIAL",C942)),"Liqueurs",
 ISNUMBER(SEARCH("SCHNAPP",C942)),"Liqueurs",
 ISNUMBER(SEARCH("GIN",C942)),"Gin",
 TRUE,"Other")</f>
        <v>Other</v>
      </c>
      <c r="E942" s="5">
        <v>25539</v>
      </c>
      <c r="F942" s="5">
        <v>200010.20000000033</v>
      </c>
      <c r="G942" s="5">
        <v>21373.959999999985</v>
      </c>
      <c r="H942" s="5">
        <v>858</v>
      </c>
    </row>
    <row r="943" spans="1:8">
      <c r="A943" s="5">
        <v>2024</v>
      </c>
      <c r="B943" s="6">
        <v>45536</v>
      </c>
      <c r="C943" s="5" t="s">
        <v>7</v>
      </c>
      <c r="D943" s="3" t="str" cm="1">
        <f t="array" ref="D943">_xlfn.IFS(
 ISNUMBER(SEARCH("WHISK",C943)),"Whiskey",
 ISNUMBER(SEARCH("BOURBON",C943)),"Whiskey",
 ISNUMBER(SEARCH("SCOTCH",C943)),"Whiskey",
 ISNUMBER(SEARCH("RYE",C943)),"Whiskey",
 ISNUMBER(SEARCH("VODKA",C943)),"Vodka",
 ISNUMBER(SEARCH("TEQUILA",C943)),"Tequila/Mezcal",
 ISNUMBER(SEARCH("MEZCAL",C943)),"Tequila/Mezcal",
 ISNUMBER(SEARCH("RUM",C943)),"Rum",
 ISNUMBER(SEARCH("BRAND",C943)),"Brandy",
 ISNUMBER(SEARCH("COGNAC",C943)),"Brandy",
 ISNUMBER(SEARCH("LIQUEUR",C943)),"Liqueurs",
 ISNUMBER(SEARCH("CORDIAL",C943)),"Liqueurs",
 ISNUMBER(SEARCH("SCHNAPP",C943)),"Liqueurs",
 ISNUMBER(SEARCH("GIN",C943)),"Gin",
 TRUE,"Other")</f>
        <v>Rum</v>
      </c>
      <c r="E943" s="5">
        <v>3738</v>
      </c>
      <c r="F943" s="5">
        <v>84520.48000000004</v>
      </c>
      <c r="G943" s="5">
        <v>2967.25</v>
      </c>
      <c r="H943" s="5">
        <v>605</v>
      </c>
    </row>
    <row r="944" spans="1:8">
      <c r="A944" s="5">
        <v>2024</v>
      </c>
      <c r="B944" s="6">
        <v>45536</v>
      </c>
      <c r="C944" s="5" t="s">
        <v>41</v>
      </c>
      <c r="D944" s="3" t="str" cm="1">
        <f t="array" ref="D944">_xlfn.IFS(
 ISNUMBER(SEARCH("WHISK",C944)),"Whiskey",
 ISNUMBER(SEARCH("BOURBON",C944)),"Whiskey",
 ISNUMBER(SEARCH("SCOTCH",C944)),"Whiskey",
 ISNUMBER(SEARCH("RYE",C944)),"Whiskey",
 ISNUMBER(SEARCH("VODKA",C944)),"Vodka",
 ISNUMBER(SEARCH("TEQUILA",C944)),"Tequila/Mezcal",
 ISNUMBER(SEARCH("MEZCAL",C944)),"Tequila/Mezcal",
 ISNUMBER(SEARCH("RUM",C944)),"Rum",
 ISNUMBER(SEARCH("BRAND",C944)),"Brandy",
 ISNUMBER(SEARCH("COGNAC",C944)),"Brandy",
 ISNUMBER(SEARCH("LIQUEUR",C944)),"Liqueurs",
 ISNUMBER(SEARCH("CORDIAL",C944)),"Liqueurs",
 ISNUMBER(SEARCH("SCHNAPP",C944)),"Liqueurs",
 ISNUMBER(SEARCH("GIN",C944)),"Gin",
 TRUE,"Other")</f>
        <v>Other</v>
      </c>
      <c r="E944" s="5">
        <v>15501</v>
      </c>
      <c r="F944" s="5">
        <v>172739.29000000015</v>
      </c>
      <c r="G944" s="5">
        <v>24666.499999999982</v>
      </c>
      <c r="H944" s="5">
        <v>187</v>
      </c>
    </row>
    <row r="945" spans="1:8">
      <c r="A945" s="5">
        <v>2024</v>
      </c>
      <c r="B945" s="6">
        <v>45536</v>
      </c>
      <c r="C945" s="5" t="s">
        <v>34</v>
      </c>
      <c r="D945" s="3" t="str" cm="1">
        <f t="array" ref="D945">_xlfn.IFS(
 ISNUMBER(SEARCH("WHISK",C945)),"Whiskey",
 ISNUMBER(SEARCH("BOURBON",C945)),"Whiskey",
 ISNUMBER(SEARCH("SCOTCH",C945)),"Whiskey",
 ISNUMBER(SEARCH("RYE",C945)),"Whiskey",
 ISNUMBER(SEARCH("VODKA",C945)),"Vodka",
 ISNUMBER(SEARCH("TEQUILA",C945)),"Tequila/Mezcal",
 ISNUMBER(SEARCH("MEZCAL",C945)),"Tequila/Mezcal",
 ISNUMBER(SEARCH("RUM",C945)),"Rum",
 ISNUMBER(SEARCH("BRAND",C945)),"Brandy",
 ISNUMBER(SEARCH("COGNAC",C945)),"Brandy",
 ISNUMBER(SEARCH("LIQUEUR",C945)),"Liqueurs",
 ISNUMBER(SEARCH("CORDIAL",C945)),"Liqueurs",
 ISNUMBER(SEARCH("SCHNAPP",C945)),"Liqueurs",
 ISNUMBER(SEARCH("GIN",C945)),"Gin",
 TRUE,"Other")</f>
        <v>Tequila/Mezcal</v>
      </c>
      <c r="E945" s="5">
        <v>996</v>
      </c>
      <c r="F945" s="5">
        <v>29600.449999999975</v>
      </c>
      <c r="G945" s="5">
        <v>748.25</v>
      </c>
      <c r="H945" s="5">
        <v>203</v>
      </c>
    </row>
    <row r="946" spans="1:8">
      <c r="A946" s="5">
        <v>2024</v>
      </c>
      <c r="B946" s="6">
        <v>45536</v>
      </c>
      <c r="C946" s="5" t="s">
        <v>39</v>
      </c>
      <c r="D946" s="3" t="str" cm="1">
        <f t="array" ref="D946">_xlfn.IFS(
 ISNUMBER(SEARCH("WHISK",C946)),"Whiskey",
 ISNUMBER(SEARCH("BOURBON",C946)),"Whiskey",
 ISNUMBER(SEARCH("SCOTCH",C946)),"Whiskey",
 ISNUMBER(SEARCH("RYE",C946)),"Whiskey",
 ISNUMBER(SEARCH("VODKA",C946)),"Vodka",
 ISNUMBER(SEARCH("TEQUILA",C946)),"Tequila/Mezcal",
 ISNUMBER(SEARCH("MEZCAL",C946)),"Tequila/Mezcal",
 ISNUMBER(SEARCH("RUM",C946)),"Rum",
 ISNUMBER(SEARCH("BRAND",C946)),"Brandy",
 ISNUMBER(SEARCH("COGNAC",C946)),"Brandy",
 ISNUMBER(SEARCH("LIQUEUR",C946)),"Liqueurs",
 ISNUMBER(SEARCH("CORDIAL",C946)),"Liqueurs",
 ISNUMBER(SEARCH("SCHNAPP",C946)),"Liqueurs",
 ISNUMBER(SEARCH("GIN",C946)),"Gin",
 TRUE,"Other")</f>
        <v>Whiskey</v>
      </c>
      <c r="E946" s="5">
        <v>3561</v>
      </c>
      <c r="F946" s="5">
        <v>161115.92000000004</v>
      </c>
      <c r="G946" s="5">
        <v>2670.75</v>
      </c>
      <c r="H946" s="5">
        <v>548</v>
      </c>
    </row>
    <row r="947" spans="1:8">
      <c r="A947" s="5">
        <v>2024</v>
      </c>
      <c r="B947" s="6">
        <v>45536</v>
      </c>
      <c r="C947" s="5" t="s">
        <v>14</v>
      </c>
      <c r="D947" s="3" t="str" cm="1">
        <f t="array" ref="D947">_xlfn.IFS(
 ISNUMBER(SEARCH("WHISK",C947)),"Whiskey",
 ISNUMBER(SEARCH("BOURBON",C947)),"Whiskey",
 ISNUMBER(SEARCH("SCOTCH",C947)),"Whiskey",
 ISNUMBER(SEARCH("RYE",C947)),"Whiskey",
 ISNUMBER(SEARCH("VODKA",C947)),"Vodka",
 ISNUMBER(SEARCH("TEQUILA",C947)),"Tequila/Mezcal",
 ISNUMBER(SEARCH("MEZCAL",C947)),"Tequila/Mezcal",
 ISNUMBER(SEARCH("RUM",C947)),"Rum",
 ISNUMBER(SEARCH("BRAND",C947)),"Brandy",
 ISNUMBER(SEARCH("COGNAC",C947)),"Brandy",
 ISNUMBER(SEARCH("LIQUEUR",C947)),"Liqueurs",
 ISNUMBER(SEARCH("CORDIAL",C947)),"Liqueurs",
 ISNUMBER(SEARCH("SCHNAPP",C947)),"Liqueurs",
 ISNUMBER(SEARCH("GIN",C947)),"Gin",
 TRUE,"Other")</f>
        <v>Gin</v>
      </c>
      <c r="E947" s="5">
        <v>181</v>
      </c>
      <c r="F947" s="5">
        <v>1545.74</v>
      </c>
      <c r="G947" s="5">
        <v>181</v>
      </c>
      <c r="H947" s="5">
        <v>36</v>
      </c>
    </row>
    <row r="948" spans="1:8">
      <c r="A948" s="5">
        <v>2024</v>
      </c>
      <c r="B948" s="6">
        <v>45536</v>
      </c>
      <c r="C948" s="5" t="s">
        <v>21</v>
      </c>
      <c r="D948" s="3" t="str" cm="1">
        <f t="array" ref="D948">_xlfn.IFS(
 ISNUMBER(SEARCH("WHISK",C948)),"Whiskey",
 ISNUMBER(SEARCH("BOURBON",C948)),"Whiskey",
 ISNUMBER(SEARCH("SCOTCH",C948)),"Whiskey",
 ISNUMBER(SEARCH("RYE",C948)),"Whiskey",
 ISNUMBER(SEARCH("VODKA",C948)),"Vodka",
 ISNUMBER(SEARCH("TEQUILA",C948)),"Tequila/Mezcal",
 ISNUMBER(SEARCH("MEZCAL",C948)),"Tequila/Mezcal",
 ISNUMBER(SEARCH("RUM",C948)),"Rum",
 ISNUMBER(SEARCH("BRAND",C948)),"Brandy",
 ISNUMBER(SEARCH("COGNAC",C948)),"Brandy",
 ISNUMBER(SEARCH("LIQUEUR",C948)),"Liqueurs",
 ISNUMBER(SEARCH("CORDIAL",C948)),"Liqueurs",
 ISNUMBER(SEARCH("SCHNAPP",C948)),"Liqueurs",
 ISNUMBER(SEARCH("GIN",C948)),"Gin",
 TRUE,"Other")</f>
        <v>Whiskey</v>
      </c>
      <c r="E948" s="5">
        <v>522</v>
      </c>
      <c r="F948" s="5">
        <v>12902.290000000005</v>
      </c>
      <c r="G948" s="5">
        <v>365.98</v>
      </c>
      <c r="H948" s="5">
        <v>82</v>
      </c>
    </row>
    <row r="949" spans="1:8">
      <c r="A949" s="5">
        <v>2024</v>
      </c>
      <c r="B949" s="6">
        <v>45566</v>
      </c>
      <c r="C949" s="5" t="s">
        <v>59</v>
      </c>
      <c r="D949" s="3" t="str" cm="1">
        <f t="array" ref="D949">_xlfn.IFS(
 ISNUMBER(SEARCH("WHISK",C949)),"Whiskey",
 ISNUMBER(SEARCH("BOURBON",C949)),"Whiskey",
 ISNUMBER(SEARCH("SCOTCH",C949)),"Whiskey",
 ISNUMBER(SEARCH("RYE",C949)),"Whiskey",
 ISNUMBER(SEARCH("VODKA",C949)),"Vodka",
 ISNUMBER(SEARCH("TEQUILA",C949)),"Tequila/Mezcal",
 ISNUMBER(SEARCH("MEZCAL",C949)),"Tequila/Mezcal",
 ISNUMBER(SEARCH("RUM",C949)),"Rum",
 ISNUMBER(SEARCH("BRAND",C949)),"Brandy",
 ISNUMBER(SEARCH("COGNAC",C949)),"Brandy",
 ISNUMBER(SEARCH("LIQUEUR",C949)),"Liqueurs",
 ISNUMBER(SEARCH("CORDIAL",C949)),"Liqueurs",
 ISNUMBER(SEARCH("SCHNAPP",C949)),"Liqueurs",
 ISNUMBER(SEARCH("GIN",C949)),"Gin",
 TRUE,"Other")</f>
        <v>Liqueurs</v>
      </c>
      <c r="E949" s="5">
        <v>34490</v>
      </c>
      <c r="F949" s="5">
        <v>375697.72999999818</v>
      </c>
      <c r="G949" s="5">
        <v>14027.929999999753</v>
      </c>
      <c r="H949" s="5">
        <v>4974</v>
      </c>
    </row>
    <row r="950" spans="1:8">
      <c r="A950" s="5">
        <v>2024</v>
      </c>
      <c r="B950" s="6">
        <v>45566</v>
      </c>
      <c r="C950" s="5" t="s">
        <v>12</v>
      </c>
      <c r="D950" s="3" t="str" cm="1">
        <f t="array" ref="D950">_xlfn.IFS(
 ISNUMBER(SEARCH("WHISK",C950)),"Whiskey",
 ISNUMBER(SEARCH("BOURBON",C950)),"Whiskey",
 ISNUMBER(SEARCH("SCOTCH",C950)),"Whiskey",
 ISNUMBER(SEARCH("RYE",C950)),"Whiskey",
 ISNUMBER(SEARCH("VODKA",C950)),"Vodka",
 ISNUMBER(SEARCH("TEQUILA",C950)),"Tequila/Mezcal",
 ISNUMBER(SEARCH("MEZCAL",C950)),"Tequila/Mezcal",
 ISNUMBER(SEARCH("RUM",C950)),"Rum",
 ISNUMBER(SEARCH("BRAND",C950)),"Brandy",
 ISNUMBER(SEARCH("COGNAC",C950)),"Brandy",
 ISNUMBER(SEARCH("LIQUEUR",C950)),"Liqueurs",
 ISNUMBER(SEARCH("CORDIAL",C950)),"Liqueurs",
 ISNUMBER(SEARCH("SCHNAPP",C950)),"Liqueurs",
 ISNUMBER(SEARCH("GIN",C950)),"Gin",
 TRUE,"Other")</f>
        <v>Vodka</v>
      </c>
      <c r="E950" s="5">
        <v>95158</v>
      </c>
      <c r="F950" s="5">
        <v>1056970.8600000553</v>
      </c>
      <c r="G950" s="5">
        <v>64881.680000000291</v>
      </c>
      <c r="H950" s="5">
        <v>10259</v>
      </c>
    </row>
    <row r="951" spans="1:8">
      <c r="A951" s="5">
        <v>2024</v>
      </c>
      <c r="B951" s="6">
        <v>45566</v>
      </c>
      <c r="C951" s="5" t="s">
        <v>15</v>
      </c>
      <c r="D951" s="3" t="str" cm="1">
        <f t="array" ref="D951">_xlfn.IFS(
 ISNUMBER(SEARCH("WHISK",C951)),"Whiskey",
 ISNUMBER(SEARCH("BOURBON",C951)),"Whiskey",
 ISNUMBER(SEARCH("SCOTCH",C951)),"Whiskey",
 ISNUMBER(SEARCH("RYE",C951)),"Whiskey",
 ISNUMBER(SEARCH("VODKA",C951)),"Vodka",
 ISNUMBER(SEARCH("TEQUILA",C951)),"Tequila/Mezcal",
 ISNUMBER(SEARCH("MEZCAL",C951)),"Tequila/Mezcal",
 ISNUMBER(SEARCH("RUM",C951)),"Rum",
 ISNUMBER(SEARCH("BRAND",C951)),"Brandy",
 ISNUMBER(SEARCH("COGNAC",C951)),"Brandy",
 ISNUMBER(SEARCH("LIQUEUR",C951)),"Liqueurs",
 ISNUMBER(SEARCH("CORDIAL",C951)),"Liqueurs",
 ISNUMBER(SEARCH("SCHNAPP",C951)),"Liqueurs",
 ISNUMBER(SEARCH("GIN",C951)),"Gin",
 TRUE,"Other")</f>
        <v>Vodka</v>
      </c>
      <c r="E951" s="5">
        <v>601005</v>
      </c>
      <c r="F951" s="5">
        <v>6103576.9700000277</v>
      </c>
      <c r="G951" s="5">
        <v>524090.48999997147</v>
      </c>
      <c r="H951" s="5">
        <v>35113</v>
      </c>
    </row>
    <row r="952" spans="1:8">
      <c r="A952" s="5">
        <v>2024</v>
      </c>
      <c r="B952" s="6">
        <v>45566</v>
      </c>
      <c r="C952" s="5" t="s">
        <v>16</v>
      </c>
      <c r="D952" s="3" t="str" cm="1">
        <f t="array" ref="D952">_xlfn.IFS(
 ISNUMBER(SEARCH("WHISK",C952)),"Whiskey",
 ISNUMBER(SEARCH("BOURBON",C952)),"Whiskey",
 ISNUMBER(SEARCH("SCOTCH",C952)),"Whiskey",
 ISNUMBER(SEARCH("RYE",C952)),"Whiskey",
 ISNUMBER(SEARCH("VODKA",C952)),"Vodka",
 ISNUMBER(SEARCH("TEQUILA",C952)),"Tequila/Mezcal",
 ISNUMBER(SEARCH("MEZCAL",C952)),"Tequila/Mezcal",
 ISNUMBER(SEARCH("RUM",C952)),"Rum",
 ISNUMBER(SEARCH("BRAND",C952)),"Brandy",
 ISNUMBER(SEARCH("COGNAC",C952)),"Brandy",
 ISNUMBER(SEARCH("LIQUEUR",C952)),"Liqueurs",
 ISNUMBER(SEARCH("CORDIAL",C952)),"Liqueurs",
 ISNUMBER(SEARCH("SCHNAPP",C952)),"Liqueurs",
 ISNUMBER(SEARCH("GIN",C952)),"Gin",
 TRUE,"Other")</f>
        <v>Whiskey</v>
      </c>
      <c r="E952" s="5">
        <v>76204</v>
      </c>
      <c r="F952" s="5">
        <v>1026996.2799999889</v>
      </c>
      <c r="G952" s="5">
        <v>62931.550000000403</v>
      </c>
      <c r="H952" s="5">
        <v>7480</v>
      </c>
    </row>
    <row r="953" spans="1:8">
      <c r="A953" s="5">
        <v>2024</v>
      </c>
      <c r="B953" s="6">
        <v>45566</v>
      </c>
      <c r="C953" s="5" t="s">
        <v>18</v>
      </c>
      <c r="D953" s="3" t="str" cm="1">
        <f t="array" ref="D953">_xlfn.IFS(
 ISNUMBER(SEARCH("WHISK",C953)),"Whiskey",
 ISNUMBER(SEARCH("BOURBON",C953)),"Whiskey",
 ISNUMBER(SEARCH("SCOTCH",C953)),"Whiskey",
 ISNUMBER(SEARCH("RYE",C953)),"Whiskey",
 ISNUMBER(SEARCH("VODKA",C953)),"Vodka",
 ISNUMBER(SEARCH("TEQUILA",C953)),"Tequila/Mezcal",
 ISNUMBER(SEARCH("MEZCAL",C953)),"Tequila/Mezcal",
 ISNUMBER(SEARCH("RUM",C953)),"Rum",
 ISNUMBER(SEARCH("BRAND",C953)),"Brandy",
 ISNUMBER(SEARCH("COGNAC",C953)),"Brandy",
 ISNUMBER(SEARCH("LIQUEUR",C953)),"Liqueurs",
 ISNUMBER(SEARCH("CORDIAL",C953)),"Liqueurs",
 ISNUMBER(SEARCH("SCHNAPP",C953)),"Liqueurs",
 ISNUMBER(SEARCH("GIN",C953)),"Gin",
 TRUE,"Other")</f>
        <v>Whiskey</v>
      </c>
      <c r="E953" s="5">
        <v>301205</v>
      </c>
      <c r="F953" s="5">
        <v>5559409.2199998936</v>
      </c>
      <c r="G953" s="5">
        <v>299121.60999999545</v>
      </c>
      <c r="H953" s="5">
        <v>20019</v>
      </c>
    </row>
    <row r="954" spans="1:8">
      <c r="A954" s="5">
        <v>2024</v>
      </c>
      <c r="B954" s="6">
        <v>45566</v>
      </c>
      <c r="C954" s="5" t="s">
        <v>22</v>
      </c>
      <c r="D954" s="3" t="str" cm="1">
        <f t="array" ref="D954">_xlfn.IFS(
 ISNUMBER(SEARCH("WHISK",C954)),"Whiskey",
 ISNUMBER(SEARCH("BOURBON",C954)),"Whiskey",
 ISNUMBER(SEARCH("SCOTCH",C954)),"Whiskey",
 ISNUMBER(SEARCH("RYE",C954)),"Whiskey",
 ISNUMBER(SEARCH("VODKA",C954)),"Vodka",
 ISNUMBER(SEARCH("TEQUILA",C954)),"Tequila/Mezcal",
 ISNUMBER(SEARCH("MEZCAL",C954)),"Tequila/Mezcal",
 ISNUMBER(SEARCH("RUM",C954)),"Rum",
 ISNUMBER(SEARCH("BRAND",C954)),"Brandy",
 ISNUMBER(SEARCH("COGNAC",C954)),"Brandy",
 ISNUMBER(SEARCH("LIQUEUR",C954)),"Liqueurs",
 ISNUMBER(SEARCH("CORDIAL",C954)),"Liqueurs",
 ISNUMBER(SEARCH("SCHNAPP",C954)),"Liqueurs",
 ISNUMBER(SEARCH("GIN",C954)),"Gin",
 TRUE,"Other")</f>
        <v>Liqueurs</v>
      </c>
      <c r="E954" s="5">
        <v>54989</v>
      </c>
      <c r="F954" s="5">
        <v>1157829.2399999874</v>
      </c>
      <c r="G954" s="5">
        <v>49986.890000000232</v>
      </c>
      <c r="H954" s="5">
        <v>3632</v>
      </c>
    </row>
    <row r="955" spans="1:8">
      <c r="A955" s="5">
        <v>2024</v>
      </c>
      <c r="B955" s="6">
        <v>45566</v>
      </c>
      <c r="C955" s="5" t="s">
        <v>24</v>
      </c>
      <c r="D955" s="3" t="str" cm="1">
        <f t="array" ref="D955">_xlfn.IFS(
 ISNUMBER(SEARCH("WHISK",C955)),"Whiskey",
 ISNUMBER(SEARCH("BOURBON",C955)),"Whiskey",
 ISNUMBER(SEARCH("SCOTCH",C955)),"Whiskey",
 ISNUMBER(SEARCH("RYE",C955)),"Whiskey",
 ISNUMBER(SEARCH("VODKA",C955)),"Vodka",
 ISNUMBER(SEARCH("TEQUILA",C955)),"Tequila/Mezcal",
 ISNUMBER(SEARCH("MEZCAL",C955)),"Tequila/Mezcal",
 ISNUMBER(SEARCH("RUM",C955)),"Rum",
 ISNUMBER(SEARCH("BRAND",C955)),"Brandy",
 ISNUMBER(SEARCH("COGNAC",C955)),"Brandy",
 ISNUMBER(SEARCH("LIQUEUR",C955)),"Liqueurs",
 ISNUMBER(SEARCH("CORDIAL",C955)),"Liqueurs",
 ISNUMBER(SEARCH("SCHNAPP",C955)),"Liqueurs",
 ISNUMBER(SEARCH("GIN",C955)),"Gin",
 TRUE,"Other")</f>
        <v>Rum</v>
      </c>
      <c r="E955" s="5">
        <v>37628</v>
      </c>
      <c r="F955" s="5">
        <v>571606.55000000075</v>
      </c>
      <c r="G955" s="5">
        <v>35760.879999999939</v>
      </c>
      <c r="H955" s="5">
        <v>3706</v>
      </c>
    </row>
    <row r="956" spans="1:8">
      <c r="A956" s="5">
        <v>2024</v>
      </c>
      <c r="B956" s="6">
        <v>45566</v>
      </c>
      <c r="C956" s="5" t="s">
        <v>60</v>
      </c>
      <c r="D956" s="3" t="str" cm="1">
        <f t="array" ref="D956">_xlfn.IFS(
 ISNUMBER(SEARCH("WHISK",C956)),"Whiskey",
 ISNUMBER(SEARCH("BOURBON",C956)),"Whiskey",
 ISNUMBER(SEARCH("SCOTCH",C956)),"Whiskey",
 ISNUMBER(SEARCH("RYE",C956)),"Whiskey",
 ISNUMBER(SEARCH("VODKA",C956)),"Vodka",
 ISNUMBER(SEARCH("TEQUILA",C956)),"Tequila/Mezcal",
 ISNUMBER(SEARCH("MEZCAL",C956)),"Tequila/Mezcal",
 ISNUMBER(SEARCH("RUM",C956)),"Rum",
 ISNUMBER(SEARCH("BRAND",C956)),"Brandy",
 ISNUMBER(SEARCH("COGNAC",C956)),"Brandy",
 ISNUMBER(SEARCH("LIQUEUR",C956)),"Liqueurs",
 ISNUMBER(SEARCH("CORDIAL",C956)),"Liqueurs",
 ISNUMBER(SEARCH("SCHNAPP",C956)),"Liqueurs",
 ISNUMBER(SEARCH("GIN",C956)),"Gin",
 TRUE,"Other")</f>
        <v>Liqueurs</v>
      </c>
      <c r="E956" s="5">
        <v>44403</v>
      </c>
      <c r="F956" s="5">
        <v>1035273.1500000037</v>
      </c>
      <c r="G956" s="5">
        <v>32782.709999999941</v>
      </c>
      <c r="H956" s="5">
        <v>4642</v>
      </c>
    </row>
    <row r="957" spans="1:8">
      <c r="A957" s="5">
        <v>2024</v>
      </c>
      <c r="B957" s="6">
        <v>45566</v>
      </c>
      <c r="C957" s="5" t="s">
        <v>29</v>
      </c>
      <c r="D957" s="3" t="str" cm="1">
        <f t="array" ref="D957">_xlfn.IFS(
 ISNUMBER(SEARCH("WHISK",C957)),"Whiskey",
 ISNUMBER(SEARCH("BOURBON",C957)),"Whiskey",
 ISNUMBER(SEARCH("SCOTCH",C957)),"Whiskey",
 ISNUMBER(SEARCH("RYE",C957)),"Whiskey",
 ISNUMBER(SEARCH("VODKA",C957)),"Vodka",
 ISNUMBER(SEARCH("TEQUILA",C957)),"Tequila/Mezcal",
 ISNUMBER(SEARCH("MEZCAL",C957)),"Tequila/Mezcal",
 ISNUMBER(SEARCH("RUM",C957)),"Rum",
 ISNUMBER(SEARCH("BRAND",C957)),"Brandy",
 ISNUMBER(SEARCH("COGNAC",C957)),"Brandy",
 ISNUMBER(SEARCH("LIQUEUR",C957)),"Liqueurs",
 ISNUMBER(SEARCH("CORDIAL",C957)),"Liqueurs",
 ISNUMBER(SEARCH("SCHNAPP",C957)),"Liqueurs",
 ISNUMBER(SEARCH("GIN",C957)),"Gin",
 TRUE,"Other")</f>
        <v>Gin</v>
      </c>
      <c r="E957" s="5">
        <v>16754</v>
      </c>
      <c r="F957" s="5">
        <v>421391.87000000029</v>
      </c>
      <c r="G957" s="5">
        <v>15239.98000000001</v>
      </c>
      <c r="H957" s="5">
        <v>1845</v>
      </c>
    </row>
    <row r="958" spans="1:8">
      <c r="A958" s="5">
        <v>2024</v>
      </c>
      <c r="B958" s="6">
        <v>45566</v>
      </c>
      <c r="C958" s="5" t="s">
        <v>31</v>
      </c>
      <c r="D958" s="3" t="str" cm="1">
        <f t="array" ref="D958">_xlfn.IFS(
 ISNUMBER(SEARCH("WHISK",C958)),"Whiskey",
 ISNUMBER(SEARCH("BOURBON",C958)),"Whiskey",
 ISNUMBER(SEARCH("SCOTCH",C958)),"Whiskey",
 ISNUMBER(SEARCH("RYE",C958)),"Whiskey",
 ISNUMBER(SEARCH("VODKA",C958)),"Vodka",
 ISNUMBER(SEARCH("TEQUILA",C958)),"Tequila/Mezcal",
 ISNUMBER(SEARCH("MEZCAL",C958)),"Tequila/Mezcal",
 ISNUMBER(SEARCH("RUM",C958)),"Rum",
 ISNUMBER(SEARCH("BRAND",C958)),"Brandy",
 ISNUMBER(SEARCH("COGNAC",C958)),"Brandy",
 ISNUMBER(SEARCH("LIQUEUR",C958)),"Liqueurs",
 ISNUMBER(SEARCH("CORDIAL",C958)),"Liqueurs",
 ISNUMBER(SEARCH("SCHNAPP",C958)),"Liqueurs",
 ISNUMBER(SEARCH("GIN",C958)),"Gin",
 TRUE,"Other")</f>
        <v>Liqueurs</v>
      </c>
      <c r="E958" s="5">
        <v>28225</v>
      </c>
      <c r="F958" s="5">
        <v>507143.86000000109</v>
      </c>
      <c r="G958" s="5">
        <v>25115.129999999794</v>
      </c>
      <c r="H958" s="5">
        <v>2660</v>
      </c>
    </row>
    <row r="959" spans="1:8">
      <c r="A959" s="5">
        <v>2024</v>
      </c>
      <c r="B959" s="6">
        <v>45566</v>
      </c>
      <c r="C959" s="5" t="s">
        <v>32</v>
      </c>
      <c r="D959" s="3" t="str" cm="1">
        <f t="array" ref="D959">_xlfn.IFS(
 ISNUMBER(SEARCH("WHISK",C959)),"Whiskey",
 ISNUMBER(SEARCH("BOURBON",C959)),"Whiskey",
 ISNUMBER(SEARCH("SCOTCH",C959)),"Whiskey",
 ISNUMBER(SEARCH("RYE",C959)),"Whiskey",
 ISNUMBER(SEARCH("VODKA",C959)),"Vodka",
 ISNUMBER(SEARCH("TEQUILA",C959)),"Tequila/Mezcal",
 ISNUMBER(SEARCH("MEZCAL",C959)),"Tequila/Mezcal",
 ISNUMBER(SEARCH("RUM",C959)),"Rum",
 ISNUMBER(SEARCH("BRAND",C959)),"Brandy",
 ISNUMBER(SEARCH("COGNAC",C959)),"Brandy",
 ISNUMBER(SEARCH("LIQUEUR",C959)),"Liqueurs",
 ISNUMBER(SEARCH("CORDIAL",C959)),"Liqueurs",
 ISNUMBER(SEARCH("SCHNAPP",C959)),"Liqueurs",
 ISNUMBER(SEARCH("GIN",C959)),"Gin",
 TRUE,"Other")</f>
        <v>Vodka</v>
      </c>
      <c r="E959" s="5">
        <v>68589</v>
      </c>
      <c r="F959" s="5">
        <v>1085487.8699999666</v>
      </c>
      <c r="G959" s="5">
        <v>72524.820000000473</v>
      </c>
      <c r="H959" s="5">
        <v>4703</v>
      </c>
    </row>
    <row r="960" spans="1:8">
      <c r="A960" s="5">
        <v>2024</v>
      </c>
      <c r="B960" s="6">
        <v>45566</v>
      </c>
      <c r="C960" s="5" t="s">
        <v>35</v>
      </c>
      <c r="D960" s="3" t="str" cm="1">
        <f t="array" ref="D960">_xlfn.IFS(
 ISNUMBER(SEARCH("WHISK",C960)),"Whiskey",
 ISNUMBER(SEARCH("BOURBON",C960)),"Whiskey",
 ISNUMBER(SEARCH("SCOTCH",C960)),"Whiskey",
 ISNUMBER(SEARCH("RYE",C960)),"Whiskey",
 ISNUMBER(SEARCH("VODKA",C960)),"Vodka",
 ISNUMBER(SEARCH("TEQUILA",C960)),"Tequila/Mezcal",
 ISNUMBER(SEARCH("MEZCAL",C960)),"Tequila/Mezcal",
 ISNUMBER(SEARCH("RUM",C960)),"Rum",
 ISNUMBER(SEARCH("BRAND",C960)),"Brandy",
 ISNUMBER(SEARCH("COGNAC",C960)),"Brandy",
 ISNUMBER(SEARCH("LIQUEUR",C960)),"Liqueurs",
 ISNUMBER(SEARCH("CORDIAL",C960)),"Liqueurs",
 ISNUMBER(SEARCH("SCHNAPP",C960)),"Liqueurs",
 ISNUMBER(SEARCH("GIN",C960)),"Gin",
 TRUE,"Other")</f>
        <v>Tequila/Mezcal</v>
      </c>
      <c r="E960" s="5">
        <v>67693</v>
      </c>
      <c r="F960" s="5">
        <v>905764.61999999278</v>
      </c>
      <c r="G960" s="5">
        <v>45554.059999999779</v>
      </c>
      <c r="H960" s="5">
        <v>4628</v>
      </c>
    </row>
    <row r="961" spans="1:8">
      <c r="A961" s="5">
        <v>2024</v>
      </c>
      <c r="B961" s="6">
        <v>45566</v>
      </c>
      <c r="C961" s="5" t="s">
        <v>37</v>
      </c>
      <c r="D961" s="3" t="str" cm="1">
        <f t="array" ref="D961">_xlfn.IFS(
 ISNUMBER(SEARCH("WHISK",C961)),"Whiskey",
 ISNUMBER(SEARCH("BOURBON",C961)),"Whiskey",
 ISNUMBER(SEARCH("SCOTCH",C961)),"Whiskey",
 ISNUMBER(SEARCH("RYE",C961)),"Whiskey",
 ISNUMBER(SEARCH("VODKA",C961)),"Vodka",
 ISNUMBER(SEARCH("TEQUILA",C961)),"Tequila/Mezcal",
 ISNUMBER(SEARCH("MEZCAL",C961)),"Tequila/Mezcal",
 ISNUMBER(SEARCH("RUM",C961)),"Rum",
 ISNUMBER(SEARCH("BRAND",C961)),"Brandy",
 ISNUMBER(SEARCH("COGNAC",C961)),"Brandy",
 ISNUMBER(SEARCH("LIQUEUR",C961)),"Liqueurs",
 ISNUMBER(SEARCH("CORDIAL",C961)),"Liqueurs",
 ISNUMBER(SEARCH("SCHNAPP",C961)),"Liqueurs",
 ISNUMBER(SEARCH("GIN",C961)),"Gin",
 TRUE,"Other")</f>
        <v>Other</v>
      </c>
      <c r="E961" s="5">
        <v>14900</v>
      </c>
      <c r="F961" s="5">
        <v>244673.4400000032</v>
      </c>
      <c r="G961" s="5">
        <v>7381.7000000000162</v>
      </c>
      <c r="H961" s="5">
        <v>2992</v>
      </c>
    </row>
    <row r="962" spans="1:8">
      <c r="A962" s="5">
        <v>2024</v>
      </c>
      <c r="B962" s="6">
        <v>45566</v>
      </c>
      <c r="C962" s="5" t="s">
        <v>42</v>
      </c>
      <c r="D962" s="3" t="str" cm="1">
        <f t="array" ref="D962">_xlfn.IFS(
 ISNUMBER(SEARCH("WHISK",C962)),"Whiskey",
 ISNUMBER(SEARCH("BOURBON",C962)),"Whiskey",
 ISNUMBER(SEARCH("SCOTCH",C962)),"Whiskey",
 ISNUMBER(SEARCH("RYE",C962)),"Whiskey",
 ISNUMBER(SEARCH("VODKA",C962)),"Vodka",
 ISNUMBER(SEARCH("TEQUILA",C962)),"Tequila/Mezcal",
 ISNUMBER(SEARCH("MEZCAL",C962)),"Tequila/Mezcal",
 ISNUMBER(SEARCH("RUM",C962)),"Rum",
 ISNUMBER(SEARCH("BRAND",C962)),"Brandy",
 ISNUMBER(SEARCH("COGNAC",C962)),"Brandy",
 ISNUMBER(SEARCH("LIQUEUR",C962)),"Liqueurs",
 ISNUMBER(SEARCH("CORDIAL",C962)),"Liqueurs",
 ISNUMBER(SEARCH("SCHNAPP",C962)),"Liqueurs",
 ISNUMBER(SEARCH("GIN",C962)),"Gin",
 TRUE,"Other")</f>
        <v>Rum</v>
      </c>
      <c r="E962" s="5">
        <v>120339</v>
      </c>
      <c r="F962" s="5">
        <v>1685489.6199998739</v>
      </c>
      <c r="G962" s="5">
        <v>103385.64000000093</v>
      </c>
      <c r="H962" s="5">
        <v>8275</v>
      </c>
    </row>
    <row r="963" spans="1:8">
      <c r="A963" s="5">
        <v>2024</v>
      </c>
      <c r="B963" s="6">
        <v>45566</v>
      </c>
      <c r="C963" s="5" t="s">
        <v>43</v>
      </c>
      <c r="D963" s="3" t="str" cm="1">
        <f t="array" ref="D963">_xlfn.IFS(
 ISNUMBER(SEARCH("WHISK",C963)),"Whiskey",
 ISNUMBER(SEARCH("BOURBON",C963)),"Whiskey",
 ISNUMBER(SEARCH("SCOTCH",C963)),"Whiskey",
 ISNUMBER(SEARCH("RYE",C963)),"Whiskey",
 ISNUMBER(SEARCH("VODKA",C963)),"Vodka",
 ISNUMBER(SEARCH("TEQUILA",C963)),"Tequila/Mezcal",
 ISNUMBER(SEARCH("MEZCAL",C963)),"Tequila/Mezcal",
 ISNUMBER(SEARCH("RUM",C963)),"Rum",
 ISNUMBER(SEARCH("BRAND",C963)),"Brandy",
 ISNUMBER(SEARCH("COGNAC",C963)),"Brandy",
 ISNUMBER(SEARCH("LIQUEUR",C963)),"Liqueurs",
 ISNUMBER(SEARCH("CORDIAL",C963)),"Liqueurs",
 ISNUMBER(SEARCH("SCHNAPP",C963)),"Liqueurs",
 ISNUMBER(SEARCH("GIN",C963)),"Gin",
 TRUE,"Other")</f>
        <v>Whiskey</v>
      </c>
      <c r="E963" s="5">
        <v>157640</v>
      </c>
      <c r="F963" s="5">
        <v>3688519.4500000328</v>
      </c>
      <c r="G963" s="5">
        <v>128493.16000000232</v>
      </c>
      <c r="H963" s="5">
        <v>16653</v>
      </c>
    </row>
    <row r="964" spans="1:8">
      <c r="A964" s="5">
        <v>2024</v>
      </c>
      <c r="B964" s="6">
        <v>45566</v>
      </c>
      <c r="C964" s="5" t="s">
        <v>45</v>
      </c>
      <c r="D964" s="3" t="str" cm="1">
        <f t="array" ref="D964">_xlfn.IFS(
 ISNUMBER(SEARCH("WHISK",C964)),"Whiskey",
 ISNUMBER(SEARCH("BOURBON",C964)),"Whiskey",
 ISNUMBER(SEARCH("SCOTCH",C964)),"Whiskey",
 ISNUMBER(SEARCH("RYE",C964)),"Whiskey",
 ISNUMBER(SEARCH("VODKA",C964)),"Vodka",
 ISNUMBER(SEARCH("TEQUILA",C964)),"Tequila/Mezcal",
 ISNUMBER(SEARCH("MEZCAL",C964)),"Tequila/Mezcal",
 ISNUMBER(SEARCH("RUM",C964)),"Rum",
 ISNUMBER(SEARCH("BRAND",C964)),"Brandy",
 ISNUMBER(SEARCH("COGNAC",C964)),"Brandy",
 ISNUMBER(SEARCH("LIQUEUR",C964)),"Liqueurs",
 ISNUMBER(SEARCH("CORDIAL",C964)),"Liqueurs",
 ISNUMBER(SEARCH("SCHNAPP",C964)),"Liqueurs",
 ISNUMBER(SEARCH("GIN",C964)),"Gin",
 TRUE,"Other")</f>
        <v>Other</v>
      </c>
      <c r="E964" s="5">
        <v>107663</v>
      </c>
      <c r="F964" s="5">
        <v>2952636.3499998581</v>
      </c>
      <c r="G964" s="5">
        <v>81812.8100000009</v>
      </c>
      <c r="H964" s="5">
        <v>13035</v>
      </c>
    </row>
    <row r="965" spans="1:8">
      <c r="A965" s="5">
        <v>2024</v>
      </c>
      <c r="B965" s="6">
        <v>45566</v>
      </c>
      <c r="C965" s="5" t="s">
        <v>46</v>
      </c>
      <c r="D965" s="3" t="str" cm="1">
        <f t="array" ref="D965">_xlfn.IFS(
 ISNUMBER(SEARCH("WHISK",C965)),"Whiskey",
 ISNUMBER(SEARCH("BOURBON",C965)),"Whiskey",
 ISNUMBER(SEARCH("SCOTCH",C965)),"Whiskey",
 ISNUMBER(SEARCH("RYE",C965)),"Whiskey",
 ISNUMBER(SEARCH("VODKA",C965)),"Vodka",
 ISNUMBER(SEARCH("TEQUILA",C965)),"Tequila/Mezcal",
 ISNUMBER(SEARCH("MEZCAL",C965)),"Tequila/Mezcal",
 ISNUMBER(SEARCH("RUM",C965)),"Rum",
 ISNUMBER(SEARCH("BRAND",C965)),"Brandy",
 ISNUMBER(SEARCH("COGNAC",C965)),"Brandy",
 ISNUMBER(SEARCH("LIQUEUR",C965)),"Liqueurs",
 ISNUMBER(SEARCH("CORDIAL",C965)),"Liqueurs",
 ISNUMBER(SEARCH("SCHNAPP",C965)),"Liqueurs",
 ISNUMBER(SEARCH("GIN",C965)),"Gin",
 TRUE,"Other")</f>
        <v>Whiskey</v>
      </c>
      <c r="E965" s="5">
        <v>75153</v>
      </c>
      <c r="F965" s="5">
        <v>1745719.8799999892</v>
      </c>
      <c r="G965" s="5">
        <v>54608.769999999808</v>
      </c>
      <c r="H965" s="5">
        <v>6769</v>
      </c>
    </row>
    <row r="966" spans="1:8">
      <c r="A966" s="5">
        <v>2024</v>
      </c>
      <c r="B966" s="6">
        <v>45566</v>
      </c>
      <c r="C966" s="5" t="s">
        <v>48</v>
      </c>
      <c r="D966" s="3" t="str" cm="1">
        <f t="array" ref="D966">_xlfn.IFS(
 ISNUMBER(SEARCH("WHISK",C966)),"Whiskey",
 ISNUMBER(SEARCH("BOURBON",C966)),"Whiskey",
 ISNUMBER(SEARCH("SCOTCH",C966)),"Whiskey",
 ISNUMBER(SEARCH("RYE",C966)),"Whiskey",
 ISNUMBER(SEARCH("VODKA",C966)),"Vodka",
 ISNUMBER(SEARCH("TEQUILA",C966)),"Tequila/Mezcal",
 ISNUMBER(SEARCH("MEZCAL",C966)),"Tequila/Mezcal",
 ISNUMBER(SEARCH("RUM",C966)),"Rum",
 ISNUMBER(SEARCH("BRAND",C966)),"Brandy",
 ISNUMBER(SEARCH("COGNAC",C966)),"Brandy",
 ISNUMBER(SEARCH("LIQUEUR",C966)),"Liqueurs",
 ISNUMBER(SEARCH("CORDIAL",C966)),"Liqueurs",
 ISNUMBER(SEARCH("SCHNAPP",C966)),"Liqueurs",
 ISNUMBER(SEARCH("GIN",C966)),"Gin",
 TRUE,"Other")</f>
        <v>Whiskey</v>
      </c>
      <c r="E966" s="5">
        <v>413859</v>
      </c>
      <c r="F966" s="5">
        <v>2419874.3299999656</v>
      </c>
      <c r="G966" s="5">
        <v>97614.240000007543</v>
      </c>
      <c r="H966" s="5">
        <v>14768</v>
      </c>
    </row>
    <row r="967" spans="1:8">
      <c r="A967" s="5">
        <v>2024</v>
      </c>
      <c r="B967" s="6">
        <v>45566</v>
      </c>
      <c r="C967" s="5" t="s">
        <v>49</v>
      </c>
      <c r="D967" s="3" t="str" cm="1">
        <f t="array" ref="D967">_xlfn.IFS(
 ISNUMBER(SEARCH("WHISK",C967)),"Whiskey",
 ISNUMBER(SEARCH("BOURBON",C967)),"Whiskey",
 ISNUMBER(SEARCH("SCOTCH",C967)),"Whiskey",
 ISNUMBER(SEARCH("RYE",C967)),"Whiskey",
 ISNUMBER(SEARCH("VODKA",C967)),"Vodka",
 ISNUMBER(SEARCH("TEQUILA",C967)),"Tequila/Mezcal",
 ISNUMBER(SEARCH("MEZCAL",C967)),"Tequila/Mezcal",
 ISNUMBER(SEARCH("RUM",C967)),"Rum",
 ISNUMBER(SEARCH("BRAND",C967)),"Brandy",
 ISNUMBER(SEARCH("COGNAC",C967)),"Brandy",
 ISNUMBER(SEARCH("LIQUEUR",C967)),"Liqueurs",
 ISNUMBER(SEARCH("CORDIAL",C967)),"Liqueurs",
 ISNUMBER(SEARCH("SCHNAPP",C967)),"Liqueurs",
 ISNUMBER(SEARCH("GIN",C967)),"Gin",
 TRUE,"Other")</f>
        <v>Rum</v>
      </c>
      <c r="E967" s="5">
        <v>38270</v>
      </c>
      <c r="F967" s="5">
        <v>467721.04999999685</v>
      </c>
      <c r="G967" s="5">
        <v>41169.589999999902</v>
      </c>
      <c r="H967" s="5">
        <v>3476</v>
      </c>
    </row>
    <row r="968" spans="1:8">
      <c r="A968" s="5">
        <v>2024</v>
      </c>
      <c r="B968" s="6">
        <v>45566</v>
      </c>
      <c r="C968" s="5" t="s">
        <v>13</v>
      </c>
      <c r="D968" s="3" t="str" cm="1">
        <f t="array" ref="D968">_xlfn.IFS(
 ISNUMBER(SEARCH("WHISK",C968)),"Whiskey",
 ISNUMBER(SEARCH("BOURBON",C968)),"Whiskey",
 ISNUMBER(SEARCH("SCOTCH",C968)),"Whiskey",
 ISNUMBER(SEARCH("RYE",C968)),"Whiskey",
 ISNUMBER(SEARCH("VODKA",C968)),"Vodka",
 ISNUMBER(SEARCH("TEQUILA",C968)),"Tequila/Mezcal",
 ISNUMBER(SEARCH("MEZCAL",C968)),"Tequila/Mezcal",
 ISNUMBER(SEARCH("RUM",C968)),"Rum",
 ISNUMBER(SEARCH("BRAND",C968)),"Brandy",
 ISNUMBER(SEARCH("COGNAC",C968)),"Brandy",
 ISNUMBER(SEARCH("LIQUEUR",C968)),"Liqueurs",
 ISNUMBER(SEARCH("CORDIAL",C968)),"Liqueurs",
 ISNUMBER(SEARCH("SCHNAPP",C968)),"Liqueurs",
 ISNUMBER(SEARCH("GIN",C968)),"Gin",
 TRUE,"Other")</f>
        <v>Liqueurs</v>
      </c>
      <c r="E968" s="5">
        <v>98729</v>
      </c>
      <c r="F968" s="5">
        <v>701452.18999997049</v>
      </c>
      <c r="G968" s="5">
        <v>40212.470000000125</v>
      </c>
      <c r="H968" s="5">
        <v>7845</v>
      </c>
    </row>
    <row r="969" spans="1:8">
      <c r="A969" s="5">
        <v>2024</v>
      </c>
      <c r="B969" s="6">
        <v>45566</v>
      </c>
      <c r="C969" s="5" t="s">
        <v>20</v>
      </c>
      <c r="D969" s="3" t="str" cm="1">
        <f t="array" ref="D969">_xlfn.IFS(
 ISNUMBER(SEARCH("WHISK",C969)),"Whiskey",
 ISNUMBER(SEARCH("BOURBON",C969)),"Whiskey",
 ISNUMBER(SEARCH("SCOTCH",C969)),"Whiskey",
 ISNUMBER(SEARCH("RYE",C969)),"Whiskey",
 ISNUMBER(SEARCH("VODKA",C969)),"Vodka",
 ISNUMBER(SEARCH("TEQUILA",C969)),"Tequila/Mezcal",
 ISNUMBER(SEARCH("MEZCAL",C969)),"Tequila/Mezcal",
 ISNUMBER(SEARCH("RUM",C969)),"Rum",
 ISNUMBER(SEARCH("BRAND",C969)),"Brandy",
 ISNUMBER(SEARCH("COGNAC",C969)),"Brandy",
 ISNUMBER(SEARCH("LIQUEUR",C969)),"Liqueurs",
 ISNUMBER(SEARCH("CORDIAL",C969)),"Liqueurs",
 ISNUMBER(SEARCH("SCHNAPP",C969)),"Liqueurs",
 ISNUMBER(SEARCH("GIN",C969)),"Gin",
 TRUE,"Other")</f>
        <v>Liqueurs</v>
      </c>
      <c r="E969" s="5">
        <v>9920</v>
      </c>
      <c r="F969" s="5">
        <v>209424.01000000053</v>
      </c>
      <c r="G969" s="5">
        <v>8411.3000000000102</v>
      </c>
      <c r="H969" s="5">
        <v>915</v>
      </c>
    </row>
    <row r="970" spans="1:8">
      <c r="A970" s="5">
        <v>2024</v>
      </c>
      <c r="B970" s="6">
        <v>45566</v>
      </c>
      <c r="C970" s="5" t="s">
        <v>50</v>
      </c>
      <c r="D970" s="3" t="str" cm="1">
        <f t="array" ref="D970">_xlfn.IFS(
 ISNUMBER(SEARCH("WHISK",C970)),"Whiskey",
 ISNUMBER(SEARCH("BOURBON",C970)),"Whiskey",
 ISNUMBER(SEARCH("SCOTCH",C970)),"Whiskey",
 ISNUMBER(SEARCH("RYE",C970)),"Whiskey",
 ISNUMBER(SEARCH("VODKA",C970)),"Vodka",
 ISNUMBER(SEARCH("TEQUILA",C970)),"Tequila/Mezcal",
 ISNUMBER(SEARCH("MEZCAL",C970)),"Tequila/Mezcal",
 ISNUMBER(SEARCH("RUM",C970)),"Rum",
 ISNUMBER(SEARCH("BRAND",C970)),"Brandy",
 ISNUMBER(SEARCH("COGNAC",C970)),"Brandy",
 ISNUMBER(SEARCH("LIQUEUR",C970)),"Liqueurs",
 ISNUMBER(SEARCH("CORDIAL",C970)),"Liqueurs",
 ISNUMBER(SEARCH("SCHNAPP",C970)),"Liqueurs",
 ISNUMBER(SEARCH("GIN",C970)),"Gin",
 TRUE,"Other")</f>
        <v>Tequila/Mezcal</v>
      </c>
      <c r="E970" s="5">
        <v>101994</v>
      </c>
      <c r="F970" s="5">
        <v>2920525.2499999516</v>
      </c>
      <c r="G970" s="5">
        <v>68969.290000000765</v>
      </c>
      <c r="H970" s="5">
        <v>11528</v>
      </c>
    </row>
    <row r="971" spans="1:8">
      <c r="A971" s="5">
        <v>2024</v>
      </c>
      <c r="B971" s="6">
        <v>45566</v>
      </c>
      <c r="C971" s="5" t="s">
        <v>8</v>
      </c>
      <c r="D971" s="3" t="str" cm="1">
        <f t="array" ref="D971">_xlfn.IFS(
 ISNUMBER(SEARCH("WHISK",C971)),"Whiskey",
 ISNUMBER(SEARCH("BOURBON",C971)),"Whiskey",
 ISNUMBER(SEARCH("SCOTCH",C971)),"Whiskey",
 ISNUMBER(SEARCH("RYE",C971)),"Whiskey",
 ISNUMBER(SEARCH("VODKA",C971)),"Vodka",
 ISNUMBER(SEARCH("TEQUILA",C971)),"Tequila/Mezcal",
 ISNUMBER(SEARCH("MEZCAL",C971)),"Tequila/Mezcal",
 ISNUMBER(SEARCH("RUM",C971)),"Rum",
 ISNUMBER(SEARCH("BRAND",C971)),"Brandy",
 ISNUMBER(SEARCH("COGNAC",C971)),"Brandy",
 ISNUMBER(SEARCH("LIQUEUR",C971)),"Liqueurs",
 ISNUMBER(SEARCH("CORDIAL",C971)),"Liqueurs",
 ISNUMBER(SEARCH("SCHNAPP",C971)),"Liqueurs",
 ISNUMBER(SEARCH("GIN",C971)),"Gin",
 TRUE,"Other")</f>
        <v>Brandy</v>
      </c>
      <c r="E971" s="5">
        <v>58304</v>
      </c>
      <c r="F971" s="5">
        <v>372863.54000000283</v>
      </c>
      <c r="G971" s="5">
        <v>29730.379999999685</v>
      </c>
      <c r="H971" s="5">
        <v>4459</v>
      </c>
    </row>
    <row r="972" spans="1:8">
      <c r="A972" s="5">
        <v>2024</v>
      </c>
      <c r="B972" s="6">
        <v>45566</v>
      </c>
      <c r="C972" s="5" t="s">
        <v>28</v>
      </c>
      <c r="D972" s="3" t="str" cm="1">
        <f t="array" ref="D972">_xlfn.IFS(
 ISNUMBER(SEARCH("WHISK",C972)),"Whiskey",
 ISNUMBER(SEARCH("BOURBON",C972)),"Whiskey",
 ISNUMBER(SEARCH("SCOTCH",C972)),"Whiskey",
 ISNUMBER(SEARCH("RYE",C972)),"Whiskey",
 ISNUMBER(SEARCH("VODKA",C972)),"Vodka",
 ISNUMBER(SEARCH("TEQUILA",C972)),"Tequila/Mezcal",
 ISNUMBER(SEARCH("MEZCAL",C972)),"Tequila/Mezcal",
 ISNUMBER(SEARCH("RUM",C972)),"Rum",
 ISNUMBER(SEARCH("BRAND",C972)),"Brandy",
 ISNUMBER(SEARCH("COGNAC",C972)),"Brandy",
 ISNUMBER(SEARCH("LIQUEUR",C972)),"Liqueurs",
 ISNUMBER(SEARCH("CORDIAL",C972)),"Liqueurs",
 ISNUMBER(SEARCH("SCHNAPP",C972)),"Liqueurs",
 ISNUMBER(SEARCH("GIN",C972)),"Gin",
 TRUE,"Other")</f>
        <v>Other</v>
      </c>
      <c r="E972" s="5">
        <v>35129</v>
      </c>
      <c r="F972" s="5">
        <v>254779.75000000052</v>
      </c>
      <c r="G972" s="5">
        <v>29660.299999999974</v>
      </c>
      <c r="H972" s="5">
        <v>951</v>
      </c>
    </row>
    <row r="973" spans="1:8">
      <c r="A973" s="5">
        <v>2024</v>
      </c>
      <c r="B973" s="6">
        <v>45566</v>
      </c>
      <c r="C973" s="5" t="s">
        <v>33</v>
      </c>
      <c r="D973" s="3" t="str" cm="1">
        <f t="array" ref="D973">_xlfn.IFS(
 ISNUMBER(SEARCH("WHISK",C973)),"Whiskey",
 ISNUMBER(SEARCH("BOURBON",C973)),"Whiskey",
 ISNUMBER(SEARCH("SCOTCH",C973)),"Whiskey",
 ISNUMBER(SEARCH("RYE",C973)),"Whiskey",
 ISNUMBER(SEARCH("VODKA",C973)),"Vodka",
 ISNUMBER(SEARCH("TEQUILA",C973)),"Tequila/Mezcal",
 ISNUMBER(SEARCH("MEZCAL",C973)),"Tequila/Mezcal",
 ISNUMBER(SEARCH("RUM",C973)),"Rum",
 ISNUMBER(SEARCH("BRAND",C973)),"Brandy",
 ISNUMBER(SEARCH("COGNAC",C973)),"Brandy",
 ISNUMBER(SEARCH("LIQUEUR",C973)),"Liqueurs",
 ISNUMBER(SEARCH("CORDIAL",C973)),"Liqueurs",
 ISNUMBER(SEARCH("SCHNAPP",C973)),"Liqueurs",
 ISNUMBER(SEARCH("GIN",C973)),"Gin",
 TRUE,"Other")</f>
        <v>Whiskey</v>
      </c>
      <c r="E973" s="5">
        <v>31151</v>
      </c>
      <c r="F973" s="5">
        <v>918830.69999998168</v>
      </c>
      <c r="G973" s="5">
        <v>26388.919999999955</v>
      </c>
      <c r="H973" s="5">
        <v>2761</v>
      </c>
    </row>
    <row r="974" spans="1:8">
      <c r="A974" s="5">
        <v>2024</v>
      </c>
      <c r="B974" s="6">
        <v>45566</v>
      </c>
      <c r="C974" s="5" t="s">
        <v>11</v>
      </c>
      <c r="D974" s="3" t="str" cm="1">
        <f t="array" ref="D974">_xlfn.IFS(
 ISNUMBER(SEARCH("WHISK",C974)),"Whiskey",
 ISNUMBER(SEARCH("BOURBON",C974)),"Whiskey",
 ISNUMBER(SEARCH("SCOTCH",C974)),"Whiskey",
 ISNUMBER(SEARCH("RYE",C974)),"Whiskey",
 ISNUMBER(SEARCH("VODKA",C974)),"Vodka",
 ISNUMBER(SEARCH("TEQUILA",C974)),"Tequila/Mezcal",
 ISNUMBER(SEARCH("MEZCAL",C974)),"Tequila/Mezcal",
 ISNUMBER(SEARCH("RUM",C974)),"Rum",
 ISNUMBER(SEARCH("BRAND",C974)),"Brandy",
 ISNUMBER(SEARCH("COGNAC",C974)),"Brandy",
 ISNUMBER(SEARCH("LIQUEUR",C974)),"Liqueurs",
 ISNUMBER(SEARCH("CORDIAL",C974)),"Liqueurs",
 ISNUMBER(SEARCH("SCHNAPP",C974)),"Liqueurs",
 ISNUMBER(SEARCH("GIN",C974)),"Gin",
 TRUE,"Other")</f>
        <v>Gin</v>
      </c>
      <c r="E974" s="5">
        <v>29283</v>
      </c>
      <c r="F974" s="5">
        <v>276432.24000000145</v>
      </c>
      <c r="G974" s="5">
        <v>25271.199999999943</v>
      </c>
      <c r="H974" s="5">
        <v>2653</v>
      </c>
    </row>
    <row r="975" spans="1:8">
      <c r="A975" s="5">
        <v>2024</v>
      </c>
      <c r="B975" s="6">
        <v>45566</v>
      </c>
      <c r="C975" s="5" t="s">
        <v>19</v>
      </c>
      <c r="D975" s="3" t="str" cm="1">
        <f t="array" ref="D975">_xlfn.IFS(
 ISNUMBER(SEARCH("WHISK",C975)),"Whiskey",
 ISNUMBER(SEARCH("BOURBON",C975)),"Whiskey",
 ISNUMBER(SEARCH("SCOTCH",C975)),"Whiskey",
 ISNUMBER(SEARCH("RYE",C975)),"Whiskey",
 ISNUMBER(SEARCH("VODKA",C975)),"Vodka",
 ISNUMBER(SEARCH("TEQUILA",C975)),"Tequila/Mezcal",
 ISNUMBER(SEARCH("MEZCAL",C975)),"Tequila/Mezcal",
 ISNUMBER(SEARCH("RUM",C975)),"Rum",
 ISNUMBER(SEARCH("BRAND",C975)),"Brandy",
 ISNUMBER(SEARCH("COGNAC",C975)),"Brandy",
 ISNUMBER(SEARCH("LIQUEUR",C975)),"Liqueurs",
 ISNUMBER(SEARCH("CORDIAL",C975)),"Liqueurs",
 ISNUMBER(SEARCH("SCHNAPP",C975)),"Liqueurs",
 ISNUMBER(SEARCH("GIN",C975)),"Gin",
 TRUE,"Other")</f>
        <v>Other</v>
      </c>
      <c r="E975" s="5">
        <v>52361</v>
      </c>
      <c r="F975" s="5">
        <v>629687.58999999135</v>
      </c>
      <c r="G975" s="5">
        <v>61892.790000000248</v>
      </c>
      <c r="H975" s="5">
        <v>6392</v>
      </c>
    </row>
    <row r="976" spans="1:8">
      <c r="A976" s="5">
        <v>2024</v>
      </c>
      <c r="B976" s="6">
        <v>45566</v>
      </c>
      <c r="C976" s="5" t="s">
        <v>25</v>
      </c>
      <c r="D976" s="3" t="str" cm="1">
        <f t="array" ref="D976">_xlfn.IFS(
 ISNUMBER(SEARCH("WHISK",C976)),"Whiskey",
 ISNUMBER(SEARCH("BOURBON",C976)),"Whiskey",
 ISNUMBER(SEARCH("SCOTCH",C976)),"Whiskey",
 ISNUMBER(SEARCH("RYE",C976)),"Whiskey",
 ISNUMBER(SEARCH("VODKA",C976)),"Vodka",
 ISNUMBER(SEARCH("TEQUILA",C976)),"Tequila/Mezcal",
 ISNUMBER(SEARCH("MEZCAL",C976)),"Tequila/Mezcal",
 ISNUMBER(SEARCH("RUM",C976)),"Rum",
 ISNUMBER(SEARCH("BRAND",C976)),"Brandy",
 ISNUMBER(SEARCH("COGNAC",C976)),"Brandy",
 ISNUMBER(SEARCH("LIQUEUR",C976)),"Liqueurs",
 ISNUMBER(SEARCH("CORDIAL",C976)),"Liqueurs",
 ISNUMBER(SEARCH("SCHNAPP",C976)),"Liqueurs",
 ISNUMBER(SEARCH("GIN",C976)),"Gin",
 TRUE,"Other")</f>
        <v>Rum</v>
      </c>
      <c r="E976" s="5">
        <v>6066</v>
      </c>
      <c r="F976" s="5">
        <v>81548.759999999893</v>
      </c>
      <c r="G976" s="5">
        <v>6591.3300000000027</v>
      </c>
      <c r="H976" s="5">
        <v>858</v>
      </c>
    </row>
    <row r="977" spans="1:8">
      <c r="A977" s="5">
        <v>2024</v>
      </c>
      <c r="B977" s="6">
        <v>45566</v>
      </c>
      <c r="C977" s="5" t="s">
        <v>26</v>
      </c>
      <c r="D977" s="3" t="str" cm="1">
        <f t="array" ref="D977">_xlfn.IFS(
 ISNUMBER(SEARCH("WHISK",C977)),"Whiskey",
 ISNUMBER(SEARCH("BOURBON",C977)),"Whiskey",
 ISNUMBER(SEARCH("SCOTCH",C977)),"Whiskey",
 ISNUMBER(SEARCH("RYE",C977)),"Whiskey",
 ISNUMBER(SEARCH("VODKA",C977)),"Vodka",
 ISNUMBER(SEARCH("TEQUILA",C977)),"Tequila/Mezcal",
 ISNUMBER(SEARCH("MEZCAL",C977)),"Tequila/Mezcal",
 ISNUMBER(SEARCH("RUM",C977)),"Rum",
 ISNUMBER(SEARCH("BRAND",C977)),"Brandy",
 ISNUMBER(SEARCH("COGNAC",C977)),"Brandy",
 ISNUMBER(SEARCH("LIQUEUR",C977)),"Liqueurs",
 ISNUMBER(SEARCH("CORDIAL",C977)),"Liqueurs",
 ISNUMBER(SEARCH("SCHNAPP",C977)),"Liqueurs",
 ISNUMBER(SEARCH("GIN",C977)),"Gin",
 TRUE,"Other")</f>
        <v>Brandy</v>
      </c>
      <c r="E977" s="5">
        <v>33337</v>
      </c>
      <c r="F977" s="5">
        <v>736040.98000000091</v>
      </c>
      <c r="G977" s="5">
        <v>16070.69000000001</v>
      </c>
      <c r="H977" s="5">
        <v>3070</v>
      </c>
    </row>
    <row r="978" spans="1:8">
      <c r="A978" s="5">
        <v>2024</v>
      </c>
      <c r="B978" s="6">
        <v>45566</v>
      </c>
      <c r="C978" s="5" t="s">
        <v>30</v>
      </c>
      <c r="D978" s="3" t="str" cm="1">
        <f t="array" ref="D978">_xlfn.IFS(
 ISNUMBER(SEARCH("WHISK",C978)),"Whiskey",
 ISNUMBER(SEARCH("BOURBON",C978)),"Whiskey",
 ISNUMBER(SEARCH("SCOTCH",C978)),"Whiskey",
 ISNUMBER(SEARCH("RYE",C978)),"Whiskey",
 ISNUMBER(SEARCH("VODKA",C978)),"Vodka",
 ISNUMBER(SEARCH("TEQUILA",C978)),"Tequila/Mezcal",
 ISNUMBER(SEARCH("MEZCAL",C978)),"Tequila/Mezcal",
 ISNUMBER(SEARCH("RUM",C978)),"Rum",
 ISNUMBER(SEARCH("BRAND",C978)),"Brandy",
 ISNUMBER(SEARCH("COGNAC",C978)),"Brandy",
 ISNUMBER(SEARCH("LIQUEUR",C978)),"Liqueurs",
 ISNUMBER(SEARCH("CORDIAL",C978)),"Liqueurs",
 ISNUMBER(SEARCH("SCHNAPP",C978)),"Liqueurs",
 ISNUMBER(SEARCH("GIN",C978)),"Gin",
 TRUE,"Other")</f>
        <v>Vodka</v>
      </c>
      <c r="E978" s="5">
        <v>24089</v>
      </c>
      <c r="F978" s="5">
        <v>373476.09000000148</v>
      </c>
      <c r="G978" s="5">
        <v>18742.059999999987</v>
      </c>
      <c r="H978" s="5">
        <v>2352</v>
      </c>
    </row>
    <row r="979" spans="1:8">
      <c r="A979" s="5">
        <v>2024</v>
      </c>
      <c r="B979" s="6">
        <v>45566</v>
      </c>
      <c r="C979" s="5" t="s">
        <v>44</v>
      </c>
      <c r="D979" s="3" t="str" cm="1">
        <f t="array" ref="D979">_xlfn.IFS(
 ISNUMBER(SEARCH("WHISK",C979)),"Whiskey",
 ISNUMBER(SEARCH("BOURBON",C979)),"Whiskey",
 ISNUMBER(SEARCH("SCOTCH",C979)),"Whiskey",
 ISNUMBER(SEARCH("RYE",C979)),"Whiskey",
 ISNUMBER(SEARCH("VODKA",C979)),"Vodka",
 ISNUMBER(SEARCH("TEQUILA",C979)),"Tequila/Mezcal",
 ISNUMBER(SEARCH("MEZCAL",C979)),"Tequila/Mezcal",
 ISNUMBER(SEARCH("RUM",C979)),"Rum",
 ISNUMBER(SEARCH("BRAND",C979)),"Brandy",
 ISNUMBER(SEARCH("COGNAC",C979)),"Brandy",
 ISNUMBER(SEARCH("LIQUEUR",C979)),"Liqueurs",
 ISNUMBER(SEARCH("CORDIAL",C979)),"Liqueurs",
 ISNUMBER(SEARCH("SCHNAPP",C979)),"Liqueurs",
 ISNUMBER(SEARCH("GIN",C979)),"Gin",
 TRUE,"Other")</f>
        <v>Whiskey</v>
      </c>
      <c r="E979" s="5">
        <v>11376</v>
      </c>
      <c r="F979" s="5">
        <v>361946.33999999968</v>
      </c>
      <c r="G979" s="5">
        <v>8808.9999999999782</v>
      </c>
      <c r="H979" s="5">
        <v>1649</v>
      </c>
    </row>
    <row r="980" spans="1:8">
      <c r="A980" s="5">
        <v>2024</v>
      </c>
      <c r="B980" s="6">
        <v>45566</v>
      </c>
      <c r="C980" s="5" t="s">
        <v>47</v>
      </c>
      <c r="D980" s="3" t="str" cm="1">
        <f t="array" ref="D980">_xlfn.IFS(
 ISNUMBER(SEARCH("WHISK",C980)),"Whiskey",
 ISNUMBER(SEARCH("BOURBON",C980)),"Whiskey",
 ISNUMBER(SEARCH("SCOTCH",C980)),"Whiskey",
 ISNUMBER(SEARCH("RYE",C980)),"Whiskey",
 ISNUMBER(SEARCH("VODKA",C980)),"Vodka",
 ISNUMBER(SEARCH("TEQUILA",C980)),"Tequila/Mezcal",
 ISNUMBER(SEARCH("MEZCAL",C980)),"Tequila/Mezcal",
 ISNUMBER(SEARCH("RUM",C980)),"Rum",
 ISNUMBER(SEARCH("BRAND",C980)),"Brandy",
 ISNUMBER(SEARCH("COGNAC",C980)),"Brandy",
 ISNUMBER(SEARCH("LIQUEUR",C980)),"Liqueurs",
 ISNUMBER(SEARCH("CORDIAL",C980)),"Liqueurs",
 ISNUMBER(SEARCH("SCHNAPP",C980)),"Liqueurs",
 ISNUMBER(SEARCH("GIN",C980)),"Gin",
 TRUE,"Other")</f>
        <v>Other</v>
      </c>
      <c r="E980" s="5">
        <v>15487</v>
      </c>
      <c r="F980" s="5">
        <v>64283.580000000067</v>
      </c>
      <c r="G980" s="5">
        <v>15360.5</v>
      </c>
      <c r="H980" s="5">
        <v>616</v>
      </c>
    </row>
    <row r="981" spans="1:8">
      <c r="A981" s="5">
        <v>2024</v>
      </c>
      <c r="B981" s="6">
        <v>45566</v>
      </c>
      <c r="C981" s="5" t="s">
        <v>17</v>
      </c>
      <c r="D981" s="3" t="str" cm="1">
        <f t="array" ref="D981">_xlfn.IFS(
 ISNUMBER(SEARCH("WHISK",C981)),"Whiskey",
 ISNUMBER(SEARCH("BOURBON",C981)),"Whiskey",
 ISNUMBER(SEARCH("SCOTCH",C981)),"Whiskey",
 ISNUMBER(SEARCH("RYE",C981)),"Whiskey",
 ISNUMBER(SEARCH("VODKA",C981)),"Vodka",
 ISNUMBER(SEARCH("TEQUILA",C981)),"Tequila/Mezcal",
 ISNUMBER(SEARCH("MEZCAL",C981)),"Tequila/Mezcal",
 ISNUMBER(SEARCH("RUM",C981)),"Rum",
 ISNUMBER(SEARCH("BRAND",C981)),"Brandy",
 ISNUMBER(SEARCH("COGNAC",C981)),"Brandy",
 ISNUMBER(SEARCH("LIQUEUR",C981)),"Liqueurs",
 ISNUMBER(SEARCH("CORDIAL",C981)),"Liqueurs",
 ISNUMBER(SEARCH("SCHNAPP",C981)),"Liqueurs",
 ISNUMBER(SEARCH("GIN",C981)),"Gin",
 TRUE,"Other")</f>
        <v>Whiskey</v>
      </c>
      <c r="E981" s="5">
        <v>3116</v>
      </c>
      <c r="F981" s="5">
        <v>91478.870000000024</v>
      </c>
      <c r="G981" s="5">
        <v>2801</v>
      </c>
      <c r="H981" s="5">
        <v>598</v>
      </c>
    </row>
    <row r="982" spans="1:8">
      <c r="A982" s="5">
        <v>2024</v>
      </c>
      <c r="B982" s="6">
        <v>45566</v>
      </c>
      <c r="C982" s="5" t="s">
        <v>36</v>
      </c>
      <c r="D982" s="3" t="str" cm="1">
        <f t="array" ref="D982">_xlfn.IFS(
 ISNUMBER(SEARCH("WHISK",C982)),"Whiskey",
 ISNUMBER(SEARCH("BOURBON",C982)),"Whiskey",
 ISNUMBER(SEARCH("SCOTCH",C982)),"Whiskey",
 ISNUMBER(SEARCH("RYE",C982)),"Whiskey",
 ISNUMBER(SEARCH("VODKA",C982)),"Vodka",
 ISNUMBER(SEARCH("TEQUILA",C982)),"Tequila/Mezcal",
 ISNUMBER(SEARCH("MEZCAL",C982)),"Tequila/Mezcal",
 ISNUMBER(SEARCH("RUM",C982)),"Rum",
 ISNUMBER(SEARCH("BRAND",C982)),"Brandy",
 ISNUMBER(SEARCH("COGNAC",C982)),"Brandy",
 ISNUMBER(SEARCH("LIQUEUR",C982)),"Liqueurs",
 ISNUMBER(SEARCH("CORDIAL",C982)),"Liqueurs",
 ISNUMBER(SEARCH("SCHNAPP",C982)),"Liqueurs",
 ISNUMBER(SEARCH("GIN",C982)),"Gin",
 TRUE,"Other")</f>
        <v>Other</v>
      </c>
      <c r="E982" s="5">
        <v>3618</v>
      </c>
      <c r="F982" s="5">
        <v>50713.519999999982</v>
      </c>
      <c r="G982" s="5">
        <v>2822.2000000000016</v>
      </c>
      <c r="H982" s="5">
        <v>437</v>
      </c>
    </row>
    <row r="983" spans="1:8">
      <c r="A983" s="5">
        <v>2024</v>
      </c>
      <c r="B983" s="6">
        <v>45566</v>
      </c>
      <c r="C983" s="5" t="s">
        <v>38</v>
      </c>
      <c r="D983" s="3" t="str" cm="1">
        <f t="array" ref="D983">_xlfn.IFS(
 ISNUMBER(SEARCH("WHISK",C983)),"Whiskey",
 ISNUMBER(SEARCH("BOURBON",C983)),"Whiskey",
 ISNUMBER(SEARCH("SCOTCH",C983)),"Whiskey",
 ISNUMBER(SEARCH("RYE",C983)),"Whiskey",
 ISNUMBER(SEARCH("VODKA",C983)),"Vodka",
 ISNUMBER(SEARCH("TEQUILA",C983)),"Tequila/Mezcal",
 ISNUMBER(SEARCH("MEZCAL",C983)),"Tequila/Mezcal",
 ISNUMBER(SEARCH("RUM",C983)),"Rum",
 ISNUMBER(SEARCH("BRAND",C983)),"Brandy",
 ISNUMBER(SEARCH("COGNAC",C983)),"Brandy",
 ISNUMBER(SEARCH("LIQUEUR",C983)),"Liqueurs",
 ISNUMBER(SEARCH("CORDIAL",C983)),"Liqueurs",
 ISNUMBER(SEARCH("SCHNAPP",C983)),"Liqueurs",
 ISNUMBER(SEARCH("GIN",C983)),"Gin",
 TRUE,"Other")</f>
        <v>Whiskey</v>
      </c>
      <c r="E983" s="5">
        <v>17291</v>
      </c>
      <c r="F983" s="5">
        <v>506262.86999999831</v>
      </c>
      <c r="G983" s="5">
        <v>17580.970000000027</v>
      </c>
      <c r="H983" s="5">
        <v>2876</v>
      </c>
    </row>
    <row r="984" spans="1:8">
      <c r="A984" s="5">
        <v>2024</v>
      </c>
      <c r="B984" s="6">
        <v>45566</v>
      </c>
      <c r="C984" s="5" t="s">
        <v>39</v>
      </c>
      <c r="D984" s="3" t="str" cm="1">
        <f t="array" ref="D984">_xlfn.IFS(
 ISNUMBER(SEARCH("WHISK",C984)),"Whiskey",
 ISNUMBER(SEARCH("BOURBON",C984)),"Whiskey",
 ISNUMBER(SEARCH("SCOTCH",C984)),"Whiskey",
 ISNUMBER(SEARCH("RYE",C984)),"Whiskey",
 ISNUMBER(SEARCH("VODKA",C984)),"Vodka",
 ISNUMBER(SEARCH("TEQUILA",C984)),"Tequila/Mezcal",
 ISNUMBER(SEARCH("MEZCAL",C984)),"Tequila/Mezcal",
 ISNUMBER(SEARCH("RUM",C984)),"Rum",
 ISNUMBER(SEARCH("BRAND",C984)),"Brandy",
 ISNUMBER(SEARCH("COGNAC",C984)),"Brandy",
 ISNUMBER(SEARCH("LIQUEUR",C984)),"Liqueurs",
 ISNUMBER(SEARCH("CORDIAL",C984)),"Liqueurs",
 ISNUMBER(SEARCH("SCHNAPP",C984)),"Liqueurs",
 ISNUMBER(SEARCH("GIN",C984)),"Gin",
 TRUE,"Other")</f>
        <v>Whiskey</v>
      </c>
      <c r="E984" s="5">
        <v>5207</v>
      </c>
      <c r="F984" s="5">
        <v>227718.05</v>
      </c>
      <c r="G984" s="5">
        <v>3905.25</v>
      </c>
      <c r="H984" s="5">
        <v>557</v>
      </c>
    </row>
    <row r="985" spans="1:8">
      <c r="A985" s="5">
        <v>2024</v>
      </c>
      <c r="B985" s="6">
        <v>45566</v>
      </c>
      <c r="C985" s="5" t="s">
        <v>41</v>
      </c>
      <c r="D985" s="3" t="str" cm="1">
        <f t="array" ref="D985">_xlfn.IFS(
 ISNUMBER(SEARCH("WHISK",C985)),"Whiskey",
 ISNUMBER(SEARCH("BOURBON",C985)),"Whiskey",
 ISNUMBER(SEARCH("SCOTCH",C985)),"Whiskey",
 ISNUMBER(SEARCH("RYE",C985)),"Whiskey",
 ISNUMBER(SEARCH("VODKA",C985)),"Vodka",
 ISNUMBER(SEARCH("TEQUILA",C985)),"Tequila/Mezcal",
 ISNUMBER(SEARCH("MEZCAL",C985)),"Tequila/Mezcal",
 ISNUMBER(SEARCH("RUM",C985)),"Rum",
 ISNUMBER(SEARCH("BRAND",C985)),"Brandy",
 ISNUMBER(SEARCH("COGNAC",C985)),"Brandy",
 ISNUMBER(SEARCH("LIQUEUR",C985)),"Liqueurs",
 ISNUMBER(SEARCH("CORDIAL",C985)),"Liqueurs",
 ISNUMBER(SEARCH("SCHNAPP",C985)),"Liqueurs",
 ISNUMBER(SEARCH("GIN",C985)),"Gin",
 TRUE,"Other")</f>
        <v>Other</v>
      </c>
      <c r="E985" s="5">
        <v>7182</v>
      </c>
      <c r="F985" s="5">
        <v>83974.860000000015</v>
      </c>
      <c r="G985" s="5">
        <v>10417.849999999997</v>
      </c>
      <c r="H985" s="5">
        <v>176</v>
      </c>
    </row>
    <row r="986" spans="1:8">
      <c r="A986" s="5">
        <v>2024</v>
      </c>
      <c r="B986" s="6">
        <v>45566</v>
      </c>
      <c r="C986" s="5" t="s">
        <v>7</v>
      </c>
      <c r="D986" s="3" t="str" cm="1">
        <f t="array" ref="D986">_xlfn.IFS(
 ISNUMBER(SEARCH("WHISK",C986)),"Whiskey",
 ISNUMBER(SEARCH("BOURBON",C986)),"Whiskey",
 ISNUMBER(SEARCH("SCOTCH",C986)),"Whiskey",
 ISNUMBER(SEARCH("RYE",C986)),"Whiskey",
 ISNUMBER(SEARCH("VODKA",C986)),"Vodka",
 ISNUMBER(SEARCH("TEQUILA",C986)),"Tequila/Mezcal",
 ISNUMBER(SEARCH("MEZCAL",C986)),"Tequila/Mezcal",
 ISNUMBER(SEARCH("RUM",C986)),"Rum",
 ISNUMBER(SEARCH("BRAND",C986)),"Brandy",
 ISNUMBER(SEARCH("COGNAC",C986)),"Brandy",
 ISNUMBER(SEARCH("LIQUEUR",C986)),"Liqueurs",
 ISNUMBER(SEARCH("CORDIAL",C986)),"Liqueurs",
 ISNUMBER(SEARCH("SCHNAPP",C986)),"Liqueurs",
 ISNUMBER(SEARCH("GIN",C986)),"Gin",
 TRUE,"Other")</f>
        <v>Rum</v>
      </c>
      <c r="E986" s="5">
        <v>3648</v>
      </c>
      <c r="F986" s="5">
        <v>78058.140000000072</v>
      </c>
      <c r="G986" s="5">
        <v>2981.2</v>
      </c>
      <c r="H986" s="5">
        <v>661</v>
      </c>
    </row>
    <row r="987" spans="1:8">
      <c r="A987" s="5">
        <v>2024</v>
      </c>
      <c r="B987" s="6">
        <v>45566</v>
      </c>
      <c r="C987" s="5" t="s">
        <v>10</v>
      </c>
      <c r="D987" s="3" t="str" cm="1">
        <f t="array" ref="D987">_xlfn.IFS(
 ISNUMBER(SEARCH("WHISK",C987)),"Whiskey",
 ISNUMBER(SEARCH("BOURBON",C987)),"Whiskey",
 ISNUMBER(SEARCH("SCOTCH",C987)),"Whiskey",
 ISNUMBER(SEARCH("RYE",C987)),"Whiskey",
 ISNUMBER(SEARCH("VODKA",C987)),"Vodka",
 ISNUMBER(SEARCH("TEQUILA",C987)),"Tequila/Mezcal",
 ISNUMBER(SEARCH("MEZCAL",C987)),"Tequila/Mezcal",
 ISNUMBER(SEARCH("RUM",C987)),"Rum",
 ISNUMBER(SEARCH("BRAND",C987)),"Brandy",
 ISNUMBER(SEARCH("COGNAC",C987)),"Brandy",
 ISNUMBER(SEARCH("LIQUEUR",C987)),"Liqueurs",
 ISNUMBER(SEARCH("CORDIAL",C987)),"Liqueurs",
 ISNUMBER(SEARCH("SCHNAPP",C987)),"Liqueurs",
 ISNUMBER(SEARCH("GIN",C987)),"Gin",
 TRUE,"Other")</f>
        <v>Other</v>
      </c>
      <c r="E987" s="5">
        <v>6784</v>
      </c>
      <c r="F987" s="5">
        <v>129749.56999999998</v>
      </c>
      <c r="G987" s="5">
        <v>4766.63</v>
      </c>
      <c r="H987" s="5">
        <v>512</v>
      </c>
    </row>
    <row r="988" spans="1:8">
      <c r="A988" s="5">
        <v>2024</v>
      </c>
      <c r="B988" s="6">
        <v>45566</v>
      </c>
      <c r="C988" s="5" t="s">
        <v>23</v>
      </c>
      <c r="D988" s="3" t="str" cm="1">
        <f t="array" ref="D988">_xlfn.IFS(
 ISNUMBER(SEARCH("WHISK",C988)),"Whiskey",
 ISNUMBER(SEARCH("BOURBON",C988)),"Whiskey",
 ISNUMBER(SEARCH("SCOTCH",C988)),"Whiskey",
 ISNUMBER(SEARCH("RYE",C988)),"Whiskey",
 ISNUMBER(SEARCH("VODKA",C988)),"Vodka",
 ISNUMBER(SEARCH("TEQUILA",C988)),"Tequila/Mezcal",
 ISNUMBER(SEARCH("MEZCAL",C988)),"Tequila/Mezcal",
 ISNUMBER(SEARCH("RUM",C988)),"Rum",
 ISNUMBER(SEARCH("BRAND",C988)),"Brandy",
 ISNUMBER(SEARCH("COGNAC",C988)),"Brandy",
 ISNUMBER(SEARCH("LIQUEUR",C988)),"Liqueurs",
 ISNUMBER(SEARCH("CORDIAL",C988)),"Liqueurs",
 ISNUMBER(SEARCH("SCHNAPP",C988)),"Liqueurs",
 ISNUMBER(SEARCH("GIN",C988)),"Gin",
 TRUE,"Other")</f>
        <v>Gin</v>
      </c>
      <c r="E988" s="5">
        <v>4206</v>
      </c>
      <c r="F988" s="5">
        <v>108954.95000000001</v>
      </c>
      <c r="G988" s="5">
        <v>3125</v>
      </c>
      <c r="H988" s="5">
        <v>390</v>
      </c>
    </row>
    <row r="989" spans="1:8">
      <c r="A989" s="5">
        <v>2024</v>
      </c>
      <c r="B989" s="6">
        <v>45566</v>
      </c>
      <c r="C989" s="5" t="s">
        <v>40</v>
      </c>
      <c r="D989" s="3" t="str" cm="1">
        <f t="array" ref="D989">_xlfn.IFS(
 ISNUMBER(SEARCH("WHISK",C989)),"Whiskey",
 ISNUMBER(SEARCH("BOURBON",C989)),"Whiskey",
 ISNUMBER(SEARCH("SCOTCH",C989)),"Whiskey",
 ISNUMBER(SEARCH("RYE",C989)),"Whiskey",
 ISNUMBER(SEARCH("VODKA",C989)),"Vodka",
 ISNUMBER(SEARCH("TEQUILA",C989)),"Tequila/Mezcal",
 ISNUMBER(SEARCH("MEZCAL",C989)),"Tequila/Mezcal",
 ISNUMBER(SEARCH("RUM",C989)),"Rum",
 ISNUMBER(SEARCH("BRAND",C989)),"Brandy",
 ISNUMBER(SEARCH("COGNAC",C989)),"Brandy",
 ISNUMBER(SEARCH("LIQUEUR",C989)),"Liqueurs",
 ISNUMBER(SEARCH("CORDIAL",C989)),"Liqueurs",
 ISNUMBER(SEARCH("SCHNAPP",C989)),"Liqueurs",
 ISNUMBER(SEARCH("GIN",C989)),"Gin",
 TRUE,"Other")</f>
        <v>Whiskey</v>
      </c>
      <c r="E989" s="5">
        <v>7252</v>
      </c>
      <c r="F989" s="5">
        <v>452709.30999999685</v>
      </c>
      <c r="G989" s="5">
        <v>5656.2999999999938</v>
      </c>
      <c r="H989" s="5">
        <v>1500</v>
      </c>
    </row>
    <row r="990" spans="1:8">
      <c r="A990" s="5">
        <v>2024</v>
      </c>
      <c r="B990" s="6">
        <v>45566</v>
      </c>
      <c r="C990" s="5" t="s">
        <v>14</v>
      </c>
      <c r="D990" s="3" t="str" cm="1">
        <f t="array" ref="D990">_xlfn.IFS(
 ISNUMBER(SEARCH("WHISK",C990)),"Whiskey",
 ISNUMBER(SEARCH("BOURBON",C990)),"Whiskey",
 ISNUMBER(SEARCH("SCOTCH",C990)),"Whiskey",
 ISNUMBER(SEARCH("RYE",C990)),"Whiskey",
 ISNUMBER(SEARCH("VODKA",C990)),"Vodka",
 ISNUMBER(SEARCH("TEQUILA",C990)),"Tequila/Mezcal",
 ISNUMBER(SEARCH("MEZCAL",C990)),"Tequila/Mezcal",
 ISNUMBER(SEARCH("RUM",C990)),"Rum",
 ISNUMBER(SEARCH("BRAND",C990)),"Brandy",
 ISNUMBER(SEARCH("COGNAC",C990)),"Brandy",
 ISNUMBER(SEARCH("LIQUEUR",C990)),"Liqueurs",
 ISNUMBER(SEARCH("CORDIAL",C990)),"Liqueurs",
 ISNUMBER(SEARCH("SCHNAPP",C990)),"Liqueurs",
 ISNUMBER(SEARCH("GIN",C990)),"Gin",
 TRUE,"Other")</f>
        <v>Gin</v>
      </c>
      <c r="E990" s="5">
        <v>264</v>
      </c>
      <c r="F990" s="5">
        <v>2254.559999999999</v>
      </c>
      <c r="G990" s="5">
        <v>264</v>
      </c>
      <c r="H990" s="5">
        <v>43</v>
      </c>
    </row>
    <row r="991" spans="1:8">
      <c r="A991" s="5">
        <v>2024</v>
      </c>
      <c r="B991" s="6">
        <v>45566</v>
      </c>
      <c r="C991" s="5" t="s">
        <v>34</v>
      </c>
      <c r="D991" s="3" t="str" cm="1">
        <f t="array" ref="D991">_xlfn.IFS(
 ISNUMBER(SEARCH("WHISK",C991)),"Whiskey",
 ISNUMBER(SEARCH("BOURBON",C991)),"Whiskey",
 ISNUMBER(SEARCH("SCOTCH",C991)),"Whiskey",
 ISNUMBER(SEARCH("RYE",C991)),"Whiskey",
 ISNUMBER(SEARCH("VODKA",C991)),"Vodka",
 ISNUMBER(SEARCH("TEQUILA",C991)),"Tequila/Mezcal",
 ISNUMBER(SEARCH("MEZCAL",C991)),"Tequila/Mezcal",
 ISNUMBER(SEARCH("RUM",C991)),"Rum",
 ISNUMBER(SEARCH("BRAND",C991)),"Brandy",
 ISNUMBER(SEARCH("COGNAC",C991)),"Brandy",
 ISNUMBER(SEARCH("LIQUEUR",C991)),"Liqueurs",
 ISNUMBER(SEARCH("CORDIAL",C991)),"Liqueurs",
 ISNUMBER(SEARCH("SCHNAPP",C991)),"Liqueurs",
 ISNUMBER(SEARCH("GIN",C991)),"Gin",
 TRUE,"Other")</f>
        <v>Tequila/Mezcal</v>
      </c>
      <c r="E991" s="5">
        <v>1223</v>
      </c>
      <c r="F991" s="5">
        <v>36140.799999999996</v>
      </c>
      <c r="G991" s="5">
        <v>920.75</v>
      </c>
      <c r="H991" s="5">
        <v>258</v>
      </c>
    </row>
    <row r="992" spans="1:8">
      <c r="A992" s="5">
        <v>2024</v>
      </c>
      <c r="B992" s="6">
        <v>45566</v>
      </c>
      <c r="C992" s="5" t="s">
        <v>21</v>
      </c>
      <c r="D992" s="3" t="str" cm="1">
        <f t="array" ref="D992">_xlfn.IFS(
 ISNUMBER(SEARCH("WHISK",C992)),"Whiskey",
 ISNUMBER(SEARCH("BOURBON",C992)),"Whiskey",
 ISNUMBER(SEARCH("SCOTCH",C992)),"Whiskey",
 ISNUMBER(SEARCH("RYE",C992)),"Whiskey",
 ISNUMBER(SEARCH("VODKA",C992)),"Vodka",
 ISNUMBER(SEARCH("TEQUILA",C992)),"Tequila/Mezcal",
 ISNUMBER(SEARCH("MEZCAL",C992)),"Tequila/Mezcal",
 ISNUMBER(SEARCH("RUM",C992)),"Rum",
 ISNUMBER(SEARCH("BRAND",C992)),"Brandy",
 ISNUMBER(SEARCH("COGNAC",C992)),"Brandy",
 ISNUMBER(SEARCH("LIQUEUR",C992)),"Liqueurs",
 ISNUMBER(SEARCH("CORDIAL",C992)),"Liqueurs",
 ISNUMBER(SEARCH("SCHNAPP",C992)),"Liqueurs",
 ISNUMBER(SEARCH("GIN",C992)),"Gin",
 TRUE,"Other")</f>
        <v>Whiskey</v>
      </c>
      <c r="E992" s="5">
        <v>387</v>
      </c>
      <c r="F992" s="5">
        <v>10826.340000000002</v>
      </c>
      <c r="G992" s="5">
        <v>281.24</v>
      </c>
      <c r="H992" s="5">
        <v>77</v>
      </c>
    </row>
    <row r="993" spans="1:8">
      <c r="A993" s="5">
        <v>2024</v>
      </c>
      <c r="B993" s="6">
        <v>45597</v>
      </c>
      <c r="C993" s="5" t="s">
        <v>15</v>
      </c>
      <c r="D993" s="3" t="str" cm="1">
        <f t="array" ref="D993">_xlfn.IFS(
 ISNUMBER(SEARCH("WHISK",C993)),"Whiskey",
 ISNUMBER(SEARCH("BOURBON",C993)),"Whiskey",
 ISNUMBER(SEARCH("SCOTCH",C993)),"Whiskey",
 ISNUMBER(SEARCH("RYE",C993)),"Whiskey",
 ISNUMBER(SEARCH("VODKA",C993)),"Vodka",
 ISNUMBER(SEARCH("TEQUILA",C993)),"Tequila/Mezcal",
 ISNUMBER(SEARCH("MEZCAL",C993)),"Tequila/Mezcal",
 ISNUMBER(SEARCH("RUM",C993)),"Rum",
 ISNUMBER(SEARCH("BRAND",C993)),"Brandy",
 ISNUMBER(SEARCH("COGNAC",C993)),"Brandy",
 ISNUMBER(SEARCH("LIQUEUR",C993)),"Liqueurs",
 ISNUMBER(SEARCH("CORDIAL",C993)),"Liqueurs",
 ISNUMBER(SEARCH("SCHNAPP",C993)),"Liqueurs",
 ISNUMBER(SEARCH("GIN",C993)),"Gin",
 TRUE,"Other")</f>
        <v>Vodka</v>
      </c>
      <c r="E993" s="5">
        <v>555396</v>
      </c>
      <c r="F993" s="5">
        <v>6300383.300000025</v>
      </c>
      <c r="G993" s="5">
        <v>526387.27999997488</v>
      </c>
      <c r="H993" s="5">
        <v>32747</v>
      </c>
    </row>
    <row r="994" spans="1:8">
      <c r="A994" s="5">
        <v>2024</v>
      </c>
      <c r="B994" s="6">
        <v>45597</v>
      </c>
      <c r="C994" s="5" t="s">
        <v>18</v>
      </c>
      <c r="D994" s="3" t="str" cm="1">
        <f t="array" ref="D994">_xlfn.IFS(
 ISNUMBER(SEARCH("WHISK",C994)),"Whiskey",
 ISNUMBER(SEARCH("BOURBON",C994)),"Whiskey",
 ISNUMBER(SEARCH("SCOTCH",C994)),"Whiskey",
 ISNUMBER(SEARCH("RYE",C994)),"Whiskey",
 ISNUMBER(SEARCH("VODKA",C994)),"Vodka",
 ISNUMBER(SEARCH("TEQUILA",C994)),"Tequila/Mezcal",
 ISNUMBER(SEARCH("MEZCAL",C994)),"Tequila/Mezcal",
 ISNUMBER(SEARCH("RUM",C994)),"Rum",
 ISNUMBER(SEARCH("BRAND",C994)),"Brandy",
 ISNUMBER(SEARCH("COGNAC",C994)),"Brandy",
 ISNUMBER(SEARCH("LIQUEUR",C994)),"Liqueurs",
 ISNUMBER(SEARCH("CORDIAL",C994)),"Liqueurs",
 ISNUMBER(SEARCH("SCHNAPP",C994)),"Liqueurs",
 ISNUMBER(SEARCH("GIN",C994)),"Gin",
 TRUE,"Other")</f>
        <v>Whiskey</v>
      </c>
      <c r="E994" s="5">
        <v>207804</v>
      </c>
      <c r="F994" s="5">
        <v>3242175.5599998301</v>
      </c>
      <c r="G994" s="5">
        <v>186384.16999999827</v>
      </c>
      <c r="H994" s="5">
        <v>18848</v>
      </c>
    </row>
    <row r="995" spans="1:8">
      <c r="A995" s="5">
        <v>2024</v>
      </c>
      <c r="B995" s="6">
        <v>45597</v>
      </c>
      <c r="C995" s="5" t="s">
        <v>42</v>
      </c>
      <c r="D995" s="3" t="str" cm="1">
        <f t="array" ref="D995">_xlfn.IFS(
 ISNUMBER(SEARCH("WHISK",C995)),"Whiskey",
 ISNUMBER(SEARCH("BOURBON",C995)),"Whiskey",
 ISNUMBER(SEARCH("SCOTCH",C995)),"Whiskey",
 ISNUMBER(SEARCH("RYE",C995)),"Whiskey",
 ISNUMBER(SEARCH("VODKA",C995)),"Vodka",
 ISNUMBER(SEARCH("TEQUILA",C995)),"Tequila/Mezcal",
 ISNUMBER(SEARCH("MEZCAL",C995)),"Tequila/Mezcal",
 ISNUMBER(SEARCH("RUM",C995)),"Rum",
 ISNUMBER(SEARCH("BRAND",C995)),"Brandy",
 ISNUMBER(SEARCH("COGNAC",C995)),"Brandy",
 ISNUMBER(SEARCH("LIQUEUR",C995)),"Liqueurs",
 ISNUMBER(SEARCH("CORDIAL",C995)),"Liqueurs",
 ISNUMBER(SEARCH("SCHNAPP",C995)),"Liqueurs",
 ISNUMBER(SEARCH("GIN",C995)),"Gin",
 TRUE,"Other")</f>
        <v>Rum</v>
      </c>
      <c r="E995" s="5">
        <v>172738</v>
      </c>
      <c r="F995" s="5">
        <v>3502759.0099998713</v>
      </c>
      <c r="G995" s="5">
        <v>219379.78000000081</v>
      </c>
      <c r="H995" s="5">
        <v>7994</v>
      </c>
    </row>
    <row r="996" spans="1:8">
      <c r="A996" s="5">
        <v>2024</v>
      </c>
      <c r="B996" s="6">
        <v>45597</v>
      </c>
      <c r="C996" s="5" t="s">
        <v>43</v>
      </c>
      <c r="D996" s="3" t="str" cm="1">
        <f t="array" ref="D996">_xlfn.IFS(
 ISNUMBER(SEARCH("WHISK",C996)),"Whiskey",
 ISNUMBER(SEARCH("BOURBON",C996)),"Whiskey",
 ISNUMBER(SEARCH("SCOTCH",C996)),"Whiskey",
 ISNUMBER(SEARCH("RYE",C996)),"Whiskey",
 ISNUMBER(SEARCH("VODKA",C996)),"Vodka",
 ISNUMBER(SEARCH("TEQUILA",C996)),"Tequila/Mezcal",
 ISNUMBER(SEARCH("MEZCAL",C996)),"Tequila/Mezcal",
 ISNUMBER(SEARCH("RUM",C996)),"Rum",
 ISNUMBER(SEARCH("BRAND",C996)),"Brandy",
 ISNUMBER(SEARCH("COGNAC",C996)),"Brandy",
 ISNUMBER(SEARCH("LIQUEUR",C996)),"Liqueurs",
 ISNUMBER(SEARCH("CORDIAL",C996)),"Liqueurs",
 ISNUMBER(SEARCH("SCHNAPP",C996)),"Liqueurs",
 ISNUMBER(SEARCH("GIN",C996)),"Gin",
 TRUE,"Other")</f>
        <v>Whiskey</v>
      </c>
      <c r="E996" s="5">
        <v>153592</v>
      </c>
      <c r="F996" s="5">
        <v>3548820.7500000075</v>
      </c>
      <c r="G996" s="5">
        <v>122066.080000002</v>
      </c>
      <c r="H996" s="5">
        <v>17883</v>
      </c>
    </row>
    <row r="997" spans="1:8">
      <c r="A997" s="5">
        <v>2024</v>
      </c>
      <c r="B997" s="6">
        <v>45597</v>
      </c>
      <c r="C997" s="5" t="s">
        <v>48</v>
      </c>
      <c r="D997" s="3" t="str" cm="1">
        <f t="array" ref="D997">_xlfn.IFS(
 ISNUMBER(SEARCH("WHISK",C997)),"Whiskey",
 ISNUMBER(SEARCH("BOURBON",C997)),"Whiskey",
 ISNUMBER(SEARCH("SCOTCH",C997)),"Whiskey",
 ISNUMBER(SEARCH("RYE",C997)),"Whiskey",
 ISNUMBER(SEARCH("VODKA",C997)),"Vodka",
 ISNUMBER(SEARCH("TEQUILA",C997)),"Tequila/Mezcal",
 ISNUMBER(SEARCH("MEZCAL",C997)),"Tequila/Mezcal",
 ISNUMBER(SEARCH("RUM",C997)),"Rum",
 ISNUMBER(SEARCH("BRAND",C997)),"Brandy",
 ISNUMBER(SEARCH("COGNAC",C997)),"Brandy",
 ISNUMBER(SEARCH("LIQUEUR",C997)),"Liqueurs",
 ISNUMBER(SEARCH("CORDIAL",C997)),"Liqueurs",
 ISNUMBER(SEARCH("SCHNAPP",C997)),"Liqueurs",
 ISNUMBER(SEARCH("GIN",C997)),"Gin",
 TRUE,"Other")</f>
        <v>Whiskey</v>
      </c>
      <c r="E997" s="5">
        <v>370838</v>
      </c>
      <c r="F997" s="5">
        <v>2157851.6799999736</v>
      </c>
      <c r="G997" s="5">
        <v>83555.820000004009</v>
      </c>
      <c r="H997" s="5">
        <v>14009</v>
      </c>
    </row>
    <row r="998" spans="1:8">
      <c r="A998" s="5">
        <v>2024</v>
      </c>
      <c r="B998" s="6">
        <v>45597</v>
      </c>
      <c r="C998" s="5" t="s">
        <v>7</v>
      </c>
      <c r="D998" s="3" t="str" cm="1">
        <f t="array" ref="D998">_xlfn.IFS(
 ISNUMBER(SEARCH("WHISK",C998)),"Whiskey",
 ISNUMBER(SEARCH("BOURBON",C998)),"Whiskey",
 ISNUMBER(SEARCH("SCOTCH",C998)),"Whiskey",
 ISNUMBER(SEARCH("RYE",C998)),"Whiskey",
 ISNUMBER(SEARCH("VODKA",C998)),"Vodka",
 ISNUMBER(SEARCH("TEQUILA",C998)),"Tequila/Mezcal",
 ISNUMBER(SEARCH("MEZCAL",C998)),"Tequila/Mezcal",
 ISNUMBER(SEARCH("RUM",C998)),"Rum",
 ISNUMBER(SEARCH("BRAND",C998)),"Brandy",
 ISNUMBER(SEARCH("COGNAC",C998)),"Brandy",
 ISNUMBER(SEARCH("LIQUEUR",C998)),"Liqueurs",
 ISNUMBER(SEARCH("CORDIAL",C998)),"Liqueurs",
 ISNUMBER(SEARCH("SCHNAPP",C998)),"Liqueurs",
 ISNUMBER(SEARCH("GIN",C998)),"Gin",
 TRUE,"Other")</f>
        <v>Rum</v>
      </c>
      <c r="E998" s="5">
        <v>3755</v>
      </c>
      <c r="F998" s="5">
        <v>89423.950000000084</v>
      </c>
      <c r="G998" s="5">
        <v>2954</v>
      </c>
      <c r="H998" s="5">
        <v>605</v>
      </c>
    </row>
    <row r="999" spans="1:8">
      <c r="A999" s="5">
        <v>2024</v>
      </c>
      <c r="B999" s="6">
        <v>45597</v>
      </c>
      <c r="C999" s="5" t="s">
        <v>8</v>
      </c>
      <c r="D999" s="3" t="str" cm="1">
        <f t="array" ref="D999">_xlfn.IFS(
 ISNUMBER(SEARCH("WHISK",C999)),"Whiskey",
 ISNUMBER(SEARCH("BOURBON",C999)),"Whiskey",
 ISNUMBER(SEARCH("SCOTCH",C999)),"Whiskey",
 ISNUMBER(SEARCH("RYE",C999)),"Whiskey",
 ISNUMBER(SEARCH("VODKA",C999)),"Vodka",
 ISNUMBER(SEARCH("TEQUILA",C999)),"Tequila/Mezcal",
 ISNUMBER(SEARCH("MEZCAL",C999)),"Tequila/Mezcal",
 ISNUMBER(SEARCH("RUM",C999)),"Rum",
 ISNUMBER(SEARCH("BRAND",C999)),"Brandy",
 ISNUMBER(SEARCH("COGNAC",C999)),"Brandy",
 ISNUMBER(SEARCH("LIQUEUR",C999)),"Liqueurs",
 ISNUMBER(SEARCH("CORDIAL",C999)),"Liqueurs",
 ISNUMBER(SEARCH("SCHNAPP",C999)),"Liqueurs",
 ISNUMBER(SEARCH("GIN",C999)),"Gin",
 TRUE,"Other")</f>
        <v>Brandy</v>
      </c>
      <c r="E999" s="5">
        <v>59191</v>
      </c>
      <c r="F999" s="5">
        <v>391405.72000000149</v>
      </c>
      <c r="G999" s="5">
        <v>31479.059999999659</v>
      </c>
      <c r="H999" s="5">
        <v>4720</v>
      </c>
    </row>
    <row r="1000" spans="1:8">
      <c r="A1000" s="5">
        <v>2024</v>
      </c>
      <c r="B1000" s="6">
        <v>45597</v>
      </c>
      <c r="C1000" s="5" t="s">
        <v>12</v>
      </c>
      <c r="D1000" s="3" t="str" cm="1">
        <f t="array" ref="D1000">_xlfn.IFS(
 ISNUMBER(SEARCH("WHISK",C1000)),"Whiskey",
 ISNUMBER(SEARCH("BOURBON",C1000)),"Whiskey",
 ISNUMBER(SEARCH("SCOTCH",C1000)),"Whiskey",
 ISNUMBER(SEARCH("RYE",C1000)),"Whiskey",
 ISNUMBER(SEARCH("VODKA",C1000)),"Vodka",
 ISNUMBER(SEARCH("TEQUILA",C1000)),"Tequila/Mezcal",
 ISNUMBER(SEARCH("MEZCAL",C1000)),"Tequila/Mezcal",
 ISNUMBER(SEARCH("RUM",C1000)),"Rum",
 ISNUMBER(SEARCH("BRAND",C1000)),"Brandy",
 ISNUMBER(SEARCH("COGNAC",C1000)),"Brandy",
 ISNUMBER(SEARCH("LIQUEUR",C1000)),"Liqueurs",
 ISNUMBER(SEARCH("CORDIAL",C1000)),"Liqueurs",
 ISNUMBER(SEARCH("SCHNAPP",C1000)),"Liqueurs",
 ISNUMBER(SEARCH("GIN",C1000)),"Gin",
 TRUE,"Other")</f>
        <v>Vodka</v>
      </c>
      <c r="E1000" s="5">
        <v>73233</v>
      </c>
      <c r="F1000" s="5">
        <v>833839.80000003462</v>
      </c>
      <c r="G1000" s="5">
        <v>51217.89999999998</v>
      </c>
      <c r="H1000" s="5">
        <v>8864</v>
      </c>
    </row>
    <row r="1001" spans="1:8">
      <c r="A1001" s="5">
        <v>2024</v>
      </c>
      <c r="B1001" s="6">
        <v>45597</v>
      </c>
      <c r="C1001" s="5" t="s">
        <v>13</v>
      </c>
      <c r="D1001" s="3" t="str" cm="1">
        <f t="array" ref="D1001">_xlfn.IFS(
 ISNUMBER(SEARCH("WHISK",C1001)),"Whiskey",
 ISNUMBER(SEARCH("BOURBON",C1001)),"Whiskey",
 ISNUMBER(SEARCH("SCOTCH",C1001)),"Whiskey",
 ISNUMBER(SEARCH("RYE",C1001)),"Whiskey",
 ISNUMBER(SEARCH("VODKA",C1001)),"Vodka",
 ISNUMBER(SEARCH("TEQUILA",C1001)),"Tequila/Mezcal",
 ISNUMBER(SEARCH("MEZCAL",C1001)),"Tequila/Mezcal",
 ISNUMBER(SEARCH("RUM",C1001)),"Rum",
 ISNUMBER(SEARCH("BRAND",C1001)),"Brandy",
 ISNUMBER(SEARCH("COGNAC",C1001)),"Brandy",
 ISNUMBER(SEARCH("LIQUEUR",C1001)),"Liqueurs",
 ISNUMBER(SEARCH("CORDIAL",C1001)),"Liqueurs",
 ISNUMBER(SEARCH("SCHNAPP",C1001)),"Liqueurs",
 ISNUMBER(SEARCH("GIN",C1001)),"Gin",
 TRUE,"Other")</f>
        <v>Liqueurs</v>
      </c>
      <c r="E1001" s="5">
        <v>85942</v>
      </c>
      <c r="F1001" s="5">
        <v>635650.14999997185</v>
      </c>
      <c r="G1001" s="5">
        <v>35311.039999999135</v>
      </c>
      <c r="H1001" s="5">
        <v>7379</v>
      </c>
    </row>
    <row r="1002" spans="1:8">
      <c r="A1002" s="5">
        <v>2024</v>
      </c>
      <c r="B1002" s="6">
        <v>45597</v>
      </c>
      <c r="C1002" s="5" t="s">
        <v>16</v>
      </c>
      <c r="D1002" s="3" t="str" cm="1">
        <f t="array" ref="D1002">_xlfn.IFS(
 ISNUMBER(SEARCH("WHISK",C1002)),"Whiskey",
 ISNUMBER(SEARCH("BOURBON",C1002)),"Whiskey",
 ISNUMBER(SEARCH("SCOTCH",C1002)),"Whiskey",
 ISNUMBER(SEARCH("RYE",C1002)),"Whiskey",
 ISNUMBER(SEARCH("VODKA",C1002)),"Vodka",
 ISNUMBER(SEARCH("TEQUILA",C1002)),"Tequila/Mezcal",
 ISNUMBER(SEARCH("MEZCAL",C1002)),"Tequila/Mezcal",
 ISNUMBER(SEARCH("RUM",C1002)),"Rum",
 ISNUMBER(SEARCH("BRAND",C1002)),"Brandy",
 ISNUMBER(SEARCH("COGNAC",C1002)),"Brandy",
 ISNUMBER(SEARCH("LIQUEUR",C1002)),"Liqueurs",
 ISNUMBER(SEARCH("CORDIAL",C1002)),"Liqueurs",
 ISNUMBER(SEARCH("SCHNAPP",C1002)),"Liqueurs",
 ISNUMBER(SEARCH("GIN",C1002)),"Gin",
 TRUE,"Other")</f>
        <v>Whiskey</v>
      </c>
      <c r="E1002" s="5">
        <v>71873</v>
      </c>
      <c r="F1002" s="5">
        <v>989019.24999998312</v>
      </c>
      <c r="G1002" s="5">
        <v>59839.100000000173</v>
      </c>
      <c r="H1002" s="5">
        <v>7611</v>
      </c>
    </row>
    <row r="1003" spans="1:8">
      <c r="A1003" s="5">
        <v>2024</v>
      </c>
      <c r="B1003" s="6">
        <v>45597</v>
      </c>
      <c r="C1003" s="5" t="s">
        <v>19</v>
      </c>
      <c r="D1003" s="3" t="str" cm="1">
        <f t="array" ref="D1003">_xlfn.IFS(
 ISNUMBER(SEARCH("WHISK",C1003)),"Whiskey",
 ISNUMBER(SEARCH("BOURBON",C1003)),"Whiskey",
 ISNUMBER(SEARCH("SCOTCH",C1003)),"Whiskey",
 ISNUMBER(SEARCH("RYE",C1003)),"Whiskey",
 ISNUMBER(SEARCH("VODKA",C1003)),"Vodka",
 ISNUMBER(SEARCH("TEQUILA",C1003)),"Tequila/Mezcal",
 ISNUMBER(SEARCH("MEZCAL",C1003)),"Tequila/Mezcal",
 ISNUMBER(SEARCH("RUM",C1003)),"Rum",
 ISNUMBER(SEARCH("BRAND",C1003)),"Brandy",
 ISNUMBER(SEARCH("COGNAC",C1003)),"Brandy",
 ISNUMBER(SEARCH("LIQUEUR",C1003)),"Liqueurs",
 ISNUMBER(SEARCH("CORDIAL",C1003)),"Liqueurs",
 ISNUMBER(SEARCH("SCHNAPP",C1003)),"Liqueurs",
 ISNUMBER(SEARCH("GIN",C1003)),"Gin",
 TRUE,"Other")</f>
        <v>Other</v>
      </c>
      <c r="E1003" s="5">
        <v>53631</v>
      </c>
      <c r="F1003" s="5">
        <v>645283.27999999037</v>
      </c>
      <c r="G1003" s="5">
        <v>60690.850000000319</v>
      </c>
      <c r="H1003" s="5">
        <v>6191</v>
      </c>
    </row>
    <row r="1004" spans="1:8">
      <c r="A1004" s="5">
        <v>2024</v>
      </c>
      <c r="B1004" s="6">
        <v>45597</v>
      </c>
      <c r="C1004" s="5" t="s">
        <v>22</v>
      </c>
      <c r="D1004" s="3" t="str" cm="1">
        <f t="array" ref="D1004">_xlfn.IFS(
 ISNUMBER(SEARCH("WHISK",C1004)),"Whiskey",
 ISNUMBER(SEARCH("BOURBON",C1004)),"Whiskey",
 ISNUMBER(SEARCH("SCOTCH",C1004)),"Whiskey",
 ISNUMBER(SEARCH("RYE",C1004)),"Whiskey",
 ISNUMBER(SEARCH("VODKA",C1004)),"Vodka",
 ISNUMBER(SEARCH("TEQUILA",C1004)),"Tequila/Mezcal",
 ISNUMBER(SEARCH("MEZCAL",C1004)),"Tequila/Mezcal",
 ISNUMBER(SEARCH("RUM",C1004)),"Rum",
 ISNUMBER(SEARCH("BRAND",C1004)),"Brandy",
 ISNUMBER(SEARCH("COGNAC",C1004)),"Brandy",
 ISNUMBER(SEARCH("LIQUEUR",C1004)),"Liqueurs",
 ISNUMBER(SEARCH("CORDIAL",C1004)),"Liqueurs",
 ISNUMBER(SEARCH("SCHNAPP",C1004)),"Liqueurs",
 ISNUMBER(SEARCH("GIN",C1004)),"Gin",
 TRUE,"Other")</f>
        <v>Liqueurs</v>
      </c>
      <c r="E1004" s="5">
        <v>41431</v>
      </c>
      <c r="F1004" s="5">
        <v>828422.10999999091</v>
      </c>
      <c r="G1004" s="5">
        <v>38306.319999999876</v>
      </c>
      <c r="H1004" s="5">
        <v>4047</v>
      </c>
    </row>
    <row r="1005" spans="1:8">
      <c r="A1005" s="5">
        <v>2024</v>
      </c>
      <c r="B1005" s="6">
        <v>45597</v>
      </c>
      <c r="C1005" s="5" t="s">
        <v>32</v>
      </c>
      <c r="D1005" s="3" t="str" cm="1">
        <f t="array" ref="D1005">_xlfn.IFS(
 ISNUMBER(SEARCH("WHISK",C1005)),"Whiskey",
 ISNUMBER(SEARCH("BOURBON",C1005)),"Whiskey",
 ISNUMBER(SEARCH("SCOTCH",C1005)),"Whiskey",
 ISNUMBER(SEARCH("RYE",C1005)),"Whiskey",
 ISNUMBER(SEARCH("VODKA",C1005)),"Vodka",
 ISNUMBER(SEARCH("TEQUILA",C1005)),"Tequila/Mezcal",
 ISNUMBER(SEARCH("MEZCAL",C1005)),"Tequila/Mezcal",
 ISNUMBER(SEARCH("RUM",C1005)),"Rum",
 ISNUMBER(SEARCH("BRAND",C1005)),"Brandy",
 ISNUMBER(SEARCH("COGNAC",C1005)),"Brandy",
 ISNUMBER(SEARCH("LIQUEUR",C1005)),"Liqueurs",
 ISNUMBER(SEARCH("CORDIAL",C1005)),"Liqueurs",
 ISNUMBER(SEARCH("SCHNAPP",C1005)),"Liqueurs",
 ISNUMBER(SEARCH("GIN",C1005)),"Gin",
 TRUE,"Other")</f>
        <v>Vodka</v>
      </c>
      <c r="E1005" s="5">
        <v>60471</v>
      </c>
      <c r="F1005" s="5">
        <v>996681.16999998293</v>
      </c>
      <c r="G1005" s="5">
        <v>65948.340000000375</v>
      </c>
      <c r="H1005" s="5">
        <v>4602</v>
      </c>
    </row>
    <row r="1006" spans="1:8">
      <c r="A1006" s="5">
        <v>2024</v>
      </c>
      <c r="B1006" s="6">
        <v>45597</v>
      </c>
      <c r="C1006" s="5" t="s">
        <v>33</v>
      </c>
      <c r="D1006" s="3" t="str" cm="1">
        <f t="array" ref="D1006">_xlfn.IFS(
 ISNUMBER(SEARCH("WHISK",C1006)),"Whiskey",
 ISNUMBER(SEARCH("BOURBON",C1006)),"Whiskey",
 ISNUMBER(SEARCH("SCOTCH",C1006)),"Whiskey",
 ISNUMBER(SEARCH("RYE",C1006)),"Whiskey",
 ISNUMBER(SEARCH("VODKA",C1006)),"Vodka",
 ISNUMBER(SEARCH("TEQUILA",C1006)),"Tequila/Mezcal",
 ISNUMBER(SEARCH("MEZCAL",C1006)),"Tequila/Mezcal",
 ISNUMBER(SEARCH("RUM",C1006)),"Rum",
 ISNUMBER(SEARCH("BRAND",C1006)),"Brandy",
 ISNUMBER(SEARCH("COGNAC",C1006)),"Brandy",
 ISNUMBER(SEARCH("LIQUEUR",C1006)),"Liqueurs",
 ISNUMBER(SEARCH("CORDIAL",C1006)),"Liqueurs",
 ISNUMBER(SEARCH("SCHNAPP",C1006)),"Liqueurs",
 ISNUMBER(SEARCH("GIN",C1006)),"Gin",
 TRUE,"Other")</f>
        <v>Whiskey</v>
      </c>
      <c r="E1006" s="5">
        <v>29474</v>
      </c>
      <c r="F1006" s="5">
        <v>807827.0199999878</v>
      </c>
      <c r="G1006" s="5">
        <v>23851.319999999945</v>
      </c>
      <c r="H1006" s="5">
        <v>2887</v>
      </c>
    </row>
    <row r="1007" spans="1:8">
      <c r="A1007" s="5">
        <v>2024</v>
      </c>
      <c r="B1007" s="6">
        <v>45597</v>
      </c>
      <c r="C1007" s="5" t="s">
        <v>35</v>
      </c>
      <c r="D1007" s="3" t="str" cm="1">
        <f t="array" ref="D1007">_xlfn.IFS(
 ISNUMBER(SEARCH("WHISK",C1007)),"Whiskey",
 ISNUMBER(SEARCH("BOURBON",C1007)),"Whiskey",
 ISNUMBER(SEARCH("SCOTCH",C1007)),"Whiskey",
 ISNUMBER(SEARCH("RYE",C1007)),"Whiskey",
 ISNUMBER(SEARCH("VODKA",C1007)),"Vodka",
 ISNUMBER(SEARCH("TEQUILA",C1007)),"Tequila/Mezcal",
 ISNUMBER(SEARCH("MEZCAL",C1007)),"Tequila/Mezcal",
 ISNUMBER(SEARCH("RUM",C1007)),"Rum",
 ISNUMBER(SEARCH("BRAND",C1007)),"Brandy",
 ISNUMBER(SEARCH("COGNAC",C1007)),"Brandy",
 ISNUMBER(SEARCH("LIQUEUR",C1007)),"Liqueurs",
 ISNUMBER(SEARCH("CORDIAL",C1007)),"Liqueurs",
 ISNUMBER(SEARCH("SCHNAPP",C1007)),"Liqueurs",
 ISNUMBER(SEARCH("GIN",C1007)),"Gin",
 TRUE,"Other")</f>
        <v>Tequila/Mezcal</v>
      </c>
      <c r="E1007" s="5">
        <v>57301</v>
      </c>
      <c r="F1007" s="5">
        <v>790858.50999999372</v>
      </c>
      <c r="G1007" s="5">
        <v>40206.889999999868</v>
      </c>
      <c r="H1007" s="5">
        <v>4466</v>
      </c>
    </row>
    <row r="1008" spans="1:8">
      <c r="A1008" s="5">
        <v>2024</v>
      </c>
      <c r="B1008" s="6">
        <v>45597</v>
      </c>
      <c r="C1008" s="5" t="s">
        <v>37</v>
      </c>
      <c r="D1008" s="3" t="str" cm="1">
        <f t="array" ref="D1008">_xlfn.IFS(
 ISNUMBER(SEARCH("WHISK",C1008)),"Whiskey",
 ISNUMBER(SEARCH("BOURBON",C1008)),"Whiskey",
 ISNUMBER(SEARCH("SCOTCH",C1008)),"Whiskey",
 ISNUMBER(SEARCH("RYE",C1008)),"Whiskey",
 ISNUMBER(SEARCH("VODKA",C1008)),"Vodka",
 ISNUMBER(SEARCH("TEQUILA",C1008)),"Tequila/Mezcal",
 ISNUMBER(SEARCH("MEZCAL",C1008)),"Tequila/Mezcal",
 ISNUMBER(SEARCH("RUM",C1008)),"Rum",
 ISNUMBER(SEARCH("BRAND",C1008)),"Brandy",
 ISNUMBER(SEARCH("COGNAC",C1008)),"Brandy",
 ISNUMBER(SEARCH("LIQUEUR",C1008)),"Liqueurs",
 ISNUMBER(SEARCH("CORDIAL",C1008)),"Liqueurs",
 ISNUMBER(SEARCH("SCHNAPP",C1008)),"Liqueurs",
 ISNUMBER(SEARCH("GIN",C1008)),"Gin",
 TRUE,"Other")</f>
        <v>Other</v>
      </c>
      <c r="E1008" s="5">
        <v>15034</v>
      </c>
      <c r="F1008" s="5">
        <v>251863.92000000313</v>
      </c>
      <c r="G1008" s="5">
        <v>8007.2000000000071</v>
      </c>
      <c r="H1008" s="5">
        <v>2884</v>
      </c>
    </row>
    <row r="1009" spans="1:8">
      <c r="A1009" s="5">
        <v>2024</v>
      </c>
      <c r="B1009" s="6">
        <v>45597</v>
      </c>
      <c r="C1009" s="5" t="s">
        <v>45</v>
      </c>
      <c r="D1009" s="3" t="str" cm="1">
        <f t="array" ref="D1009">_xlfn.IFS(
 ISNUMBER(SEARCH("WHISK",C1009)),"Whiskey",
 ISNUMBER(SEARCH("BOURBON",C1009)),"Whiskey",
 ISNUMBER(SEARCH("SCOTCH",C1009)),"Whiskey",
 ISNUMBER(SEARCH("RYE",C1009)),"Whiskey",
 ISNUMBER(SEARCH("VODKA",C1009)),"Vodka",
 ISNUMBER(SEARCH("TEQUILA",C1009)),"Tequila/Mezcal",
 ISNUMBER(SEARCH("MEZCAL",C1009)),"Tequila/Mezcal",
 ISNUMBER(SEARCH("RUM",C1009)),"Rum",
 ISNUMBER(SEARCH("BRAND",C1009)),"Brandy",
 ISNUMBER(SEARCH("COGNAC",C1009)),"Brandy",
 ISNUMBER(SEARCH("LIQUEUR",C1009)),"Liqueurs",
 ISNUMBER(SEARCH("CORDIAL",C1009)),"Liqueurs",
 ISNUMBER(SEARCH("SCHNAPP",C1009)),"Liqueurs",
 ISNUMBER(SEARCH("GIN",C1009)),"Gin",
 TRUE,"Other")</f>
        <v>Other</v>
      </c>
      <c r="E1009" s="5">
        <v>108753</v>
      </c>
      <c r="F1009" s="5">
        <v>3119502.8099997607</v>
      </c>
      <c r="G1009" s="5">
        <v>97479.660000000935</v>
      </c>
      <c r="H1009" s="5">
        <v>12645</v>
      </c>
    </row>
    <row r="1010" spans="1:8">
      <c r="A1010" s="5">
        <v>2024</v>
      </c>
      <c r="B1010" s="6">
        <v>45597</v>
      </c>
      <c r="C1010" s="5" t="s">
        <v>46</v>
      </c>
      <c r="D1010" s="3" t="str" cm="1">
        <f t="array" ref="D1010">_xlfn.IFS(
 ISNUMBER(SEARCH("WHISK",C1010)),"Whiskey",
 ISNUMBER(SEARCH("BOURBON",C1010)),"Whiskey",
 ISNUMBER(SEARCH("SCOTCH",C1010)),"Whiskey",
 ISNUMBER(SEARCH("RYE",C1010)),"Whiskey",
 ISNUMBER(SEARCH("VODKA",C1010)),"Vodka",
 ISNUMBER(SEARCH("TEQUILA",C1010)),"Tequila/Mezcal",
 ISNUMBER(SEARCH("MEZCAL",C1010)),"Tequila/Mezcal",
 ISNUMBER(SEARCH("RUM",C1010)),"Rum",
 ISNUMBER(SEARCH("BRAND",C1010)),"Brandy",
 ISNUMBER(SEARCH("COGNAC",C1010)),"Brandy",
 ISNUMBER(SEARCH("LIQUEUR",C1010)),"Liqueurs",
 ISNUMBER(SEARCH("CORDIAL",C1010)),"Liqueurs",
 ISNUMBER(SEARCH("SCHNAPP",C1010)),"Liqueurs",
 ISNUMBER(SEARCH("GIN",C1010)),"Gin",
 TRUE,"Other")</f>
        <v>Whiskey</v>
      </c>
      <c r="E1010" s="5">
        <v>62189</v>
      </c>
      <c r="F1010" s="5">
        <v>1368415.9399999848</v>
      </c>
      <c r="G1010" s="5">
        <v>44628.339999999735</v>
      </c>
      <c r="H1010" s="5">
        <v>6644</v>
      </c>
    </row>
    <row r="1011" spans="1:8">
      <c r="A1011" s="5">
        <v>2024</v>
      </c>
      <c r="B1011" s="6">
        <v>45597</v>
      </c>
      <c r="C1011" s="5" t="s">
        <v>49</v>
      </c>
      <c r="D1011" s="3" t="str" cm="1">
        <f t="array" ref="D1011">_xlfn.IFS(
 ISNUMBER(SEARCH("WHISK",C1011)),"Whiskey",
 ISNUMBER(SEARCH("BOURBON",C1011)),"Whiskey",
 ISNUMBER(SEARCH("SCOTCH",C1011)),"Whiskey",
 ISNUMBER(SEARCH("RYE",C1011)),"Whiskey",
 ISNUMBER(SEARCH("VODKA",C1011)),"Vodka",
 ISNUMBER(SEARCH("TEQUILA",C1011)),"Tequila/Mezcal",
 ISNUMBER(SEARCH("MEZCAL",C1011)),"Tequila/Mezcal",
 ISNUMBER(SEARCH("RUM",C1011)),"Rum",
 ISNUMBER(SEARCH("BRAND",C1011)),"Brandy",
 ISNUMBER(SEARCH("COGNAC",C1011)),"Brandy",
 ISNUMBER(SEARCH("LIQUEUR",C1011)),"Liqueurs",
 ISNUMBER(SEARCH("CORDIAL",C1011)),"Liqueurs",
 ISNUMBER(SEARCH("SCHNAPP",C1011)),"Liqueurs",
 ISNUMBER(SEARCH("GIN",C1011)),"Gin",
 TRUE,"Other")</f>
        <v>Rum</v>
      </c>
      <c r="E1011" s="5">
        <v>31855</v>
      </c>
      <c r="F1011" s="5">
        <v>395666.59999999701</v>
      </c>
      <c r="G1011" s="5">
        <v>33634.719999999856</v>
      </c>
      <c r="H1011" s="5">
        <v>3077</v>
      </c>
    </row>
    <row r="1012" spans="1:8">
      <c r="A1012" s="5">
        <v>2024</v>
      </c>
      <c r="B1012" s="6">
        <v>45597</v>
      </c>
      <c r="C1012" s="5" t="s">
        <v>59</v>
      </c>
      <c r="D1012" s="3" t="str" cm="1">
        <f t="array" ref="D1012">_xlfn.IFS(
 ISNUMBER(SEARCH("WHISK",C1012)),"Whiskey",
 ISNUMBER(SEARCH("BOURBON",C1012)),"Whiskey",
 ISNUMBER(SEARCH("SCOTCH",C1012)),"Whiskey",
 ISNUMBER(SEARCH("RYE",C1012)),"Whiskey",
 ISNUMBER(SEARCH("VODKA",C1012)),"Vodka",
 ISNUMBER(SEARCH("TEQUILA",C1012)),"Tequila/Mezcal",
 ISNUMBER(SEARCH("MEZCAL",C1012)),"Tequila/Mezcal",
 ISNUMBER(SEARCH("RUM",C1012)),"Rum",
 ISNUMBER(SEARCH("BRAND",C1012)),"Brandy",
 ISNUMBER(SEARCH("COGNAC",C1012)),"Brandy",
 ISNUMBER(SEARCH("LIQUEUR",C1012)),"Liqueurs",
 ISNUMBER(SEARCH("CORDIAL",C1012)),"Liqueurs",
 ISNUMBER(SEARCH("SCHNAPP",C1012)),"Liqueurs",
 ISNUMBER(SEARCH("GIN",C1012)),"Gin",
 TRUE,"Other")</f>
        <v>Liqueurs</v>
      </c>
      <c r="E1012" s="5">
        <v>32205</v>
      </c>
      <c r="F1012" s="5">
        <v>375674.92999999801</v>
      </c>
      <c r="G1012" s="5">
        <v>15049.799999999634</v>
      </c>
      <c r="H1012" s="5">
        <v>4902</v>
      </c>
    </row>
    <row r="1013" spans="1:8">
      <c r="A1013" s="5">
        <v>2024</v>
      </c>
      <c r="B1013" s="6">
        <v>45597</v>
      </c>
      <c r="C1013" s="5" t="s">
        <v>26</v>
      </c>
      <c r="D1013" s="3" t="str" cm="1">
        <f t="array" ref="D1013">_xlfn.IFS(
 ISNUMBER(SEARCH("WHISK",C1013)),"Whiskey",
 ISNUMBER(SEARCH("BOURBON",C1013)),"Whiskey",
 ISNUMBER(SEARCH("SCOTCH",C1013)),"Whiskey",
 ISNUMBER(SEARCH("RYE",C1013)),"Whiskey",
 ISNUMBER(SEARCH("VODKA",C1013)),"Vodka",
 ISNUMBER(SEARCH("TEQUILA",C1013)),"Tequila/Mezcal",
 ISNUMBER(SEARCH("MEZCAL",C1013)),"Tequila/Mezcal",
 ISNUMBER(SEARCH("RUM",C1013)),"Rum",
 ISNUMBER(SEARCH("BRAND",C1013)),"Brandy",
 ISNUMBER(SEARCH("COGNAC",C1013)),"Brandy",
 ISNUMBER(SEARCH("LIQUEUR",C1013)),"Liqueurs",
 ISNUMBER(SEARCH("CORDIAL",C1013)),"Liqueurs",
 ISNUMBER(SEARCH("SCHNAPP",C1013)),"Liqueurs",
 ISNUMBER(SEARCH("GIN",C1013)),"Gin",
 TRUE,"Other")</f>
        <v>Brandy</v>
      </c>
      <c r="E1013" s="5">
        <v>33529</v>
      </c>
      <c r="F1013" s="5">
        <v>764628.63999999862</v>
      </c>
      <c r="G1013" s="5">
        <v>15872.349999999968</v>
      </c>
      <c r="H1013" s="5">
        <v>3186</v>
      </c>
    </row>
    <row r="1014" spans="1:8">
      <c r="A1014" s="5">
        <v>2024</v>
      </c>
      <c r="B1014" s="6">
        <v>45597</v>
      </c>
      <c r="C1014" s="5" t="s">
        <v>60</v>
      </c>
      <c r="D1014" s="3" t="str" cm="1">
        <f t="array" ref="D1014">_xlfn.IFS(
 ISNUMBER(SEARCH("WHISK",C1014)),"Whiskey",
 ISNUMBER(SEARCH("BOURBON",C1014)),"Whiskey",
 ISNUMBER(SEARCH("SCOTCH",C1014)),"Whiskey",
 ISNUMBER(SEARCH("RYE",C1014)),"Whiskey",
 ISNUMBER(SEARCH("VODKA",C1014)),"Vodka",
 ISNUMBER(SEARCH("TEQUILA",C1014)),"Tequila/Mezcal",
 ISNUMBER(SEARCH("MEZCAL",C1014)),"Tequila/Mezcal",
 ISNUMBER(SEARCH("RUM",C1014)),"Rum",
 ISNUMBER(SEARCH("BRAND",C1014)),"Brandy",
 ISNUMBER(SEARCH("COGNAC",C1014)),"Brandy",
 ISNUMBER(SEARCH("LIQUEUR",C1014)),"Liqueurs",
 ISNUMBER(SEARCH("CORDIAL",C1014)),"Liqueurs",
 ISNUMBER(SEARCH("SCHNAPP",C1014)),"Liqueurs",
 ISNUMBER(SEARCH("GIN",C1014)),"Gin",
 TRUE,"Other")</f>
        <v>Liqueurs</v>
      </c>
      <c r="E1014" s="5">
        <v>39178</v>
      </c>
      <c r="F1014" s="5">
        <v>936636.04000000178</v>
      </c>
      <c r="G1014" s="5">
        <v>28875.319999999927</v>
      </c>
      <c r="H1014" s="5">
        <v>4973</v>
      </c>
    </row>
    <row r="1015" spans="1:8">
      <c r="A1015" s="5">
        <v>2024</v>
      </c>
      <c r="B1015" s="6">
        <v>45597</v>
      </c>
      <c r="C1015" s="5" t="s">
        <v>50</v>
      </c>
      <c r="D1015" s="3" t="str" cm="1">
        <f t="array" ref="D1015">_xlfn.IFS(
 ISNUMBER(SEARCH("WHISK",C1015)),"Whiskey",
 ISNUMBER(SEARCH("BOURBON",C1015)),"Whiskey",
 ISNUMBER(SEARCH("SCOTCH",C1015)),"Whiskey",
 ISNUMBER(SEARCH("RYE",C1015)),"Whiskey",
 ISNUMBER(SEARCH("VODKA",C1015)),"Vodka",
 ISNUMBER(SEARCH("TEQUILA",C1015)),"Tequila/Mezcal",
 ISNUMBER(SEARCH("MEZCAL",C1015)),"Tequila/Mezcal",
 ISNUMBER(SEARCH("RUM",C1015)),"Rum",
 ISNUMBER(SEARCH("BRAND",C1015)),"Brandy",
 ISNUMBER(SEARCH("COGNAC",C1015)),"Brandy",
 ISNUMBER(SEARCH("LIQUEUR",C1015)),"Liqueurs",
 ISNUMBER(SEARCH("CORDIAL",C1015)),"Liqueurs",
 ISNUMBER(SEARCH("SCHNAPP",C1015)),"Liqueurs",
 ISNUMBER(SEARCH("GIN",C1015)),"Gin",
 TRUE,"Other")</f>
        <v>Tequila/Mezcal</v>
      </c>
      <c r="E1015" s="5">
        <v>92390</v>
      </c>
      <c r="F1015" s="5">
        <v>2859068.4699999574</v>
      </c>
      <c r="G1015" s="5">
        <v>59632.760000000657</v>
      </c>
      <c r="H1015" s="5">
        <v>11101</v>
      </c>
    </row>
    <row r="1016" spans="1:8">
      <c r="A1016" s="5">
        <v>2024</v>
      </c>
      <c r="B1016" s="6">
        <v>45597</v>
      </c>
      <c r="C1016" s="5" t="s">
        <v>11</v>
      </c>
      <c r="D1016" s="3" t="str" cm="1">
        <f t="array" ref="D1016">_xlfn.IFS(
 ISNUMBER(SEARCH("WHISK",C1016)),"Whiskey",
 ISNUMBER(SEARCH("BOURBON",C1016)),"Whiskey",
 ISNUMBER(SEARCH("SCOTCH",C1016)),"Whiskey",
 ISNUMBER(SEARCH("RYE",C1016)),"Whiskey",
 ISNUMBER(SEARCH("VODKA",C1016)),"Vodka",
 ISNUMBER(SEARCH("TEQUILA",C1016)),"Tequila/Mezcal",
 ISNUMBER(SEARCH("MEZCAL",C1016)),"Tequila/Mezcal",
 ISNUMBER(SEARCH("RUM",C1016)),"Rum",
 ISNUMBER(SEARCH("BRAND",C1016)),"Brandy",
 ISNUMBER(SEARCH("COGNAC",C1016)),"Brandy",
 ISNUMBER(SEARCH("LIQUEUR",C1016)),"Liqueurs",
 ISNUMBER(SEARCH("CORDIAL",C1016)),"Liqueurs",
 ISNUMBER(SEARCH("SCHNAPP",C1016)),"Liqueurs",
 ISNUMBER(SEARCH("GIN",C1016)),"Gin",
 TRUE,"Other")</f>
        <v>Gin</v>
      </c>
      <c r="E1016" s="5">
        <v>24593</v>
      </c>
      <c r="F1016" s="5">
        <v>235642.77000000083</v>
      </c>
      <c r="G1016" s="5">
        <v>20228.28</v>
      </c>
      <c r="H1016" s="5">
        <v>2421</v>
      </c>
    </row>
    <row r="1017" spans="1:8">
      <c r="A1017" s="5">
        <v>2024</v>
      </c>
      <c r="B1017" s="6">
        <v>45597</v>
      </c>
      <c r="C1017" s="5" t="s">
        <v>24</v>
      </c>
      <c r="D1017" s="3" t="str" cm="1">
        <f t="array" ref="D1017">_xlfn.IFS(
 ISNUMBER(SEARCH("WHISK",C1017)),"Whiskey",
 ISNUMBER(SEARCH("BOURBON",C1017)),"Whiskey",
 ISNUMBER(SEARCH("SCOTCH",C1017)),"Whiskey",
 ISNUMBER(SEARCH("RYE",C1017)),"Whiskey",
 ISNUMBER(SEARCH("VODKA",C1017)),"Vodka",
 ISNUMBER(SEARCH("TEQUILA",C1017)),"Tequila/Mezcal",
 ISNUMBER(SEARCH("MEZCAL",C1017)),"Tequila/Mezcal",
 ISNUMBER(SEARCH("RUM",C1017)),"Rum",
 ISNUMBER(SEARCH("BRAND",C1017)),"Brandy",
 ISNUMBER(SEARCH("COGNAC",C1017)),"Brandy",
 ISNUMBER(SEARCH("LIQUEUR",C1017)),"Liqueurs",
 ISNUMBER(SEARCH("CORDIAL",C1017)),"Liqueurs",
 ISNUMBER(SEARCH("SCHNAPP",C1017)),"Liqueurs",
 ISNUMBER(SEARCH("GIN",C1017)),"Gin",
 TRUE,"Other")</f>
        <v>Rum</v>
      </c>
      <c r="E1017" s="5">
        <v>29619</v>
      </c>
      <c r="F1017" s="5">
        <v>440009.140000001</v>
      </c>
      <c r="G1017" s="5">
        <v>27224.929999999975</v>
      </c>
      <c r="H1017" s="5">
        <v>3132</v>
      </c>
    </row>
    <row r="1018" spans="1:8">
      <c r="A1018" s="5">
        <v>2024</v>
      </c>
      <c r="B1018" s="6">
        <v>45597</v>
      </c>
      <c r="C1018" s="5" t="s">
        <v>36</v>
      </c>
      <c r="D1018" s="3" t="str" cm="1">
        <f t="array" ref="D1018">_xlfn.IFS(
 ISNUMBER(SEARCH("WHISK",C1018)),"Whiskey",
 ISNUMBER(SEARCH("BOURBON",C1018)),"Whiskey",
 ISNUMBER(SEARCH("SCOTCH",C1018)),"Whiskey",
 ISNUMBER(SEARCH("RYE",C1018)),"Whiskey",
 ISNUMBER(SEARCH("VODKA",C1018)),"Vodka",
 ISNUMBER(SEARCH("TEQUILA",C1018)),"Tequila/Mezcal",
 ISNUMBER(SEARCH("MEZCAL",C1018)),"Tequila/Mezcal",
 ISNUMBER(SEARCH("RUM",C1018)),"Rum",
 ISNUMBER(SEARCH("BRAND",C1018)),"Brandy",
 ISNUMBER(SEARCH("COGNAC",C1018)),"Brandy",
 ISNUMBER(SEARCH("LIQUEUR",C1018)),"Liqueurs",
 ISNUMBER(SEARCH("CORDIAL",C1018)),"Liqueurs",
 ISNUMBER(SEARCH("SCHNAPP",C1018)),"Liqueurs",
 ISNUMBER(SEARCH("GIN",C1018)),"Gin",
 TRUE,"Other")</f>
        <v>Other</v>
      </c>
      <c r="E1018" s="5">
        <v>3595</v>
      </c>
      <c r="F1018" s="5">
        <v>51137.430000000029</v>
      </c>
      <c r="G1018" s="5">
        <v>2848.0500000000006</v>
      </c>
      <c r="H1018" s="5">
        <v>432</v>
      </c>
    </row>
    <row r="1019" spans="1:8">
      <c r="A1019" s="5">
        <v>2024</v>
      </c>
      <c r="B1019" s="6">
        <v>45597</v>
      </c>
      <c r="C1019" s="5" t="s">
        <v>39</v>
      </c>
      <c r="D1019" s="3" t="str" cm="1">
        <f t="array" ref="D1019">_xlfn.IFS(
 ISNUMBER(SEARCH("WHISK",C1019)),"Whiskey",
 ISNUMBER(SEARCH("BOURBON",C1019)),"Whiskey",
 ISNUMBER(SEARCH("SCOTCH",C1019)),"Whiskey",
 ISNUMBER(SEARCH("RYE",C1019)),"Whiskey",
 ISNUMBER(SEARCH("VODKA",C1019)),"Vodka",
 ISNUMBER(SEARCH("TEQUILA",C1019)),"Tequila/Mezcal",
 ISNUMBER(SEARCH("MEZCAL",C1019)),"Tequila/Mezcal",
 ISNUMBER(SEARCH("RUM",C1019)),"Rum",
 ISNUMBER(SEARCH("BRAND",C1019)),"Brandy",
 ISNUMBER(SEARCH("COGNAC",C1019)),"Brandy",
 ISNUMBER(SEARCH("LIQUEUR",C1019)),"Liqueurs",
 ISNUMBER(SEARCH("CORDIAL",C1019)),"Liqueurs",
 ISNUMBER(SEARCH("SCHNAPP",C1019)),"Liqueurs",
 ISNUMBER(SEARCH("GIN",C1019)),"Gin",
 TRUE,"Other")</f>
        <v>Whiskey</v>
      </c>
      <c r="E1019" s="5">
        <v>4668</v>
      </c>
      <c r="F1019" s="5">
        <v>211252.54999999993</v>
      </c>
      <c r="G1019" s="5">
        <v>3501</v>
      </c>
      <c r="H1019" s="5">
        <v>991</v>
      </c>
    </row>
    <row r="1020" spans="1:8">
      <c r="A1020" s="5">
        <v>2024</v>
      </c>
      <c r="B1020" s="6">
        <v>45597</v>
      </c>
      <c r="C1020" s="5" t="s">
        <v>44</v>
      </c>
      <c r="D1020" s="3" t="str" cm="1">
        <f t="array" ref="D1020">_xlfn.IFS(
 ISNUMBER(SEARCH("WHISK",C1020)),"Whiskey",
 ISNUMBER(SEARCH("BOURBON",C1020)),"Whiskey",
 ISNUMBER(SEARCH("SCOTCH",C1020)),"Whiskey",
 ISNUMBER(SEARCH("RYE",C1020)),"Whiskey",
 ISNUMBER(SEARCH("VODKA",C1020)),"Vodka",
 ISNUMBER(SEARCH("TEQUILA",C1020)),"Tequila/Mezcal",
 ISNUMBER(SEARCH("MEZCAL",C1020)),"Tequila/Mezcal",
 ISNUMBER(SEARCH("RUM",C1020)),"Rum",
 ISNUMBER(SEARCH("BRAND",C1020)),"Brandy",
 ISNUMBER(SEARCH("COGNAC",C1020)),"Brandy",
 ISNUMBER(SEARCH("LIQUEUR",C1020)),"Liqueurs",
 ISNUMBER(SEARCH("CORDIAL",C1020)),"Liqueurs",
 ISNUMBER(SEARCH("SCHNAPP",C1020)),"Liqueurs",
 ISNUMBER(SEARCH("GIN",C1020)),"Gin",
 TRUE,"Other")</f>
        <v>Whiskey</v>
      </c>
      <c r="E1020" s="5">
        <v>8966</v>
      </c>
      <c r="F1020" s="5">
        <v>284312.96000000113</v>
      </c>
      <c r="G1020" s="5">
        <v>6968.5000000000036</v>
      </c>
      <c r="H1020" s="5">
        <v>1652</v>
      </c>
    </row>
    <row r="1021" spans="1:8">
      <c r="A1021" s="5">
        <v>2024</v>
      </c>
      <c r="B1021" s="6">
        <v>45597</v>
      </c>
      <c r="C1021" s="5" t="s">
        <v>47</v>
      </c>
      <c r="D1021" s="3" t="str" cm="1">
        <f t="array" ref="D1021">_xlfn.IFS(
 ISNUMBER(SEARCH("WHISK",C1021)),"Whiskey",
 ISNUMBER(SEARCH("BOURBON",C1021)),"Whiskey",
 ISNUMBER(SEARCH("SCOTCH",C1021)),"Whiskey",
 ISNUMBER(SEARCH("RYE",C1021)),"Whiskey",
 ISNUMBER(SEARCH("VODKA",C1021)),"Vodka",
 ISNUMBER(SEARCH("TEQUILA",C1021)),"Tequila/Mezcal",
 ISNUMBER(SEARCH("MEZCAL",C1021)),"Tequila/Mezcal",
 ISNUMBER(SEARCH("RUM",C1021)),"Rum",
 ISNUMBER(SEARCH("BRAND",C1021)),"Brandy",
 ISNUMBER(SEARCH("COGNAC",C1021)),"Brandy",
 ISNUMBER(SEARCH("LIQUEUR",C1021)),"Liqueurs",
 ISNUMBER(SEARCH("CORDIAL",C1021)),"Liqueurs",
 ISNUMBER(SEARCH("SCHNAPP",C1021)),"Liqueurs",
 ISNUMBER(SEARCH("GIN",C1021)),"Gin",
 TRUE,"Other")</f>
        <v>Other</v>
      </c>
      <c r="E1021" s="5">
        <v>13687</v>
      </c>
      <c r="F1021" s="5">
        <v>57521.060000000049</v>
      </c>
      <c r="G1021" s="5">
        <v>13447</v>
      </c>
      <c r="H1021" s="5">
        <v>616</v>
      </c>
    </row>
    <row r="1022" spans="1:8">
      <c r="A1022" s="5">
        <v>2024</v>
      </c>
      <c r="B1022" s="6">
        <v>45597</v>
      </c>
      <c r="C1022" s="5" t="s">
        <v>41</v>
      </c>
      <c r="D1022" s="3" t="str" cm="1">
        <f t="array" ref="D1022">_xlfn.IFS(
 ISNUMBER(SEARCH("WHISK",C1022)),"Whiskey",
 ISNUMBER(SEARCH("BOURBON",C1022)),"Whiskey",
 ISNUMBER(SEARCH("SCOTCH",C1022)),"Whiskey",
 ISNUMBER(SEARCH("RYE",C1022)),"Whiskey",
 ISNUMBER(SEARCH("VODKA",C1022)),"Vodka",
 ISNUMBER(SEARCH("TEQUILA",C1022)),"Tequila/Mezcal",
 ISNUMBER(SEARCH("MEZCAL",C1022)),"Tequila/Mezcal",
 ISNUMBER(SEARCH("RUM",C1022)),"Rum",
 ISNUMBER(SEARCH("BRAND",C1022)),"Brandy",
 ISNUMBER(SEARCH("COGNAC",C1022)),"Brandy",
 ISNUMBER(SEARCH("LIQUEUR",C1022)),"Liqueurs",
 ISNUMBER(SEARCH("CORDIAL",C1022)),"Liqueurs",
 ISNUMBER(SEARCH("SCHNAPP",C1022)),"Liqueurs",
 ISNUMBER(SEARCH("GIN",C1022)),"Gin",
 TRUE,"Other")</f>
        <v>Other</v>
      </c>
      <c r="E1022" s="5">
        <v>6067</v>
      </c>
      <c r="F1022" s="5">
        <v>73044.11000000003</v>
      </c>
      <c r="G1022" s="5">
        <v>10037.950000000001</v>
      </c>
      <c r="H1022" s="5">
        <v>132</v>
      </c>
    </row>
    <row r="1023" spans="1:8">
      <c r="A1023" s="5">
        <v>2024</v>
      </c>
      <c r="B1023" s="6">
        <v>45597</v>
      </c>
      <c r="C1023" s="5" t="s">
        <v>29</v>
      </c>
      <c r="D1023" s="3" t="str" cm="1">
        <f t="array" ref="D1023">_xlfn.IFS(
 ISNUMBER(SEARCH("WHISK",C1023)),"Whiskey",
 ISNUMBER(SEARCH("BOURBON",C1023)),"Whiskey",
 ISNUMBER(SEARCH("SCOTCH",C1023)),"Whiskey",
 ISNUMBER(SEARCH("RYE",C1023)),"Whiskey",
 ISNUMBER(SEARCH("VODKA",C1023)),"Vodka",
 ISNUMBER(SEARCH("TEQUILA",C1023)),"Tequila/Mezcal",
 ISNUMBER(SEARCH("MEZCAL",C1023)),"Tequila/Mezcal",
 ISNUMBER(SEARCH("RUM",C1023)),"Rum",
 ISNUMBER(SEARCH("BRAND",C1023)),"Brandy",
 ISNUMBER(SEARCH("COGNAC",C1023)),"Brandy",
 ISNUMBER(SEARCH("LIQUEUR",C1023)),"Liqueurs",
 ISNUMBER(SEARCH("CORDIAL",C1023)),"Liqueurs",
 ISNUMBER(SEARCH("SCHNAPP",C1023)),"Liqueurs",
 ISNUMBER(SEARCH("GIN",C1023)),"Gin",
 TRUE,"Other")</f>
        <v>Gin</v>
      </c>
      <c r="E1023" s="5">
        <v>14147</v>
      </c>
      <c r="F1023" s="5">
        <v>366486.73000000056</v>
      </c>
      <c r="G1023" s="5">
        <v>13379.890000000005</v>
      </c>
      <c r="H1023" s="5">
        <v>1851</v>
      </c>
    </row>
    <row r="1024" spans="1:8">
      <c r="A1024" s="5">
        <v>2024</v>
      </c>
      <c r="B1024" s="6">
        <v>45597</v>
      </c>
      <c r="C1024" s="5" t="s">
        <v>34</v>
      </c>
      <c r="D1024" s="3" t="str" cm="1">
        <f t="array" ref="D1024">_xlfn.IFS(
 ISNUMBER(SEARCH("WHISK",C1024)),"Whiskey",
 ISNUMBER(SEARCH("BOURBON",C1024)),"Whiskey",
 ISNUMBER(SEARCH("SCOTCH",C1024)),"Whiskey",
 ISNUMBER(SEARCH("RYE",C1024)),"Whiskey",
 ISNUMBER(SEARCH("VODKA",C1024)),"Vodka",
 ISNUMBER(SEARCH("TEQUILA",C1024)),"Tequila/Mezcal",
 ISNUMBER(SEARCH("MEZCAL",C1024)),"Tequila/Mezcal",
 ISNUMBER(SEARCH("RUM",C1024)),"Rum",
 ISNUMBER(SEARCH("BRAND",C1024)),"Brandy",
 ISNUMBER(SEARCH("COGNAC",C1024)),"Brandy",
 ISNUMBER(SEARCH("LIQUEUR",C1024)),"Liqueurs",
 ISNUMBER(SEARCH("CORDIAL",C1024)),"Liqueurs",
 ISNUMBER(SEARCH("SCHNAPP",C1024)),"Liqueurs",
 ISNUMBER(SEARCH("GIN",C1024)),"Gin",
 TRUE,"Other")</f>
        <v>Tequila/Mezcal</v>
      </c>
      <c r="E1024" s="5">
        <v>1055</v>
      </c>
      <c r="F1024" s="5">
        <v>31287.16999999998</v>
      </c>
      <c r="G1024" s="5">
        <v>791.75</v>
      </c>
      <c r="H1024" s="5">
        <v>196</v>
      </c>
    </row>
    <row r="1025" spans="1:8">
      <c r="A1025" s="5">
        <v>2024</v>
      </c>
      <c r="B1025" s="6">
        <v>45597</v>
      </c>
      <c r="C1025" s="5" t="s">
        <v>38</v>
      </c>
      <c r="D1025" s="3" t="str" cm="1">
        <f t="array" ref="D1025">_xlfn.IFS(
 ISNUMBER(SEARCH("WHISK",C1025)),"Whiskey",
 ISNUMBER(SEARCH("BOURBON",C1025)),"Whiskey",
 ISNUMBER(SEARCH("SCOTCH",C1025)),"Whiskey",
 ISNUMBER(SEARCH("RYE",C1025)),"Whiskey",
 ISNUMBER(SEARCH("VODKA",C1025)),"Vodka",
 ISNUMBER(SEARCH("TEQUILA",C1025)),"Tequila/Mezcal",
 ISNUMBER(SEARCH("MEZCAL",C1025)),"Tequila/Mezcal",
 ISNUMBER(SEARCH("RUM",C1025)),"Rum",
 ISNUMBER(SEARCH("BRAND",C1025)),"Brandy",
 ISNUMBER(SEARCH("COGNAC",C1025)),"Brandy",
 ISNUMBER(SEARCH("LIQUEUR",C1025)),"Liqueurs",
 ISNUMBER(SEARCH("CORDIAL",C1025)),"Liqueurs",
 ISNUMBER(SEARCH("SCHNAPP",C1025)),"Liqueurs",
 ISNUMBER(SEARCH("GIN",C1025)),"Gin",
 TRUE,"Other")</f>
        <v>Whiskey</v>
      </c>
      <c r="E1025" s="5">
        <v>18070</v>
      </c>
      <c r="F1025" s="5">
        <v>552860.99999999627</v>
      </c>
      <c r="G1025" s="5">
        <v>18698.600000000009</v>
      </c>
      <c r="H1025" s="5">
        <v>2706</v>
      </c>
    </row>
    <row r="1026" spans="1:8">
      <c r="A1026" s="5">
        <v>2024</v>
      </c>
      <c r="B1026" s="6">
        <v>45597</v>
      </c>
      <c r="C1026" s="5" t="s">
        <v>17</v>
      </c>
      <c r="D1026" s="3" t="str" cm="1">
        <f t="array" ref="D1026">_xlfn.IFS(
 ISNUMBER(SEARCH("WHISK",C1026)),"Whiskey",
 ISNUMBER(SEARCH("BOURBON",C1026)),"Whiskey",
 ISNUMBER(SEARCH("SCOTCH",C1026)),"Whiskey",
 ISNUMBER(SEARCH("RYE",C1026)),"Whiskey",
 ISNUMBER(SEARCH("VODKA",C1026)),"Vodka",
 ISNUMBER(SEARCH("TEQUILA",C1026)),"Tequila/Mezcal",
 ISNUMBER(SEARCH("MEZCAL",C1026)),"Tequila/Mezcal",
 ISNUMBER(SEARCH("RUM",C1026)),"Rum",
 ISNUMBER(SEARCH("BRAND",C1026)),"Brandy",
 ISNUMBER(SEARCH("COGNAC",C1026)),"Brandy",
 ISNUMBER(SEARCH("LIQUEUR",C1026)),"Liqueurs",
 ISNUMBER(SEARCH("CORDIAL",C1026)),"Liqueurs",
 ISNUMBER(SEARCH("SCHNAPP",C1026)),"Liqueurs",
 ISNUMBER(SEARCH("GIN",C1026)),"Gin",
 TRUE,"Other")</f>
        <v>Whiskey</v>
      </c>
      <c r="E1026" s="5">
        <v>3466</v>
      </c>
      <c r="F1026" s="5">
        <v>105630.20000000006</v>
      </c>
      <c r="G1026" s="5">
        <v>2955.5</v>
      </c>
      <c r="H1026" s="5">
        <v>694</v>
      </c>
    </row>
    <row r="1027" spans="1:8">
      <c r="A1027" s="5">
        <v>2024</v>
      </c>
      <c r="B1027" s="6">
        <v>45597</v>
      </c>
      <c r="C1027" s="5" t="s">
        <v>20</v>
      </c>
      <c r="D1027" s="3" t="str" cm="1">
        <f t="array" ref="D1027">_xlfn.IFS(
 ISNUMBER(SEARCH("WHISK",C1027)),"Whiskey",
 ISNUMBER(SEARCH("BOURBON",C1027)),"Whiskey",
 ISNUMBER(SEARCH("SCOTCH",C1027)),"Whiskey",
 ISNUMBER(SEARCH("RYE",C1027)),"Whiskey",
 ISNUMBER(SEARCH("VODKA",C1027)),"Vodka",
 ISNUMBER(SEARCH("TEQUILA",C1027)),"Tequila/Mezcal",
 ISNUMBER(SEARCH("MEZCAL",C1027)),"Tequila/Mezcal",
 ISNUMBER(SEARCH("RUM",C1027)),"Rum",
 ISNUMBER(SEARCH("BRAND",C1027)),"Brandy",
 ISNUMBER(SEARCH("COGNAC",C1027)),"Brandy",
 ISNUMBER(SEARCH("LIQUEUR",C1027)),"Liqueurs",
 ISNUMBER(SEARCH("CORDIAL",C1027)),"Liqueurs",
 ISNUMBER(SEARCH("SCHNAPP",C1027)),"Liqueurs",
 ISNUMBER(SEARCH("GIN",C1027)),"Gin",
 TRUE,"Other")</f>
        <v>Liqueurs</v>
      </c>
      <c r="E1027" s="5">
        <v>13610</v>
      </c>
      <c r="F1027" s="5">
        <v>291567.62000000186</v>
      </c>
      <c r="G1027" s="5">
        <v>11482.019999999999</v>
      </c>
      <c r="H1027" s="5">
        <v>1230</v>
      </c>
    </row>
    <row r="1028" spans="1:8">
      <c r="A1028" s="5">
        <v>2024</v>
      </c>
      <c r="B1028" s="6">
        <v>45597</v>
      </c>
      <c r="C1028" s="5" t="s">
        <v>25</v>
      </c>
      <c r="D1028" s="3" t="str" cm="1">
        <f t="array" ref="D1028">_xlfn.IFS(
 ISNUMBER(SEARCH("WHISK",C1028)),"Whiskey",
 ISNUMBER(SEARCH("BOURBON",C1028)),"Whiskey",
 ISNUMBER(SEARCH("SCOTCH",C1028)),"Whiskey",
 ISNUMBER(SEARCH("RYE",C1028)),"Whiskey",
 ISNUMBER(SEARCH("VODKA",C1028)),"Vodka",
 ISNUMBER(SEARCH("TEQUILA",C1028)),"Tequila/Mezcal",
 ISNUMBER(SEARCH("MEZCAL",C1028)),"Tequila/Mezcal",
 ISNUMBER(SEARCH("RUM",C1028)),"Rum",
 ISNUMBER(SEARCH("BRAND",C1028)),"Brandy",
 ISNUMBER(SEARCH("COGNAC",C1028)),"Brandy",
 ISNUMBER(SEARCH("LIQUEUR",C1028)),"Liqueurs",
 ISNUMBER(SEARCH("CORDIAL",C1028)),"Liqueurs",
 ISNUMBER(SEARCH("SCHNAPP",C1028)),"Liqueurs",
 ISNUMBER(SEARCH("GIN",C1028)),"Gin",
 TRUE,"Other")</f>
        <v>Rum</v>
      </c>
      <c r="E1028" s="5">
        <v>5113</v>
      </c>
      <c r="F1028" s="5">
        <v>69101.949999999968</v>
      </c>
      <c r="G1028" s="5">
        <v>5465.970000000003</v>
      </c>
      <c r="H1028" s="5">
        <v>800</v>
      </c>
    </row>
    <row r="1029" spans="1:8">
      <c r="A1029" s="5">
        <v>2024</v>
      </c>
      <c r="B1029" s="6">
        <v>45597</v>
      </c>
      <c r="C1029" s="5" t="s">
        <v>31</v>
      </c>
      <c r="D1029" s="3" t="str" cm="1">
        <f t="array" ref="D1029">_xlfn.IFS(
 ISNUMBER(SEARCH("WHISK",C1029)),"Whiskey",
 ISNUMBER(SEARCH("BOURBON",C1029)),"Whiskey",
 ISNUMBER(SEARCH("SCOTCH",C1029)),"Whiskey",
 ISNUMBER(SEARCH("RYE",C1029)),"Whiskey",
 ISNUMBER(SEARCH("VODKA",C1029)),"Vodka",
 ISNUMBER(SEARCH("TEQUILA",C1029)),"Tequila/Mezcal",
 ISNUMBER(SEARCH("MEZCAL",C1029)),"Tequila/Mezcal",
 ISNUMBER(SEARCH("RUM",C1029)),"Rum",
 ISNUMBER(SEARCH("BRAND",C1029)),"Brandy",
 ISNUMBER(SEARCH("COGNAC",C1029)),"Brandy",
 ISNUMBER(SEARCH("LIQUEUR",C1029)),"Liqueurs",
 ISNUMBER(SEARCH("CORDIAL",C1029)),"Liqueurs",
 ISNUMBER(SEARCH("SCHNAPP",C1029)),"Liqueurs",
 ISNUMBER(SEARCH("GIN",C1029)),"Gin",
 TRUE,"Other")</f>
        <v>Liqueurs</v>
      </c>
      <c r="E1029" s="5">
        <v>28538</v>
      </c>
      <c r="F1029" s="5">
        <v>500373.60000000231</v>
      </c>
      <c r="G1029" s="5">
        <v>25473.179999999818</v>
      </c>
      <c r="H1029" s="5">
        <v>2771</v>
      </c>
    </row>
    <row r="1030" spans="1:8">
      <c r="A1030" s="5">
        <v>2024</v>
      </c>
      <c r="B1030" s="6">
        <v>45597</v>
      </c>
      <c r="C1030" s="5" t="s">
        <v>40</v>
      </c>
      <c r="D1030" s="3" t="str" cm="1">
        <f t="array" ref="D1030">_xlfn.IFS(
 ISNUMBER(SEARCH("WHISK",C1030)),"Whiskey",
 ISNUMBER(SEARCH("BOURBON",C1030)),"Whiskey",
 ISNUMBER(SEARCH("SCOTCH",C1030)),"Whiskey",
 ISNUMBER(SEARCH("RYE",C1030)),"Whiskey",
 ISNUMBER(SEARCH("VODKA",C1030)),"Vodka",
 ISNUMBER(SEARCH("TEQUILA",C1030)),"Tequila/Mezcal",
 ISNUMBER(SEARCH("MEZCAL",C1030)),"Tequila/Mezcal",
 ISNUMBER(SEARCH("RUM",C1030)),"Rum",
 ISNUMBER(SEARCH("BRAND",C1030)),"Brandy",
 ISNUMBER(SEARCH("COGNAC",C1030)),"Brandy",
 ISNUMBER(SEARCH("LIQUEUR",C1030)),"Liqueurs",
 ISNUMBER(SEARCH("CORDIAL",C1030)),"Liqueurs",
 ISNUMBER(SEARCH("SCHNAPP",C1030)),"Liqueurs",
 ISNUMBER(SEARCH("GIN",C1030)),"Gin",
 TRUE,"Other")</f>
        <v>Whiskey</v>
      </c>
      <c r="E1030" s="5">
        <v>5549</v>
      </c>
      <c r="F1030" s="5">
        <v>307455.76999999938</v>
      </c>
      <c r="G1030" s="5">
        <v>4296.549999999992</v>
      </c>
      <c r="H1030" s="5">
        <v>1421</v>
      </c>
    </row>
    <row r="1031" spans="1:8">
      <c r="A1031" s="5">
        <v>2024</v>
      </c>
      <c r="B1031" s="6">
        <v>45597</v>
      </c>
      <c r="C1031" s="5" t="s">
        <v>30</v>
      </c>
      <c r="D1031" s="3" t="str" cm="1">
        <f t="array" ref="D1031">_xlfn.IFS(
 ISNUMBER(SEARCH("WHISK",C1031)),"Whiskey",
 ISNUMBER(SEARCH("BOURBON",C1031)),"Whiskey",
 ISNUMBER(SEARCH("SCOTCH",C1031)),"Whiskey",
 ISNUMBER(SEARCH("RYE",C1031)),"Whiskey",
 ISNUMBER(SEARCH("VODKA",C1031)),"Vodka",
 ISNUMBER(SEARCH("TEQUILA",C1031)),"Tequila/Mezcal",
 ISNUMBER(SEARCH("MEZCAL",C1031)),"Tequila/Mezcal",
 ISNUMBER(SEARCH("RUM",C1031)),"Rum",
 ISNUMBER(SEARCH("BRAND",C1031)),"Brandy",
 ISNUMBER(SEARCH("COGNAC",C1031)),"Brandy",
 ISNUMBER(SEARCH("LIQUEUR",C1031)),"Liqueurs",
 ISNUMBER(SEARCH("CORDIAL",C1031)),"Liqueurs",
 ISNUMBER(SEARCH("SCHNAPP",C1031)),"Liqueurs",
 ISNUMBER(SEARCH("GIN",C1031)),"Gin",
 TRUE,"Other")</f>
        <v>Vodka</v>
      </c>
      <c r="E1031" s="5">
        <v>16364</v>
      </c>
      <c r="F1031" s="5">
        <v>257247.47000000242</v>
      </c>
      <c r="G1031" s="5">
        <v>12904.22</v>
      </c>
      <c r="H1031" s="5">
        <v>1892</v>
      </c>
    </row>
    <row r="1032" spans="1:8">
      <c r="A1032" s="5">
        <v>2024</v>
      </c>
      <c r="B1032" s="6">
        <v>45597</v>
      </c>
      <c r="C1032" s="5" t="s">
        <v>10</v>
      </c>
      <c r="D1032" s="3" t="str" cm="1">
        <f t="array" ref="D1032">_xlfn.IFS(
 ISNUMBER(SEARCH("WHISK",C1032)),"Whiskey",
 ISNUMBER(SEARCH("BOURBON",C1032)),"Whiskey",
 ISNUMBER(SEARCH("SCOTCH",C1032)),"Whiskey",
 ISNUMBER(SEARCH("RYE",C1032)),"Whiskey",
 ISNUMBER(SEARCH("VODKA",C1032)),"Vodka",
 ISNUMBER(SEARCH("TEQUILA",C1032)),"Tequila/Mezcal",
 ISNUMBER(SEARCH("MEZCAL",C1032)),"Tequila/Mezcal",
 ISNUMBER(SEARCH("RUM",C1032)),"Rum",
 ISNUMBER(SEARCH("BRAND",C1032)),"Brandy",
 ISNUMBER(SEARCH("COGNAC",C1032)),"Brandy",
 ISNUMBER(SEARCH("LIQUEUR",C1032)),"Liqueurs",
 ISNUMBER(SEARCH("CORDIAL",C1032)),"Liqueurs",
 ISNUMBER(SEARCH("SCHNAPP",C1032)),"Liqueurs",
 ISNUMBER(SEARCH("GIN",C1032)),"Gin",
 TRUE,"Other")</f>
        <v>Other</v>
      </c>
      <c r="E1032" s="5">
        <v>4359</v>
      </c>
      <c r="F1032" s="5">
        <v>87845.189999999973</v>
      </c>
      <c r="G1032" s="5">
        <v>2877.51</v>
      </c>
      <c r="H1032" s="5">
        <v>437</v>
      </c>
    </row>
    <row r="1033" spans="1:8">
      <c r="A1033" s="5">
        <v>2024</v>
      </c>
      <c r="B1033" s="6">
        <v>45597</v>
      </c>
      <c r="C1033" s="5" t="s">
        <v>23</v>
      </c>
      <c r="D1033" s="3" t="str" cm="1">
        <f t="array" ref="D1033">_xlfn.IFS(
 ISNUMBER(SEARCH("WHISK",C1033)),"Whiskey",
 ISNUMBER(SEARCH("BOURBON",C1033)),"Whiskey",
 ISNUMBER(SEARCH("SCOTCH",C1033)),"Whiskey",
 ISNUMBER(SEARCH("RYE",C1033)),"Whiskey",
 ISNUMBER(SEARCH("VODKA",C1033)),"Vodka",
 ISNUMBER(SEARCH("TEQUILA",C1033)),"Tequila/Mezcal",
 ISNUMBER(SEARCH("MEZCAL",C1033)),"Tequila/Mezcal",
 ISNUMBER(SEARCH("RUM",C1033)),"Rum",
 ISNUMBER(SEARCH("BRAND",C1033)),"Brandy",
 ISNUMBER(SEARCH("COGNAC",C1033)),"Brandy",
 ISNUMBER(SEARCH("LIQUEUR",C1033)),"Liqueurs",
 ISNUMBER(SEARCH("CORDIAL",C1033)),"Liqueurs",
 ISNUMBER(SEARCH("SCHNAPP",C1033)),"Liqueurs",
 ISNUMBER(SEARCH("GIN",C1033)),"Gin",
 TRUE,"Other")</f>
        <v>Gin</v>
      </c>
      <c r="E1033" s="5">
        <v>3642</v>
      </c>
      <c r="F1033" s="5">
        <v>93258.72</v>
      </c>
      <c r="G1033" s="5">
        <v>2696.1000000000004</v>
      </c>
      <c r="H1033" s="5">
        <v>413</v>
      </c>
    </row>
    <row r="1034" spans="1:8">
      <c r="A1034" s="5">
        <v>2024</v>
      </c>
      <c r="B1034" s="6">
        <v>45597</v>
      </c>
      <c r="C1034" s="5" t="s">
        <v>28</v>
      </c>
      <c r="D1034" s="3" t="str" cm="1">
        <f t="array" ref="D1034">_xlfn.IFS(
 ISNUMBER(SEARCH("WHISK",C1034)),"Whiskey",
 ISNUMBER(SEARCH("BOURBON",C1034)),"Whiskey",
 ISNUMBER(SEARCH("SCOTCH",C1034)),"Whiskey",
 ISNUMBER(SEARCH("RYE",C1034)),"Whiskey",
 ISNUMBER(SEARCH("VODKA",C1034)),"Vodka",
 ISNUMBER(SEARCH("TEQUILA",C1034)),"Tequila/Mezcal",
 ISNUMBER(SEARCH("MEZCAL",C1034)),"Tequila/Mezcal",
 ISNUMBER(SEARCH("RUM",C1034)),"Rum",
 ISNUMBER(SEARCH("BRAND",C1034)),"Brandy",
 ISNUMBER(SEARCH("COGNAC",C1034)),"Brandy",
 ISNUMBER(SEARCH("LIQUEUR",C1034)),"Liqueurs",
 ISNUMBER(SEARCH("CORDIAL",C1034)),"Liqueurs",
 ISNUMBER(SEARCH("SCHNAPP",C1034)),"Liqueurs",
 ISNUMBER(SEARCH("GIN",C1034)),"Gin",
 TRUE,"Other")</f>
        <v>Other</v>
      </c>
      <c r="E1034" s="5">
        <v>31428</v>
      </c>
      <c r="F1034" s="5">
        <v>227779.34000000029</v>
      </c>
      <c r="G1034" s="5">
        <v>25866.549999999988</v>
      </c>
      <c r="H1034" s="5">
        <v>912</v>
      </c>
    </row>
    <row r="1035" spans="1:8">
      <c r="A1035" s="5">
        <v>2024</v>
      </c>
      <c r="B1035" s="6">
        <v>45597</v>
      </c>
      <c r="C1035" s="5" t="s">
        <v>21</v>
      </c>
      <c r="D1035" s="3" t="str" cm="1">
        <f t="array" ref="D1035">_xlfn.IFS(
 ISNUMBER(SEARCH("WHISK",C1035)),"Whiskey",
 ISNUMBER(SEARCH("BOURBON",C1035)),"Whiskey",
 ISNUMBER(SEARCH("SCOTCH",C1035)),"Whiskey",
 ISNUMBER(SEARCH("RYE",C1035)),"Whiskey",
 ISNUMBER(SEARCH("VODKA",C1035)),"Vodka",
 ISNUMBER(SEARCH("TEQUILA",C1035)),"Tequila/Mezcal",
 ISNUMBER(SEARCH("MEZCAL",C1035)),"Tequila/Mezcal",
 ISNUMBER(SEARCH("RUM",C1035)),"Rum",
 ISNUMBER(SEARCH("BRAND",C1035)),"Brandy",
 ISNUMBER(SEARCH("COGNAC",C1035)),"Brandy",
 ISNUMBER(SEARCH("LIQUEUR",C1035)),"Liqueurs",
 ISNUMBER(SEARCH("CORDIAL",C1035)),"Liqueurs",
 ISNUMBER(SEARCH("SCHNAPP",C1035)),"Liqueurs",
 ISNUMBER(SEARCH("GIN",C1035)),"Gin",
 TRUE,"Other")</f>
        <v>Whiskey</v>
      </c>
      <c r="E1035" s="5">
        <v>510</v>
      </c>
      <c r="F1035" s="5">
        <v>13139.07</v>
      </c>
      <c r="G1035" s="5">
        <v>369.36</v>
      </c>
      <c r="H1035" s="5">
        <v>93</v>
      </c>
    </row>
    <row r="1036" spans="1:8">
      <c r="A1036" s="5">
        <v>2024</v>
      </c>
      <c r="B1036" s="6">
        <v>45597</v>
      </c>
      <c r="C1036" s="5" t="s">
        <v>14</v>
      </c>
      <c r="D1036" s="3" t="str" cm="1">
        <f t="array" ref="D1036">_xlfn.IFS(
 ISNUMBER(SEARCH("WHISK",C1036)),"Whiskey",
 ISNUMBER(SEARCH("BOURBON",C1036)),"Whiskey",
 ISNUMBER(SEARCH("SCOTCH",C1036)),"Whiskey",
 ISNUMBER(SEARCH("RYE",C1036)),"Whiskey",
 ISNUMBER(SEARCH("VODKA",C1036)),"Vodka",
 ISNUMBER(SEARCH("TEQUILA",C1036)),"Tequila/Mezcal",
 ISNUMBER(SEARCH("MEZCAL",C1036)),"Tequila/Mezcal",
 ISNUMBER(SEARCH("RUM",C1036)),"Rum",
 ISNUMBER(SEARCH("BRAND",C1036)),"Brandy",
 ISNUMBER(SEARCH("COGNAC",C1036)),"Brandy",
 ISNUMBER(SEARCH("LIQUEUR",C1036)),"Liqueurs",
 ISNUMBER(SEARCH("CORDIAL",C1036)),"Liqueurs",
 ISNUMBER(SEARCH("SCHNAPP",C1036)),"Liqueurs",
 ISNUMBER(SEARCH("GIN",C1036)),"Gin",
 TRUE,"Other")</f>
        <v>Gin</v>
      </c>
      <c r="E1036" s="5">
        <v>144</v>
      </c>
      <c r="F1036" s="5">
        <v>1229.76</v>
      </c>
      <c r="G1036" s="5">
        <v>144</v>
      </c>
      <c r="H1036" s="5">
        <v>27</v>
      </c>
    </row>
    <row r="1037" spans="1:8">
      <c r="A1037" s="5">
        <v>2024</v>
      </c>
      <c r="B1037" s="6">
        <v>45627</v>
      </c>
      <c r="C1037" s="5" t="s">
        <v>15</v>
      </c>
      <c r="D1037" s="3" t="str" cm="1">
        <f t="array" ref="D1037">_xlfn.IFS(
 ISNUMBER(SEARCH("WHISK",C1037)),"Whiskey",
 ISNUMBER(SEARCH("BOURBON",C1037)),"Whiskey",
 ISNUMBER(SEARCH("SCOTCH",C1037)),"Whiskey",
 ISNUMBER(SEARCH("RYE",C1037)),"Whiskey",
 ISNUMBER(SEARCH("VODKA",C1037)),"Vodka",
 ISNUMBER(SEARCH("TEQUILA",C1037)),"Tequila/Mezcal",
 ISNUMBER(SEARCH("MEZCAL",C1037)),"Tequila/Mezcal",
 ISNUMBER(SEARCH("RUM",C1037)),"Rum",
 ISNUMBER(SEARCH("BRAND",C1037)),"Brandy",
 ISNUMBER(SEARCH("COGNAC",C1037)),"Brandy",
 ISNUMBER(SEARCH("LIQUEUR",C1037)),"Liqueurs",
 ISNUMBER(SEARCH("CORDIAL",C1037)),"Liqueurs",
 ISNUMBER(SEARCH("SCHNAPP",C1037)),"Liqueurs",
 ISNUMBER(SEARCH("GIN",C1037)),"Gin",
 TRUE,"Other")</f>
        <v>Vodka</v>
      </c>
      <c r="E1037" s="5">
        <v>522294</v>
      </c>
      <c r="F1037" s="5">
        <v>4847517.9700001273</v>
      </c>
      <c r="G1037" s="5">
        <v>430605.14999998058</v>
      </c>
      <c r="H1037" s="5">
        <v>34350</v>
      </c>
    </row>
    <row r="1038" spans="1:8">
      <c r="A1038" s="5">
        <v>2024</v>
      </c>
      <c r="B1038" s="6">
        <v>45627</v>
      </c>
      <c r="C1038" s="5" t="s">
        <v>18</v>
      </c>
      <c r="D1038" s="3" t="str" cm="1">
        <f t="array" ref="D1038">_xlfn.IFS(
 ISNUMBER(SEARCH("WHISK",C1038)),"Whiskey",
 ISNUMBER(SEARCH("BOURBON",C1038)),"Whiskey",
 ISNUMBER(SEARCH("SCOTCH",C1038)),"Whiskey",
 ISNUMBER(SEARCH("RYE",C1038)),"Whiskey",
 ISNUMBER(SEARCH("VODKA",C1038)),"Vodka",
 ISNUMBER(SEARCH("TEQUILA",C1038)),"Tequila/Mezcal",
 ISNUMBER(SEARCH("MEZCAL",C1038)),"Tequila/Mezcal",
 ISNUMBER(SEARCH("RUM",C1038)),"Rum",
 ISNUMBER(SEARCH("BRAND",C1038)),"Brandy",
 ISNUMBER(SEARCH("COGNAC",C1038)),"Brandy",
 ISNUMBER(SEARCH("LIQUEUR",C1038)),"Liqueurs",
 ISNUMBER(SEARCH("CORDIAL",C1038)),"Liqueurs",
 ISNUMBER(SEARCH("SCHNAPP",C1038)),"Liqueurs",
 ISNUMBER(SEARCH("GIN",C1038)),"Gin",
 TRUE,"Other")</f>
        <v>Whiskey</v>
      </c>
      <c r="E1038" s="5">
        <v>266038</v>
      </c>
      <c r="F1038" s="5">
        <v>4588391.5099997967</v>
      </c>
      <c r="G1038" s="5">
        <v>263740.17999999522</v>
      </c>
      <c r="H1038" s="5">
        <v>21135</v>
      </c>
    </row>
    <row r="1039" spans="1:8">
      <c r="A1039" s="5">
        <v>2024</v>
      </c>
      <c r="B1039" s="6">
        <v>45627</v>
      </c>
      <c r="C1039" s="5" t="s">
        <v>24</v>
      </c>
      <c r="D1039" s="3" t="str" cm="1">
        <f t="array" ref="D1039">_xlfn.IFS(
 ISNUMBER(SEARCH("WHISK",C1039)),"Whiskey",
 ISNUMBER(SEARCH("BOURBON",C1039)),"Whiskey",
 ISNUMBER(SEARCH("SCOTCH",C1039)),"Whiskey",
 ISNUMBER(SEARCH("RYE",C1039)),"Whiskey",
 ISNUMBER(SEARCH("VODKA",C1039)),"Vodka",
 ISNUMBER(SEARCH("TEQUILA",C1039)),"Tequila/Mezcal",
 ISNUMBER(SEARCH("MEZCAL",C1039)),"Tequila/Mezcal",
 ISNUMBER(SEARCH("RUM",C1039)),"Rum",
 ISNUMBER(SEARCH("BRAND",C1039)),"Brandy",
 ISNUMBER(SEARCH("COGNAC",C1039)),"Brandy",
 ISNUMBER(SEARCH("LIQUEUR",C1039)),"Liqueurs",
 ISNUMBER(SEARCH("CORDIAL",C1039)),"Liqueurs",
 ISNUMBER(SEARCH("SCHNAPP",C1039)),"Liqueurs",
 ISNUMBER(SEARCH("GIN",C1039)),"Gin",
 TRUE,"Other")</f>
        <v>Rum</v>
      </c>
      <c r="E1039" s="5">
        <v>34633</v>
      </c>
      <c r="F1039" s="5">
        <v>532514.55000000086</v>
      </c>
      <c r="G1039" s="5">
        <v>33085.639999999941</v>
      </c>
      <c r="H1039" s="5">
        <v>3719</v>
      </c>
    </row>
    <row r="1040" spans="1:8">
      <c r="A1040" s="5">
        <v>2024</v>
      </c>
      <c r="B1040" s="6">
        <v>45627</v>
      </c>
      <c r="C1040" s="5" t="s">
        <v>43</v>
      </c>
      <c r="D1040" s="3" t="str" cm="1">
        <f t="array" ref="D1040">_xlfn.IFS(
 ISNUMBER(SEARCH("WHISK",C1040)),"Whiskey",
 ISNUMBER(SEARCH("BOURBON",C1040)),"Whiskey",
 ISNUMBER(SEARCH("SCOTCH",C1040)),"Whiskey",
 ISNUMBER(SEARCH("RYE",C1040)),"Whiskey",
 ISNUMBER(SEARCH("VODKA",C1040)),"Vodka",
 ISNUMBER(SEARCH("TEQUILA",C1040)),"Tequila/Mezcal",
 ISNUMBER(SEARCH("MEZCAL",C1040)),"Tequila/Mezcal",
 ISNUMBER(SEARCH("RUM",C1040)),"Rum",
 ISNUMBER(SEARCH("BRAND",C1040)),"Brandy",
 ISNUMBER(SEARCH("COGNAC",C1040)),"Brandy",
 ISNUMBER(SEARCH("LIQUEUR",C1040)),"Liqueurs",
 ISNUMBER(SEARCH("CORDIAL",C1040)),"Liqueurs",
 ISNUMBER(SEARCH("SCHNAPP",C1040)),"Liqueurs",
 ISNUMBER(SEARCH("GIN",C1040)),"Gin",
 TRUE,"Other")</f>
        <v>Whiskey</v>
      </c>
      <c r="E1040" s="5">
        <v>180285</v>
      </c>
      <c r="F1040" s="5">
        <v>4517479.8500000257</v>
      </c>
      <c r="G1040" s="5">
        <v>145062.47000000085</v>
      </c>
      <c r="H1040" s="5">
        <v>20811</v>
      </c>
    </row>
    <row r="1041" spans="1:8">
      <c r="A1041" s="5">
        <v>2024</v>
      </c>
      <c r="B1041" s="6">
        <v>45627</v>
      </c>
      <c r="C1041" s="5" t="s">
        <v>45</v>
      </c>
      <c r="D1041" s="3" t="str" cm="1">
        <f t="array" ref="D1041">_xlfn.IFS(
 ISNUMBER(SEARCH("WHISK",C1041)),"Whiskey",
 ISNUMBER(SEARCH("BOURBON",C1041)),"Whiskey",
 ISNUMBER(SEARCH("SCOTCH",C1041)),"Whiskey",
 ISNUMBER(SEARCH("RYE",C1041)),"Whiskey",
 ISNUMBER(SEARCH("VODKA",C1041)),"Vodka",
 ISNUMBER(SEARCH("TEQUILA",C1041)),"Tequila/Mezcal",
 ISNUMBER(SEARCH("MEZCAL",C1041)),"Tequila/Mezcal",
 ISNUMBER(SEARCH("RUM",C1041)),"Rum",
 ISNUMBER(SEARCH("BRAND",C1041)),"Brandy",
 ISNUMBER(SEARCH("COGNAC",C1041)),"Brandy",
 ISNUMBER(SEARCH("LIQUEUR",C1041)),"Liqueurs",
 ISNUMBER(SEARCH("CORDIAL",C1041)),"Liqueurs",
 ISNUMBER(SEARCH("SCHNAPP",C1041)),"Liqueurs",
 ISNUMBER(SEARCH("GIN",C1041)),"Gin",
 TRUE,"Other")</f>
        <v>Other</v>
      </c>
      <c r="E1041" s="5">
        <v>65464</v>
      </c>
      <c r="F1041" s="5">
        <v>1911554.0599999686</v>
      </c>
      <c r="G1041" s="5">
        <v>51052.60000000029</v>
      </c>
      <c r="H1041" s="5">
        <v>9886</v>
      </c>
    </row>
    <row r="1042" spans="1:8">
      <c r="A1042" s="5">
        <v>2024</v>
      </c>
      <c r="B1042" s="6">
        <v>45627</v>
      </c>
      <c r="C1042" s="5" t="s">
        <v>10</v>
      </c>
      <c r="D1042" s="3" t="str" cm="1">
        <f t="array" ref="D1042">_xlfn.IFS(
 ISNUMBER(SEARCH("WHISK",C1042)),"Whiskey",
 ISNUMBER(SEARCH("BOURBON",C1042)),"Whiskey",
 ISNUMBER(SEARCH("SCOTCH",C1042)),"Whiskey",
 ISNUMBER(SEARCH("RYE",C1042)),"Whiskey",
 ISNUMBER(SEARCH("VODKA",C1042)),"Vodka",
 ISNUMBER(SEARCH("TEQUILA",C1042)),"Tequila/Mezcal",
 ISNUMBER(SEARCH("MEZCAL",C1042)),"Tequila/Mezcal",
 ISNUMBER(SEARCH("RUM",C1042)),"Rum",
 ISNUMBER(SEARCH("BRAND",C1042)),"Brandy",
 ISNUMBER(SEARCH("COGNAC",C1042)),"Brandy",
 ISNUMBER(SEARCH("LIQUEUR",C1042)),"Liqueurs",
 ISNUMBER(SEARCH("CORDIAL",C1042)),"Liqueurs",
 ISNUMBER(SEARCH("SCHNAPP",C1042)),"Liqueurs",
 ISNUMBER(SEARCH("GIN",C1042)),"Gin",
 TRUE,"Other")</f>
        <v>Other</v>
      </c>
      <c r="E1042" s="5">
        <v>5476</v>
      </c>
      <c r="F1042" s="5">
        <v>95748.420000000086</v>
      </c>
      <c r="G1042" s="5">
        <v>3763.8500000000008</v>
      </c>
      <c r="H1042" s="5">
        <v>583</v>
      </c>
    </row>
    <row r="1043" spans="1:8">
      <c r="A1043" s="5">
        <v>2024</v>
      </c>
      <c r="B1043" s="6">
        <v>45627</v>
      </c>
      <c r="C1043" s="5" t="s">
        <v>16</v>
      </c>
      <c r="D1043" s="3" t="str" cm="1">
        <f t="array" ref="D1043">_xlfn.IFS(
 ISNUMBER(SEARCH("WHISK",C1043)),"Whiskey",
 ISNUMBER(SEARCH("BOURBON",C1043)),"Whiskey",
 ISNUMBER(SEARCH("SCOTCH",C1043)),"Whiskey",
 ISNUMBER(SEARCH("RYE",C1043)),"Whiskey",
 ISNUMBER(SEARCH("VODKA",C1043)),"Vodka",
 ISNUMBER(SEARCH("TEQUILA",C1043)),"Tequila/Mezcal",
 ISNUMBER(SEARCH("MEZCAL",C1043)),"Tequila/Mezcal",
 ISNUMBER(SEARCH("RUM",C1043)),"Rum",
 ISNUMBER(SEARCH("BRAND",C1043)),"Brandy",
 ISNUMBER(SEARCH("COGNAC",C1043)),"Brandy",
 ISNUMBER(SEARCH("LIQUEUR",C1043)),"Liqueurs",
 ISNUMBER(SEARCH("CORDIAL",C1043)),"Liqueurs",
 ISNUMBER(SEARCH("SCHNAPP",C1043)),"Liqueurs",
 ISNUMBER(SEARCH("GIN",C1043)),"Gin",
 TRUE,"Other")</f>
        <v>Whiskey</v>
      </c>
      <c r="E1043" s="5">
        <v>70019</v>
      </c>
      <c r="F1043" s="5">
        <v>1015690.2899999832</v>
      </c>
      <c r="G1043" s="5">
        <v>57947.370000000323</v>
      </c>
      <c r="H1043" s="5">
        <v>8089</v>
      </c>
    </row>
    <row r="1044" spans="1:8">
      <c r="A1044" s="5">
        <v>2024</v>
      </c>
      <c r="B1044" s="6">
        <v>45627</v>
      </c>
      <c r="C1044" s="5" t="s">
        <v>22</v>
      </c>
      <c r="D1044" s="3" t="str" cm="1">
        <f t="array" ref="D1044">_xlfn.IFS(
 ISNUMBER(SEARCH("WHISK",C1044)),"Whiskey",
 ISNUMBER(SEARCH("BOURBON",C1044)),"Whiskey",
 ISNUMBER(SEARCH("SCOTCH",C1044)),"Whiskey",
 ISNUMBER(SEARCH("RYE",C1044)),"Whiskey",
 ISNUMBER(SEARCH("VODKA",C1044)),"Vodka",
 ISNUMBER(SEARCH("TEQUILA",C1044)),"Tequila/Mezcal",
 ISNUMBER(SEARCH("MEZCAL",C1044)),"Tequila/Mezcal",
 ISNUMBER(SEARCH("RUM",C1044)),"Rum",
 ISNUMBER(SEARCH("BRAND",C1044)),"Brandy",
 ISNUMBER(SEARCH("COGNAC",C1044)),"Brandy",
 ISNUMBER(SEARCH("LIQUEUR",C1044)),"Liqueurs",
 ISNUMBER(SEARCH("CORDIAL",C1044)),"Liqueurs",
 ISNUMBER(SEARCH("SCHNAPP",C1044)),"Liqueurs",
 ISNUMBER(SEARCH("GIN",C1044)),"Gin",
 TRUE,"Other")</f>
        <v>Liqueurs</v>
      </c>
      <c r="E1044" s="5">
        <v>51732</v>
      </c>
      <c r="F1044" s="5">
        <v>1076152.3199999824</v>
      </c>
      <c r="G1044" s="5">
        <v>42542.490000000042</v>
      </c>
      <c r="H1044" s="5">
        <v>6295</v>
      </c>
    </row>
    <row r="1045" spans="1:8">
      <c r="A1045" s="5">
        <v>2024</v>
      </c>
      <c r="B1045" s="6">
        <v>45627</v>
      </c>
      <c r="C1045" s="5" t="s">
        <v>26</v>
      </c>
      <c r="D1045" s="3" t="str" cm="1">
        <f t="array" ref="D1045">_xlfn.IFS(
 ISNUMBER(SEARCH("WHISK",C1045)),"Whiskey",
 ISNUMBER(SEARCH("BOURBON",C1045)),"Whiskey",
 ISNUMBER(SEARCH("SCOTCH",C1045)),"Whiskey",
 ISNUMBER(SEARCH("RYE",C1045)),"Whiskey",
 ISNUMBER(SEARCH("VODKA",C1045)),"Vodka",
 ISNUMBER(SEARCH("TEQUILA",C1045)),"Tequila/Mezcal",
 ISNUMBER(SEARCH("MEZCAL",C1045)),"Tequila/Mezcal",
 ISNUMBER(SEARCH("RUM",C1045)),"Rum",
 ISNUMBER(SEARCH("BRAND",C1045)),"Brandy",
 ISNUMBER(SEARCH("COGNAC",C1045)),"Brandy",
 ISNUMBER(SEARCH("LIQUEUR",C1045)),"Liqueurs",
 ISNUMBER(SEARCH("CORDIAL",C1045)),"Liqueurs",
 ISNUMBER(SEARCH("SCHNAPP",C1045)),"Liqueurs",
 ISNUMBER(SEARCH("GIN",C1045)),"Gin",
 TRUE,"Other")</f>
        <v>Brandy</v>
      </c>
      <c r="E1045" s="5">
        <v>37758</v>
      </c>
      <c r="F1045" s="5">
        <v>952203.15999999037</v>
      </c>
      <c r="G1045" s="5">
        <v>19931.939999999908</v>
      </c>
      <c r="H1045" s="5">
        <v>3761</v>
      </c>
    </row>
    <row r="1046" spans="1:8">
      <c r="A1046" s="5">
        <v>2024</v>
      </c>
      <c r="B1046" s="6">
        <v>45627</v>
      </c>
      <c r="C1046" s="5" t="s">
        <v>60</v>
      </c>
      <c r="D1046" s="3" t="str" cm="1">
        <f t="array" ref="D1046">_xlfn.IFS(
 ISNUMBER(SEARCH("WHISK",C1046)),"Whiskey",
 ISNUMBER(SEARCH("BOURBON",C1046)),"Whiskey",
 ISNUMBER(SEARCH("SCOTCH",C1046)),"Whiskey",
 ISNUMBER(SEARCH("RYE",C1046)),"Whiskey",
 ISNUMBER(SEARCH("VODKA",C1046)),"Vodka",
 ISNUMBER(SEARCH("TEQUILA",C1046)),"Tequila/Mezcal",
 ISNUMBER(SEARCH("MEZCAL",C1046)),"Tequila/Mezcal",
 ISNUMBER(SEARCH("RUM",C1046)),"Rum",
 ISNUMBER(SEARCH("BRAND",C1046)),"Brandy",
 ISNUMBER(SEARCH("COGNAC",C1046)),"Brandy",
 ISNUMBER(SEARCH("LIQUEUR",C1046)),"Liqueurs",
 ISNUMBER(SEARCH("CORDIAL",C1046)),"Liqueurs",
 ISNUMBER(SEARCH("SCHNAPP",C1046)),"Liqueurs",
 ISNUMBER(SEARCH("GIN",C1046)),"Gin",
 TRUE,"Other")</f>
        <v>Liqueurs</v>
      </c>
      <c r="E1046" s="5">
        <v>49204</v>
      </c>
      <c r="F1046" s="5">
        <v>1180712.74</v>
      </c>
      <c r="G1046" s="5">
        <v>36447.330000000038</v>
      </c>
      <c r="H1046" s="5">
        <v>5971</v>
      </c>
    </row>
    <row r="1047" spans="1:8">
      <c r="A1047" s="5">
        <v>2024</v>
      </c>
      <c r="B1047" s="6">
        <v>45627</v>
      </c>
      <c r="C1047" s="5" t="s">
        <v>30</v>
      </c>
      <c r="D1047" s="3" t="str" cm="1">
        <f t="array" ref="D1047">_xlfn.IFS(
 ISNUMBER(SEARCH("WHISK",C1047)),"Whiskey",
 ISNUMBER(SEARCH("BOURBON",C1047)),"Whiskey",
 ISNUMBER(SEARCH("SCOTCH",C1047)),"Whiskey",
 ISNUMBER(SEARCH("RYE",C1047)),"Whiskey",
 ISNUMBER(SEARCH("VODKA",C1047)),"Vodka",
 ISNUMBER(SEARCH("TEQUILA",C1047)),"Tequila/Mezcal",
 ISNUMBER(SEARCH("MEZCAL",C1047)),"Tequila/Mezcal",
 ISNUMBER(SEARCH("RUM",C1047)),"Rum",
 ISNUMBER(SEARCH("BRAND",C1047)),"Brandy",
 ISNUMBER(SEARCH("COGNAC",C1047)),"Brandy",
 ISNUMBER(SEARCH("LIQUEUR",C1047)),"Liqueurs",
 ISNUMBER(SEARCH("CORDIAL",C1047)),"Liqueurs",
 ISNUMBER(SEARCH("SCHNAPP",C1047)),"Liqueurs",
 ISNUMBER(SEARCH("GIN",C1047)),"Gin",
 TRUE,"Other")</f>
        <v>Vodka</v>
      </c>
      <c r="E1047" s="5">
        <v>26216</v>
      </c>
      <c r="F1047" s="5">
        <v>395646.11000000138</v>
      </c>
      <c r="G1047" s="5">
        <v>20561.669999999991</v>
      </c>
      <c r="H1047" s="5">
        <v>2416</v>
      </c>
    </row>
    <row r="1048" spans="1:8">
      <c r="A1048" s="5">
        <v>2024</v>
      </c>
      <c r="B1048" s="6">
        <v>45627</v>
      </c>
      <c r="C1048" s="5" t="s">
        <v>33</v>
      </c>
      <c r="D1048" s="3" t="str" cm="1">
        <f t="array" ref="D1048">_xlfn.IFS(
 ISNUMBER(SEARCH("WHISK",C1048)),"Whiskey",
 ISNUMBER(SEARCH("BOURBON",C1048)),"Whiskey",
 ISNUMBER(SEARCH("SCOTCH",C1048)),"Whiskey",
 ISNUMBER(SEARCH("RYE",C1048)),"Whiskey",
 ISNUMBER(SEARCH("VODKA",C1048)),"Vodka",
 ISNUMBER(SEARCH("TEQUILA",C1048)),"Tequila/Mezcal",
 ISNUMBER(SEARCH("MEZCAL",C1048)),"Tequila/Mezcal",
 ISNUMBER(SEARCH("RUM",C1048)),"Rum",
 ISNUMBER(SEARCH("BRAND",C1048)),"Brandy",
 ISNUMBER(SEARCH("COGNAC",C1048)),"Brandy",
 ISNUMBER(SEARCH("LIQUEUR",C1048)),"Liqueurs",
 ISNUMBER(SEARCH("CORDIAL",C1048)),"Liqueurs",
 ISNUMBER(SEARCH("SCHNAPP",C1048)),"Liqueurs",
 ISNUMBER(SEARCH("GIN",C1048)),"Gin",
 TRUE,"Other")</f>
        <v>Whiskey</v>
      </c>
      <c r="E1048" s="5">
        <v>32267</v>
      </c>
      <c r="F1048" s="5">
        <v>905177.68999998213</v>
      </c>
      <c r="G1048" s="5">
        <v>26559.699999999939</v>
      </c>
      <c r="H1048" s="5">
        <v>3472</v>
      </c>
    </row>
    <row r="1049" spans="1:8">
      <c r="A1049" s="5">
        <v>2024</v>
      </c>
      <c r="B1049" s="6">
        <v>45627</v>
      </c>
      <c r="C1049" s="5" t="s">
        <v>38</v>
      </c>
      <c r="D1049" s="3" t="str" cm="1">
        <f t="array" ref="D1049">_xlfn.IFS(
 ISNUMBER(SEARCH("WHISK",C1049)),"Whiskey",
 ISNUMBER(SEARCH("BOURBON",C1049)),"Whiskey",
 ISNUMBER(SEARCH("SCOTCH",C1049)),"Whiskey",
 ISNUMBER(SEARCH("RYE",C1049)),"Whiskey",
 ISNUMBER(SEARCH("VODKA",C1049)),"Vodka",
 ISNUMBER(SEARCH("TEQUILA",C1049)),"Tequila/Mezcal",
 ISNUMBER(SEARCH("MEZCAL",C1049)),"Tequila/Mezcal",
 ISNUMBER(SEARCH("RUM",C1049)),"Rum",
 ISNUMBER(SEARCH("BRAND",C1049)),"Brandy",
 ISNUMBER(SEARCH("COGNAC",C1049)),"Brandy",
 ISNUMBER(SEARCH("LIQUEUR",C1049)),"Liqueurs",
 ISNUMBER(SEARCH("CORDIAL",C1049)),"Liqueurs",
 ISNUMBER(SEARCH("SCHNAPP",C1049)),"Liqueurs",
 ISNUMBER(SEARCH("GIN",C1049)),"Gin",
 TRUE,"Other")</f>
        <v>Whiskey</v>
      </c>
      <c r="E1049" s="5">
        <v>20163</v>
      </c>
      <c r="F1049" s="5">
        <v>732414.34999999159</v>
      </c>
      <c r="G1049" s="5">
        <v>19705.250000000058</v>
      </c>
      <c r="H1049" s="5">
        <v>3299</v>
      </c>
    </row>
    <row r="1050" spans="1:8">
      <c r="A1050" s="5">
        <v>2024</v>
      </c>
      <c r="B1050" s="6">
        <v>45627</v>
      </c>
      <c r="C1050" s="5" t="s">
        <v>48</v>
      </c>
      <c r="D1050" s="3" t="str" cm="1">
        <f t="array" ref="D1050">_xlfn.IFS(
 ISNUMBER(SEARCH("WHISK",C1050)),"Whiskey",
 ISNUMBER(SEARCH("BOURBON",C1050)),"Whiskey",
 ISNUMBER(SEARCH("SCOTCH",C1050)),"Whiskey",
 ISNUMBER(SEARCH("RYE",C1050)),"Whiskey",
 ISNUMBER(SEARCH("VODKA",C1050)),"Vodka",
 ISNUMBER(SEARCH("TEQUILA",C1050)),"Tequila/Mezcal",
 ISNUMBER(SEARCH("MEZCAL",C1050)),"Tequila/Mezcal",
 ISNUMBER(SEARCH("RUM",C1050)),"Rum",
 ISNUMBER(SEARCH("BRAND",C1050)),"Brandy",
 ISNUMBER(SEARCH("COGNAC",C1050)),"Brandy",
 ISNUMBER(SEARCH("LIQUEUR",C1050)),"Liqueurs",
 ISNUMBER(SEARCH("CORDIAL",C1050)),"Liqueurs",
 ISNUMBER(SEARCH("SCHNAPP",C1050)),"Liqueurs",
 ISNUMBER(SEARCH("GIN",C1050)),"Gin",
 TRUE,"Other")</f>
        <v>Whiskey</v>
      </c>
      <c r="E1050" s="5">
        <v>411114</v>
      </c>
      <c r="F1050" s="5">
        <v>2374152.2900000024</v>
      </c>
      <c r="G1050" s="5">
        <v>91335.320000006279</v>
      </c>
      <c r="H1050" s="5">
        <v>15731</v>
      </c>
    </row>
    <row r="1051" spans="1:8">
      <c r="A1051" s="5">
        <v>2024</v>
      </c>
      <c r="B1051" s="6">
        <v>45627</v>
      </c>
      <c r="C1051" s="5" t="s">
        <v>50</v>
      </c>
      <c r="D1051" s="3" t="str" cm="1">
        <f t="array" ref="D1051">_xlfn.IFS(
 ISNUMBER(SEARCH("WHISK",C1051)),"Whiskey",
 ISNUMBER(SEARCH("BOURBON",C1051)),"Whiskey",
 ISNUMBER(SEARCH("SCOTCH",C1051)),"Whiskey",
 ISNUMBER(SEARCH("RYE",C1051)),"Whiskey",
 ISNUMBER(SEARCH("VODKA",C1051)),"Vodka",
 ISNUMBER(SEARCH("TEQUILA",C1051)),"Tequila/Mezcal",
 ISNUMBER(SEARCH("MEZCAL",C1051)),"Tequila/Mezcal",
 ISNUMBER(SEARCH("RUM",C1051)),"Rum",
 ISNUMBER(SEARCH("BRAND",C1051)),"Brandy",
 ISNUMBER(SEARCH("COGNAC",C1051)),"Brandy",
 ISNUMBER(SEARCH("LIQUEUR",C1051)),"Liqueurs",
 ISNUMBER(SEARCH("CORDIAL",C1051)),"Liqueurs",
 ISNUMBER(SEARCH("SCHNAPP",C1051)),"Liqueurs",
 ISNUMBER(SEARCH("GIN",C1051)),"Gin",
 TRUE,"Other")</f>
        <v>Tequila/Mezcal</v>
      </c>
      <c r="E1051" s="5">
        <v>105914</v>
      </c>
      <c r="F1051" s="5">
        <v>3143246.4799999506</v>
      </c>
      <c r="G1051" s="5">
        <v>74164.460000000836</v>
      </c>
      <c r="H1051" s="5">
        <v>13276</v>
      </c>
    </row>
    <row r="1052" spans="1:8">
      <c r="A1052" s="5">
        <v>2024</v>
      </c>
      <c r="B1052" s="6">
        <v>45627</v>
      </c>
      <c r="C1052" s="5" t="s">
        <v>7</v>
      </c>
      <c r="D1052" s="3" t="str" cm="1">
        <f t="array" ref="D1052">_xlfn.IFS(
 ISNUMBER(SEARCH("WHISK",C1052)),"Whiskey",
 ISNUMBER(SEARCH("BOURBON",C1052)),"Whiskey",
 ISNUMBER(SEARCH("SCOTCH",C1052)),"Whiskey",
 ISNUMBER(SEARCH("RYE",C1052)),"Whiskey",
 ISNUMBER(SEARCH("VODKA",C1052)),"Vodka",
 ISNUMBER(SEARCH("TEQUILA",C1052)),"Tequila/Mezcal",
 ISNUMBER(SEARCH("MEZCAL",C1052)),"Tequila/Mezcal",
 ISNUMBER(SEARCH("RUM",C1052)),"Rum",
 ISNUMBER(SEARCH("BRAND",C1052)),"Brandy",
 ISNUMBER(SEARCH("COGNAC",C1052)),"Brandy",
 ISNUMBER(SEARCH("LIQUEUR",C1052)),"Liqueurs",
 ISNUMBER(SEARCH("CORDIAL",C1052)),"Liqueurs",
 ISNUMBER(SEARCH("SCHNAPP",C1052)),"Liqueurs",
 ISNUMBER(SEARCH("GIN",C1052)),"Gin",
 TRUE,"Other")</f>
        <v>Rum</v>
      </c>
      <c r="E1052" s="5">
        <v>5413</v>
      </c>
      <c r="F1052" s="5">
        <v>117110.2000000003</v>
      </c>
      <c r="G1052" s="5">
        <v>4301.75</v>
      </c>
      <c r="H1052" s="5">
        <v>950</v>
      </c>
    </row>
    <row r="1053" spans="1:8">
      <c r="A1053" s="5">
        <v>2024</v>
      </c>
      <c r="B1053" s="6">
        <v>45627</v>
      </c>
      <c r="C1053" s="5" t="s">
        <v>8</v>
      </c>
      <c r="D1053" s="3" t="str" cm="1">
        <f t="array" ref="D1053">_xlfn.IFS(
 ISNUMBER(SEARCH("WHISK",C1053)),"Whiskey",
 ISNUMBER(SEARCH("BOURBON",C1053)),"Whiskey",
 ISNUMBER(SEARCH("SCOTCH",C1053)),"Whiskey",
 ISNUMBER(SEARCH("RYE",C1053)),"Whiskey",
 ISNUMBER(SEARCH("VODKA",C1053)),"Vodka",
 ISNUMBER(SEARCH("TEQUILA",C1053)),"Tequila/Mezcal",
 ISNUMBER(SEARCH("MEZCAL",C1053)),"Tequila/Mezcal",
 ISNUMBER(SEARCH("RUM",C1053)),"Rum",
 ISNUMBER(SEARCH("BRAND",C1053)),"Brandy",
 ISNUMBER(SEARCH("COGNAC",C1053)),"Brandy",
 ISNUMBER(SEARCH("LIQUEUR",C1053)),"Liqueurs",
 ISNUMBER(SEARCH("CORDIAL",C1053)),"Liqueurs",
 ISNUMBER(SEARCH("SCHNAPP",C1053)),"Liqueurs",
 ISNUMBER(SEARCH("GIN",C1053)),"Gin",
 TRUE,"Other")</f>
        <v>Brandy</v>
      </c>
      <c r="E1053" s="5">
        <v>66195</v>
      </c>
      <c r="F1053" s="5">
        <v>448583.44000000216</v>
      </c>
      <c r="G1053" s="5">
        <v>36393.959999999941</v>
      </c>
      <c r="H1053" s="5">
        <v>5517</v>
      </c>
    </row>
    <row r="1054" spans="1:8">
      <c r="A1054" s="5">
        <v>2024</v>
      </c>
      <c r="B1054" s="6">
        <v>45627</v>
      </c>
      <c r="C1054" s="5" t="s">
        <v>59</v>
      </c>
      <c r="D1054" s="3" t="str" cm="1">
        <f t="array" ref="D1054">_xlfn.IFS(
 ISNUMBER(SEARCH("WHISK",C1054)),"Whiskey",
 ISNUMBER(SEARCH("BOURBON",C1054)),"Whiskey",
 ISNUMBER(SEARCH("SCOTCH",C1054)),"Whiskey",
 ISNUMBER(SEARCH("RYE",C1054)),"Whiskey",
 ISNUMBER(SEARCH("VODKA",C1054)),"Vodka",
 ISNUMBER(SEARCH("TEQUILA",C1054)),"Tequila/Mezcal",
 ISNUMBER(SEARCH("MEZCAL",C1054)),"Tequila/Mezcal",
 ISNUMBER(SEARCH("RUM",C1054)),"Rum",
 ISNUMBER(SEARCH("BRAND",C1054)),"Brandy",
 ISNUMBER(SEARCH("COGNAC",C1054)),"Brandy",
 ISNUMBER(SEARCH("LIQUEUR",C1054)),"Liqueurs",
 ISNUMBER(SEARCH("CORDIAL",C1054)),"Liqueurs",
 ISNUMBER(SEARCH("SCHNAPP",C1054)),"Liqueurs",
 ISNUMBER(SEARCH("GIN",C1054)),"Gin",
 TRUE,"Other")</f>
        <v>Liqueurs</v>
      </c>
      <c r="E1054" s="5">
        <v>40166</v>
      </c>
      <c r="F1054" s="5">
        <v>464610.84999999736</v>
      </c>
      <c r="G1054" s="5">
        <v>20510.359999999087</v>
      </c>
      <c r="H1054" s="5">
        <v>6208</v>
      </c>
    </row>
    <row r="1055" spans="1:8">
      <c r="A1055" s="5">
        <v>2024</v>
      </c>
      <c r="B1055" s="6">
        <v>45627</v>
      </c>
      <c r="C1055" s="5" t="s">
        <v>11</v>
      </c>
      <c r="D1055" s="3" t="str" cm="1">
        <f t="array" ref="D1055">_xlfn.IFS(
 ISNUMBER(SEARCH("WHISK",C1055)),"Whiskey",
 ISNUMBER(SEARCH("BOURBON",C1055)),"Whiskey",
 ISNUMBER(SEARCH("SCOTCH",C1055)),"Whiskey",
 ISNUMBER(SEARCH("RYE",C1055)),"Whiskey",
 ISNUMBER(SEARCH("VODKA",C1055)),"Vodka",
 ISNUMBER(SEARCH("TEQUILA",C1055)),"Tequila/Mezcal",
 ISNUMBER(SEARCH("MEZCAL",C1055)),"Tequila/Mezcal",
 ISNUMBER(SEARCH("RUM",C1055)),"Rum",
 ISNUMBER(SEARCH("BRAND",C1055)),"Brandy",
 ISNUMBER(SEARCH("COGNAC",C1055)),"Brandy",
 ISNUMBER(SEARCH("LIQUEUR",C1055)),"Liqueurs",
 ISNUMBER(SEARCH("CORDIAL",C1055)),"Liqueurs",
 ISNUMBER(SEARCH("SCHNAPP",C1055)),"Liqueurs",
 ISNUMBER(SEARCH("GIN",C1055)),"Gin",
 TRUE,"Other")</f>
        <v>Gin</v>
      </c>
      <c r="E1055" s="5">
        <v>26273</v>
      </c>
      <c r="F1055" s="5">
        <v>237349.49000000145</v>
      </c>
      <c r="G1055" s="5">
        <v>19962.579999999976</v>
      </c>
      <c r="H1055" s="5">
        <v>2577</v>
      </c>
    </row>
    <row r="1056" spans="1:8">
      <c r="A1056" s="5">
        <v>2024</v>
      </c>
      <c r="B1056" s="6">
        <v>45627</v>
      </c>
      <c r="C1056" s="5" t="s">
        <v>12</v>
      </c>
      <c r="D1056" s="3" t="str" cm="1">
        <f t="array" ref="D1056">_xlfn.IFS(
 ISNUMBER(SEARCH("WHISK",C1056)),"Whiskey",
 ISNUMBER(SEARCH("BOURBON",C1056)),"Whiskey",
 ISNUMBER(SEARCH("SCOTCH",C1056)),"Whiskey",
 ISNUMBER(SEARCH("RYE",C1056)),"Whiskey",
 ISNUMBER(SEARCH("VODKA",C1056)),"Vodka",
 ISNUMBER(SEARCH("TEQUILA",C1056)),"Tequila/Mezcal",
 ISNUMBER(SEARCH("MEZCAL",C1056)),"Tequila/Mezcal",
 ISNUMBER(SEARCH("RUM",C1056)),"Rum",
 ISNUMBER(SEARCH("BRAND",C1056)),"Brandy",
 ISNUMBER(SEARCH("COGNAC",C1056)),"Brandy",
 ISNUMBER(SEARCH("LIQUEUR",C1056)),"Liqueurs",
 ISNUMBER(SEARCH("CORDIAL",C1056)),"Liqueurs",
 ISNUMBER(SEARCH("SCHNAPP",C1056)),"Liqueurs",
 ISNUMBER(SEARCH("GIN",C1056)),"Gin",
 TRUE,"Other")</f>
        <v>Vodka</v>
      </c>
      <c r="E1056" s="5">
        <v>82327</v>
      </c>
      <c r="F1056" s="5">
        <v>945148.27000004274</v>
      </c>
      <c r="G1056" s="5">
        <v>56977.530000000188</v>
      </c>
      <c r="H1056" s="5">
        <v>9731</v>
      </c>
    </row>
    <row r="1057" spans="1:8">
      <c r="A1057" s="5">
        <v>2024</v>
      </c>
      <c r="B1057" s="6">
        <v>45627</v>
      </c>
      <c r="C1057" s="5" t="s">
        <v>13</v>
      </c>
      <c r="D1057" s="3" t="str" cm="1">
        <f t="array" ref="D1057">_xlfn.IFS(
 ISNUMBER(SEARCH("WHISK",C1057)),"Whiskey",
 ISNUMBER(SEARCH("BOURBON",C1057)),"Whiskey",
 ISNUMBER(SEARCH("SCOTCH",C1057)),"Whiskey",
 ISNUMBER(SEARCH("RYE",C1057)),"Whiskey",
 ISNUMBER(SEARCH("VODKA",C1057)),"Vodka",
 ISNUMBER(SEARCH("TEQUILA",C1057)),"Tequila/Mezcal",
 ISNUMBER(SEARCH("MEZCAL",C1057)),"Tequila/Mezcal",
 ISNUMBER(SEARCH("RUM",C1057)),"Rum",
 ISNUMBER(SEARCH("BRAND",C1057)),"Brandy",
 ISNUMBER(SEARCH("COGNAC",C1057)),"Brandy",
 ISNUMBER(SEARCH("LIQUEUR",C1057)),"Liqueurs",
 ISNUMBER(SEARCH("CORDIAL",C1057)),"Liqueurs",
 ISNUMBER(SEARCH("SCHNAPP",C1057)),"Liqueurs",
 ISNUMBER(SEARCH("GIN",C1057)),"Gin",
 TRUE,"Other")</f>
        <v>Liqueurs</v>
      </c>
      <c r="E1057" s="5">
        <v>103982</v>
      </c>
      <c r="F1057" s="5">
        <v>745639.5199999779</v>
      </c>
      <c r="G1057" s="5">
        <v>43839.420000001162</v>
      </c>
      <c r="H1057" s="5">
        <v>8826</v>
      </c>
    </row>
    <row r="1058" spans="1:8">
      <c r="A1058" s="5">
        <v>2024</v>
      </c>
      <c r="B1058" s="6">
        <v>45627</v>
      </c>
      <c r="C1058" s="5" t="s">
        <v>17</v>
      </c>
      <c r="D1058" s="3" t="str" cm="1">
        <f t="array" ref="D1058">_xlfn.IFS(
 ISNUMBER(SEARCH("WHISK",C1058)),"Whiskey",
 ISNUMBER(SEARCH("BOURBON",C1058)),"Whiskey",
 ISNUMBER(SEARCH("SCOTCH",C1058)),"Whiskey",
 ISNUMBER(SEARCH("RYE",C1058)),"Whiskey",
 ISNUMBER(SEARCH("VODKA",C1058)),"Vodka",
 ISNUMBER(SEARCH("TEQUILA",C1058)),"Tequila/Mezcal",
 ISNUMBER(SEARCH("MEZCAL",C1058)),"Tequila/Mezcal",
 ISNUMBER(SEARCH("RUM",C1058)),"Rum",
 ISNUMBER(SEARCH("BRAND",C1058)),"Brandy",
 ISNUMBER(SEARCH("COGNAC",C1058)),"Brandy",
 ISNUMBER(SEARCH("LIQUEUR",C1058)),"Liqueurs",
 ISNUMBER(SEARCH("CORDIAL",C1058)),"Liqueurs",
 ISNUMBER(SEARCH("SCHNAPP",C1058)),"Liqueurs",
 ISNUMBER(SEARCH("GIN",C1058)),"Gin",
 TRUE,"Other")</f>
        <v>Whiskey</v>
      </c>
      <c r="E1058" s="5">
        <v>4037</v>
      </c>
      <c r="F1058" s="5">
        <v>118096.57000000008</v>
      </c>
      <c r="G1058" s="5">
        <v>3495.75</v>
      </c>
      <c r="H1058" s="5">
        <v>556</v>
      </c>
    </row>
    <row r="1059" spans="1:8">
      <c r="A1059" s="5">
        <v>2024</v>
      </c>
      <c r="B1059" s="6">
        <v>45627</v>
      </c>
      <c r="C1059" s="5" t="s">
        <v>19</v>
      </c>
      <c r="D1059" s="3" t="str" cm="1">
        <f t="array" ref="D1059">_xlfn.IFS(
 ISNUMBER(SEARCH("WHISK",C1059)),"Whiskey",
 ISNUMBER(SEARCH("BOURBON",C1059)),"Whiskey",
 ISNUMBER(SEARCH("SCOTCH",C1059)),"Whiskey",
 ISNUMBER(SEARCH("RYE",C1059)),"Whiskey",
 ISNUMBER(SEARCH("VODKA",C1059)),"Vodka",
 ISNUMBER(SEARCH("TEQUILA",C1059)),"Tequila/Mezcal",
 ISNUMBER(SEARCH("MEZCAL",C1059)),"Tequila/Mezcal",
 ISNUMBER(SEARCH("RUM",C1059)),"Rum",
 ISNUMBER(SEARCH("BRAND",C1059)),"Brandy",
 ISNUMBER(SEARCH("COGNAC",C1059)),"Brandy",
 ISNUMBER(SEARCH("LIQUEUR",C1059)),"Liqueurs",
 ISNUMBER(SEARCH("CORDIAL",C1059)),"Liqueurs",
 ISNUMBER(SEARCH("SCHNAPP",C1059)),"Liqueurs",
 ISNUMBER(SEARCH("GIN",C1059)),"Gin",
 TRUE,"Other")</f>
        <v>Other</v>
      </c>
      <c r="E1059" s="5">
        <v>54834</v>
      </c>
      <c r="F1059" s="5">
        <v>660020.24999998999</v>
      </c>
      <c r="G1059" s="5">
        <v>65239.970000000227</v>
      </c>
      <c r="H1059" s="5">
        <v>7446</v>
      </c>
    </row>
    <row r="1060" spans="1:8">
      <c r="A1060" s="5">
        <v>2024</v>
      </c>
      <c r="B1060" s="6">
        <v>45627</v>
      </c>
      <c r="C1060" s="5" t="s">
        <v>20</v>
      </c>
      <c r="D1060" s="3" t="str" cm="1">
        <f t="array" ref="D1060">_xlfn.IFS(
 ISNUMBER(SEARCH("WHISK",C1060)),"Whiskey",
 ISNUMBER(SEARCH("BOURBON",C1060)),"Whiskey",
 ISNUMBER(SEARCH("SCOTCH",C1060)),"Whiskey",
 ISNUMBER(SEARCH("RYE",C1060)),"Whiskey",
 ISNUMBER(SEARCH("VODKA",C1060)),"Vodka",
 ISNUMBER(SEARCH("TEQUILA",C1060)),"Tequila/Mezcal",
 ISNUMBER(SEARCH("MEZCAL",C1060)),"Tequila/Mezcal",
 ISNUMBER(SEARCH("RUM",C1060)),"Rum",
 ISNUMBER(SEARCH("BRAND",C1060)),"Brandy",
 ISNUMBER(SEARCH("COGNAC",C1060)),"Brandy",
 ISNUMBER(SEARCH("LIQUEUR",C1060)),"Liqueurs",
 ISNUMBER(SEARCH("CORDIAL",C1060)),"Liqueurs",
 ISNUMBER(SEARCH("SCHNAPP",C1060)),"Liqueurs",
 ISNUMBER(SEARCH("GIN",C1060)),"Gin",
 TRUE,"Other")</f>
        <v>Liqueurs</v>
      </c>
      <c r="E1060" s="5">
        <v>15979</v>
      </c>
      <c r="F1060" s="5">
        <v>334932.78000000102</v>
      </c>
      <c r="G1060" s="5">
        <v>13073.170000000016</v>
      </c>
      <c r="H1060" s="5">
        <v>1677</v>
      </c>
    </row>
    <row r="1061" spans="1:8">
      <c r="A1061" s="5">
        <v>2024</v>
      </c>
      <c r="B1061" s="6">
        <v>45627</v>
      </c>
      <c r="C1061" s="5" t="s">
        <v>25</v>
      </c>
      <c r="D1061" s="3" t="str" cm="1">
        <f t="array" ref="D1061">_xlfn.IFS(
 ISNUMBER(SEARCH("WHISK",C1061)),"Whiskey",
 ISNUMBER(SEARCH("BOURBON",C1061)),"Whiskey",
 ISNUMBER(SEARCH("SCOTCH",C1061)),"Whiskey",
 ISNUMBER(SEARCH("RYE",C1061)),"Whiskey",
 ISNUMBER(SEARCH("VODKA",C1061)),"Vodka",
 ISNUMBER(SEARCH("TEQUILA",C1061)),"Tequila/Mezcal",
 ISNUMBER(SEARCH("MEZCAL",C1061)),"Tequila/Mezcal",
 ISNUMBER(SEARCH("RUM",C1061)),"Rum",
 ISNUMBER(SEARCH("BRAND",C1061)),"Brandy",
 ISNUMBER(SEARCH("COGNAC",C1061)),"Brandy",
 ISNUMBER(SEARCH("LIQUEUR",C1061)),"Liqueurs",
 ISNUMBER(SEARCH("CORDIAL",C1061)),"Liqueurs",
 ISNUMBER(SEARCH("SCHNAPP",C1061)),"Liqueurs",
 ISNUMBER(SEARCH("GIN",C1061)),"Gin",
 TRUE,"Other")</f>
        <v>Rum</v>
      </c>
      <c r="E1061" s="5">
        <v>7409</v>
      </c>
      <c r="F1061" s="5">
        <v>104538.15999999965</v>
      </c>
      <c r="G1061" s="5">
        <v>7748.4300000000085</v>
      </c>
      <c r="H1061" s="5">
        <v>1077</v>
      </c>
    </row>
    <row r="1062" spans="1:8">
      <c r="A1062" s="5">
        <v>2024</v>
      </c>
      <c r="B1062" s="6">
        <v>45627</v>
      </c>
      <c r="C1062" s="5" t="s">
        <v>28</v>
      </c>
      <c r="D1062" s="3" t="str" cm="1">
        <f t="array" ref="D1062">_xlfn.IFS(
 ISNUMBER(SEARCH("WHISK",C1062)),"Whiskey",
 ISNUMBER(SEARCH("BOURBON",C1062)),"Whiskey",
 ISNUMBER(SEARCH("SCOTCH",C1062)),"Whiskey",
 ISNUMBER(SEARCH("RYE",C1062)),"Whiskey",
 ISNUMBER(SEARCH("VODKA",C1062)),"Vodka",
 ISNUMBER(SEARCH("TEQUILA",C1062)),"Tequila/Mezcal",
 ISNUMBER(SEARCH("MEZCAL",C1062)),"Tequila/Mezcal",
 ISNUMBER(SEARCH("RUM",C1062)),"Rum",
 ISNUMBER(SEARCH("BRAND",C1062)),"Brandy",
 ISNUMBER(SEARCH("COGNAC",C1062)),"Brandy",
 ISNUMBER(SEARCH("LIQUEUR",C1062)),"Liqueurs",
 ISNUMBER(SEARCH("CORDIAL",C1062)),"Liqueurs",
 ISNUMBER(SEARCH("SCHNAPP",C1062)),"Liqueurs",
 ISNUMBER(SEARCH("GIN",C1062)),"Gin",
 TRUE,"Other")</f>
        <v>Other</v>
      </c>
      <c r="E1062" s="5">
        <v>29231</v>
      </c>
      <c r="F1062" s="5">
        <v>217232.36000000086</v>
      </c>
      <c r="G1062" s="5">
        <v>24156.619999999981</v>
      </c>
      <c r="H1062" s="5">
        <v>955</v>
      </c>
    </row>
    <row r="1063" spans="1:8">
      <c r="A1063" s="5">
        <v>2024</v>
      </c>
      <c r="B1063" s="6">
        <v>45627</v>
      </c>
      <c r="C1063" s="5" t="s">
        <v>29</v>
      </c>
      <c r="D1063" s="3" t="str" cm="1">
        <f t="array" ref="D1063">_xlfn.IFS(
 ISNUMBER(SEARCH("WHISK",C1063)),"Whiskey",
 ISNUMBER(SEARCH("BOURBON",C1063)),"Whiskey",
 ISNUMBER(SEARCH("SCOTCH",C1063)),"Whiskey",
 ISNUMBER(SEARCH("RYE",C1063)),"Whiskey",
 ISNUMBER(SEARCH("VODKA",C1063)),"Vodka",
 ISNUMBER(SEARCH("TEQUILA",C1063)),"Tequila/Mezcal",
 ISNUMBER(SEARCH("MEZCAL",C1063)),"Tequila/Mezcal",
 ISNUMBER(SEARCH("RUM",C1063)),"Rum",
 ISNUMBER(SEARCH("BRAND",C1063)),"Brandy",
 ISNUMBER(SEARCH("COGNAC",C1063)),"Brandy",
 ISNUMBER(SEARCH("LIQUEUR",C1063)),"Liqueurs",
 ISNUMBER(SEARCH("CORDIAL",C1063)),"Liqueurs",
 ISNUMBER(SEARCH("SCHNAPP",C1063)),"Liqueurs",
 ISNUMBER(SEARCH("GIN",C1063)),"Gin",
 TRUE,"Other")</f>
        <v>Gin</v>
      </c>
      <c r="E1063" s="5">
        <v>17909</v>
      </c>
      <c r="F1063" s="5">
        <v>469603.2699999992</v>
      </c>
      <c r="G1063" s="5">
        <v>17361.290000000005</v>
      </c>
      <c r="H1063" s="5">
        <v>2132</v>
      </c>
    </row>
    <row r="1064" spans="1:8">
      <c r="A1064" s="5">
        <v>2024</v>
      </c>
      <c r="B1064" s="6">
        <v>45627</v>
      </c>
      <c r="C1064" s="5" t="s">
        <v>31</v>
      </c>
      <c r="D1064" s="3" t="str" cm="1">
        <f t="array" ref="D1064">_xlfn.IFS(
 ISNUMBER(SEARCH("WHISK",C1064)),"Whiskey",
 ISNUMBER(SEARCH("BOURBON",C1064)),"Whiskey",
 ISNUMBER(SEARCH("SCOTCH",C1064)),"Whiskey",
 ISNUMBER(SEARCH("RYE",C1064)),"Whiskey",
 ISNUMBER(SEARCH("VODKA",C1064)),"Vodka",
 ISNUMBER(SEARCH("TEQUILA",C1064)),"Tequila/Mezcal",
 ISNUMBER(SEARCH("MEZCAL",C1064)),"Tequila/Mezcal",
 ISNUMBER(SEARCH("RUM",C1064)),"Rum",
 ISNUMBER(SEARCH("BRAND",C1064)),"Brandy",
 ISNUMBER(SEARCH("COGNAC",C1064)),"Brandy",
 ISNUMBER(SEARCH("LIQUEUR",C1064)),"Liqueurs",
 ISNUMBER(SEARCH("CORDIAL",C1064)),"Liqueurs",
 ISNUMBER(SEARCH("SCHNAPP",C1064)),"Liqueurs",
 ISNUMBER(SEARCH("GIN",C1064)),"Gin",
 TRUE,"Other")</f>
        <v>Liqueurs</v>
      </c>
      <c r="E1064" s="5">
        <v>30604</v>
      </c>
      <c r="F1064" s="5">
        <v>544109.21000000229</v>
      </c>
      <c r="G1064" s="5">
        <v>26885.369999999733</v>
      </c>
      <c r="H1064" s="5">
        <v>3161</v>
      </c>
    </row>
    <row r="1065" spans="1:8">
      <c r="A1065" s="5">
        <v>2024</v>
      </c>
      <c r="B1065" s="6">
        <v>45627</v>
      </c>
      <c r="C1065" s="5" t="s">
        <v>32</v>
      </c>
      <c r="D1065" s="3" t="str" cm="1">
        <f t="array" ref="D1065">_xlfn.IFS(
 ISNUMBER(SEARCH("WHISK",C1065)),"Whiskey",
 ISNUMBER(SEARCH("BOURBON",C1065)),"Whiskey",
 ISNUMBER(SEARCH("SCOTCH",C1065)),"Whiskey",
 ISNUMBER(SEARCH("RYE",C1065)),"Whiskey",
 ISNUMBER(SEARCH("VODKA",C1065)),"Vodka",
 ISNUMBER(SEARCH("TEQUILA",C1065)),"Tequila/Mezcal",
 ISNUMBER(SEARCH("MEZCAL",C1065)),"Tequila/Mezcal",
 ISNUMBER(SEARCH("RUM",C1065)),"Rum",
 ISNUMBER(SEARCH("BRAND",C1065)),"Brandy",
 ISNUMBER(SEARCH("COGNAC",C1065)),"Brandy",
 ISNUMBER(SEARCH("LIQUEUR",C1065)),"Liqueurs",
 ISNUMBER(SEARCH("CORDIAL",C1065)),"Liqueurs",
 ISNUMBER(SEARCH("SCHNAPP",C1065)),"Liqueurs",
 ISNUMBER(SEARCH("GIN",C1065)),"Gin",
 TRUE,"Other")</f>
        <v>Vodka</v>
      </c>
      <c r="E1065" s="5">
        <v>70398</v>
      </c>
      <c r="F1065" s="5">
        <v>1134779.3499999628</v>
      </c>
      <c r="G1065" s="5">
        <v>64396.440000000453</v>
      </c>
      <c r="H1065" s="5">
        <v>5324</v>
      </c>
    </row>
    <row r="1066" spans="1:8">
      <c r="A1066" s="5">
        <v>2024</v>
      </c>
      <c r="B1066" s="6">
        <v>45627</v>
      </c>
      <c r="C1066" s="5" t="s">
        <v>35</v>
      </c>
      <c r="D1066" s="3" t="str" cm="1">
        <f t="array" ref="D1066">_xlfn.IFS(
 ISNUMBER(SEARCH("WHISK",C1066)),"Whiskey",
 ISNUMBER(SEARCH("BOURBON",C1066)),"Whiskey",
 ISNUMBER(SEARCH("SCOTCH",C1066)),"Whiskey",
 ISNUMBER(SEARCH("RYE",C1066)),"Whiskey",
 ISNUMBER(SEARCH("VODKA",C1066)),"Vodka",
 ISNUMBER(SEARCH("TEQUILA",C1066)),"Tequila/Mezcal",
 ISNUMBER(SEARCH("MEZCAL",C1066)),"Tequila/Mezcal",
 ISNUMBER(SEARCH("RUM",C1066)),"Rum",
 ISNUMBER(SEARCH("BRAND",C1066)),"Brandy",
 ISNUMBER(SEARCH("COGNAC",C1066)),"Brandy",
 ISNUMBER(SEARCH("LIQUEUR",C1066)),"Liqueurs",
 ISNUMBER(SEARCH("CORDIAL",C1066)),"Liqueurs",
 ISNUMBER(SEARCH("SCHNAPP",C1066)),"Liqueurs",
 ISNUMBER(SEARCH("GIN",C1066)),"Gin",
 TRUE,"Other")</f>
        <v>Tequila/Mezcal</v>
      </c>
      <c r="E1066" s="5">
        <v>66688</v>
      </c>
      <c r="F1066" s="5">
        <v>980145.47999999125</v>
      </c>
      <c r="G1066" s="5">
        <v>48131.899999999994</v>
      </c>
      <c r="H1066" s="5">
        <v>4678</v>
      </c>
    </row>
    <row r="1067" spans="1:8">
      <c r="A1067" s="5">
        <v>2024</v>
      </c>
      <c r="B1067" s="6">
        <v>45627</v>
      </c>
      <c r="C1067" s="5" t="s">
        <v>36</v>
      </c>
      <c r="D1067" s="3" t="str" cm="1">
        <f t="array" ref="D1067">_xlfn.IFS(
 ISNUMBER(SEARCH("WHISK",C1067)),"Whiskey",
 ISNUMBER(SEARCH("BOURBON",C1067)),"Whiskey",
 ISNUMBER(SEARCH("SCOTCH",C1067)),"Whiskey",
 ISNUMBER(SEARCH("RYE",C1067)),"Whiskey",
 ISNUMBER(SEARCH("VODKA",C1067)),"Vodka",
 ISNUMBER(SEARCH("TEQUILA",C1067)),"Tequila/Mezcal",
 ISNUMBER(SEARCH("MEZCAL",C1067)),"Tequila/Mezcal",
 ISNUMBER(SEARCH("RUM",C1067)),"Rum",
 ISNUMBER(SEARCH("BRAND",C1067)),"Brandy",
 ISNUMBER(SEARCH("COGNAC",C1067)),"Brandy",
 ISNUMBER(SEARCH("LIQUEUR",C1067)),"Liqueurs",
 ISNUMBER(SEARCH("CORDIAL",C1067)),"Liqueurs",
 ISNUMBER(SEARCH("SCHNAPP",C1067)),"Liqueurs",
 ISNUMBER(SEARCH("GIN",C1067)),"Gin",
 TRUE,"Other")</f>
        <v>Other</v>
      </c>
      <c r="E1067" s="5">
        <v>4754</v>
      </c>
      <c r="F1067" s="5">
        <v>67249.38</v>
      </c>
      <c r="G1067" s="5">
        <v>3733.5000000000014</v>
      </c>
      <c r="H1067" s="5">
        <v>562</v>
      </c>
    </row>
    <row r="1068" spans="1:8">
      <c r="A1068" s="5">
        <v>2024</v>
      </c>
      <c r="B1068" s="6">
        <v>45627</v>
      </c>
      <c r="C1068" s="5" t="s">
        <v>37</v>
      </c>
      <c r="D1068" s="3" t="str" cm="1">
        <f t="array" ref="D1068">_xlfn.IFS(
 ISNUMBER(SEARCH("WHISK",C1068)),"Whiskey",
 ISNUMBER(SEARCH("BOURBON",C1068)),"Whiskey",
 ISNUMBER(SEARCH("SCOTCH",C1068)),"Whiskey",
 ISNUMBER(SEARCH("RYE",C1068)),"Whiskey",
 ISNUMBER(SEARCH("VODKA",C1068)),"Vodka",
 ISNUMBER(SEARCH("TEQUILA",C1068)),"Tequila/Mezcal",
 ISNUMBER(SEARCH("MEZCAL",C1068)),"Tequila/Mezcal",
 ISNUMBER(SEARCH("RUM",C1068)),"Rum",
 ISNUMBER(SEARCH("BRAND",C1068)),"Brandy",
 ISNUMBER(SEARCH("COGNAC",C1068)),"Brandy",
 ISNUMBER(SEARCH("LIQUEUR",C1068)),"Liqueurs",
 ISNUMBER(SEARCH("CORDIAL",C1068)),"Liqueurs",
 ISNUMBER(SEARCH("SCHNAPP",C1068)),"Liqueurs",
 ISNUMBER(SEARCH("GIN",C1068)),"Gin",
 TRUE,"Other")</f>
        <v>Other</v>
      </c>
      <c r="E1068" s="5">
        <v>18710</v>
      </c>
      <c r="F1068" s="5">
        <v>310934.17000000371</v>
      </c>
      <c r="G1068" s="5">
        <v>9740.7999999999265</v>
      </c>
      <c r="H1068" s="5">
        <v>3881</v>
      </c>
    </row>
    <row r="1069" spans="1:8">
      <c r="A1069" s="5">
        <v>2024</v>
      </c>
      <c r="B1069" s="6">
        <v>45627</v>
      </c>
      <c r="C1069" s="5" t="s">
        <v>40</v>
      </c>
      <c r="D1069" s="3" t="str" cm="1">
        <f t="array" ref="D1069">_xlfn.IFS(
 ISNUMBER(SEARCH("WHISK",C1069)),"Whiskey",
 ISNUMBER(SEARCH("BOURBON",C1069)),"Whiskey",
 ISNUMBER(SEARCH("SCOTCH",C1069)),"Whiskey",
 ISNUMBER(SEARCH("RYE",C1069)),"Whiskey",
 ISNUMBER(SEARCH("VODKA",C1069)),"Vodka",
 ISNUMBER(SEARCH("TEQUILA",C1069)),"Tequila/Mezcal",
 ISNUMBER(SEARCH("MEZCAL",C1069)),"Tequila/Mezcal",
 ISNUMBER(SEARCH("RUM",C1069)),"Rum",
 ISNUMBER(SEARCH("BRAND",C1069)),"Brandy",
 ISNUMBER(SEARCH("COGNAC",C1069)),"Brandy",
 ISNUMBER(SEARCH("LIQUEUR",C1069)),"Liqueurs",
 ISNUMBER(SEARCH("CORDIAL",C1069)),"Liqueurs",
 ISNUMBER(SEARCH("SCHNAPP",C1069)),"Liqueurs",
 ISNUMBER(SEARCH("GIN",C1069)),"Gin",
 TRUE,"Other")</f>
        <v>Whiskey</v>
      </c>
      <c r="E1069" s="5">
        <v>7637</v>
      </c>
      <c r="F1069" s="5">
        <v>447061.60999999719</v>
      </c>
      <c r="G1069" s="5">
        <v>5855.3999999999787</v>
      </c>
      <c r="H1069" s="5">
        <v>2058</v>
      </c>
    </row>
    <row r="1070" spans="1:8">
      <c r="A1070" s="5">
        <v>2024</v>
      </c>
      <c r="B1070" s="6">
        <v>45627</v>
      </c>
      <c r="C1070" s="5" t="s">
        <v>42</v>
      </c>
      <c r="D1070" s="3" t="str" cm="1">
        <f t="array" ref="D1070">_xlfn.IFS(
 ISNUMBER(SEARCH("WHISK",C1070)),"Whiskey",
 ISNUMBER(SEARCH("BOURBON",C1070)),"Whiskey",
 ISNUMBER(SEARCH("SCOTCH",C1070)),"Whiskey",
 ISNUMBER(SEARCH("RYE",C1070)),"Whiskey",
 ISNUMBER(SEARCH("VODKA",C1070)),"Vodka",
 ISNUMBER(SEARCH("TEQUILA",C1070)),"Tequila/Mezcal",
 ISNUMBER(SEARCH("MEZCAL",C1070)),"Tequila/Mezcal",
 ISNUMBER(SEARCH("RUM",C1070)),"Rum",
 ISNUMBER(SEARCH("BRAND",C1070)),"Brandy",
 ISNUMBER(SEARCH("COGNAC",C1070)),"Brandy",
 ISNUMBER(SEARCH("LIQUEUR",C1070)),"Liqueurs",
 ISNUMBER(SEARCH("CORDIAL",C1070)),"Liqueurs",
 ISNUMBER(SEARCH("SCHNAPP",C1070)),"Liqueurs",
 ISNUMBER(SEARCH("GIN",C1070)),"Gin",
 TRUE,"Other")</f>
        <v>Rum</v>
      </c>
      <c r="E1070" s="5">
        <v>105714</v>
      </c>
      <c r="F1070" s="5">
        <v>1533304.499999882</v>
      </c>
      <c r="G1070" s="5">
        <v>93646.270000000441</v>
      </c>
      <c r="H1070" s="5">
        <v>8229</v>
      </c>
    </row>
    <row r="1071" spans="1:8">
      <c r="A1071" s="5">
        <v>2024</v>
      </c>
      <c r="B1071" s="6">
        <v>45627</v>
      </c>
      <c r="C1071" s="5" t="s">
        <v>44</v>
      </c>
      <c r="D1071" s="3" t="str" cm="1">
        <f t="array" ref="D1071">_xlfn.IFS(
 ISNUMBER(SEARCH("WHISK",C1071)),"Whiskey",
 ISNUMBER(SEARCH("BOURBON",C1071)),"Whiskey",
 ISNUMBER(SEARCH("SCOTCH",C1071)),"Whiskey",
 ISNUMBER(SEARCH("RYE",C1071)),"Whiskey",
 ISNUMBER(SEARCH("VODKA",C1071)),"Vodka",
 ISNUMBER(SEARCH("TEQUILA",C1071)),"Tequila/Mezcal",
 ISNUMBER(SEARCH("MEZCAL",C1071)),"Tequila/Mezcal",
 ISNUMBER(SEARCH("RUM",C1071)),"Rum",
 ISNUMBER(SEARCH("BRAND",C1071)),"Brandy",
 ISNUMBER(SEARCH("COGNAC",C1071)),"Brandy",
 ISNUMBER(SEARCH("LIQUEUR",C1071)),"Liqueurs",
 ISNUMBER(SEARCH("CORDIAL",C1071)),"Liqueurs",
 ISNUMBER(SEARCH("SCHNAPP",C1071)),"Liqueurs",
 ISNUMBER(SEARCH("GIN",C1071)),"Gin",
 TRUE,"Other")</f>
        <v>Whiskey</v>
      </c>
      <c r="E1071" s="5">
        <v>12486</v>
      </c>
      <c r="F1071" s="5">
        <v>369661.77999999991</v>
      </c>
      <c r="G1071" s="5">
        <v>9789.3499999999985</v>
      </c>
      <c r="H1071" s="5">
        <v>1921</v>
      </c>
    </row>
    <row r="1072" spans="1:8">
      <c r="A1072" s="5">
        <v>2024</v>
      </c>
      <c r="B1072" s="6">
        <v>45627</v>
      </c>
      <c r="C1072" s="5" t="s">
        <v>46</v>
      </c>
      <c r="D1072" s="3" t="str" cm="1">
        <f t="array" ref="D1072">_xlfn.IFS(
 ISNUMBER(SEARCH("WHISK",C1072)),"Whiskey",
 ISNUMBER(SEARCH("BOURBON",C1072)),"Whiskey",
 ISNUMBER(SEARCH("SCOTCH",C1072)),"Whiskey",
 ISNUMBER(SEARCH("RYE",C1072)),"Whiskey",
 ISNUMBER(SEARCH("VODKA",C1072)),"Vodka",
 ISNUMBER(SEARCH("TEQUILA",C1072)),"Tequila/Mezcal",
 ISNUMBER(SEARCH("MEZCAL",C1072)),"Tequila/Mezcal",
 ISNUMBER(SEARCH("RUM",C1072)),"Rum",
 ISNUMBER(SEARCH("BRAND",C1072)),"Brandy",
 ISNUMBER(SEARCH("COGNAC",C1072)),"Brandy",
 ISNUMBER(SEARCH("LIQUEUR",C1072)),"Liqueurs",
 ISNUMBER(SEARCH("CORDIAL",C1072)),"Liqueurs",
 ISNUMBER(SEARCH("SCHNAPP",C1072)),"Liqueurs",
 ISNUMBER(SEARCH("GIN",C1072)),"Gin",
 TRUE,"Other")</f>
        <v>Whiskey</v>
      </c>
      <c r="E1072" s="5">
        <v>72745</v>
      </c>
      <c r="F1072" s="5">
        <v>1633557.7599999874</v>
      </c>
      <c r="G1072" s="5">
        <v>51370.839999999844</v>
      </c>
      <c r="H1072" s="5">
        <v>7566</v>
      </c>
    </row>
    <row r="1073" spans="1:8">
      <c r="A1073" s="5">
        <v>2024</v>
      </c>
      <c r="B1073" s="6">
        <v>45627</v>
      </c>
      <c r="C1073" s="5" t="s">
        <v>47</v>
      </c>
      <c r="D1073" s="3" t="str" cm="1">
        <f t="array" ref="D1073">_xlfn.IFS(
 ISNUMBER(SEARCH("WHISK",C1073)),"Whiskey",
 ISNUMBER(SEARCH("BOURBON",C1073)),"Whiskey",
 ISNUMBER(SEARCH("SCOTCH",C1073)),"Whiskey",
 ISNUMBER(SEARCH("RYE",C1073)),"Whiskey",
 ISNUMBER(SEARCH("VODKA",C1073)),"Vodka",
 ISNUMBER(SEARCH("TEQUILA",C1073)),"Tequila/Mezcal",
 ISNUMBER(SEARCH("MEZCAL",C1073)),"Tequila/Mezcal",
 ISNUMBER(SEARCH("RUM",C1073)),"Rum",
 ISNUMBER(SEARCH("BRAND",C1073)),"Brandy",
 ISNUMBER(SEARCH("COGNAC",C1073)),"Brandy",
 ISNUMBER(SEARCH("LIQUEUR",C1073)),"Liqueurs",
 ISNUMBER(SEARCH("CORDIAL",C1073)),"Liqueurs",
 ISNUMBER(SEARCH("SCHNAPP",C1073)),"Liqueurs",
 ISNUMBER(SEARCH("GIN",C1073)),"Gin",
 TRUE,"Other")</f>
        <v>Other</v>
      </c>
      <c r="E1073" s="5">
        <v>15066</v>
      </c>
      <c r="F1073" s="5">
        <v>64106.449999999961</v>
      </c>
      <c r="G1073" s="5">
        <v>14769.25</v>
      </c>
      <c r="H1073" s="5">
        <v>754</v>
      </c>
    </row>
    <row r="1074" spans="1:8">
      <c r="A1074" s="5">
        <v>2024</v>
      </c>
      <c r="B1074" s="6">
        <v>45627</v>
      </c>
      <c r="C1074" s="5" t="s">
        <v>49</v>
      </c>
      <c r="D1074" s="3" t="str" cm="1">
        <f t="array" ref="D1074">_xlfn.IFS(
 ISNUMBER(SEARCH("WHISK",C1074)),"Whiskey",
 ISNUMBER(SEARCH("BOURBON",C1074)),"Whiskey",
 ISNUMBER(SEARCH("SCOTCH",C1074)),"Whiskey",
 ISNUMBER(SEARCH("RYE",C1074)),"Whiskey",
 ISNUMBER(SEARCH("VODKA",C1074)),"Vodka",
 ISNUMBER(SEARCH("TEQUILA",C1074)),"Tequila/Mezcal",
 ISNUMBER(SEARCH("MEZCAL",C1074)),"Tequila/Mezcal",
 ISNUMBER(SEARCH("RUM",C1074)),"Rum",
 ISNUMBER(SEARCH("BRAND",C1074)),"Brandy",
 ISNUMBER(SEARCH("COGNAC",C1074)),"Brandy",
 ISNUMBER(SEARCH("LIQUEUR",C1074)),"Liqueurs",
 ISNUMBER(SEARCH("CORDIAL",C1074)),"Liqueurs",
 ISNUMBER(SEARCH("SCHNAPP",C1074)),"Liqueurs",
 ISNUMBER(SEARCH("GIN",C1074)),"Gin",
 TRUE,"Other")</f>
        <v>Rum</v>
      </c>
      <c r="E1074" s="5">
        <v>37968</v>
      </c>
      <c r="F1074" s="5">
        <v>482111.19999999669</v>
      </c>
      <c r="G1074" s="5">
        <v>40454.709999999948</v>
      </c>
      <c r="H1074" s="5">
        <v>3712</v>
      </c>
    </row>
    <row r="1075" spans="1:8">
      <c r="A1075" s="5">
        <v>2024</v>
      </c>
      <c r="B1075" s="6">
        <v>45627</v>
      </c>
      <c r="C1075" s="5" t="s">
        <v>23</v>
      </c>
      <c r="D1075" s="3" t="str" cm="1">
        <f t="array" ref="D1075">_xlfn.IFS(
 ISNUMBER(SEARCH("WHISK",C1075)),"Whiskey",
 ISNUMBER(SEARCH("BOURBON",C1075)),"Whiskey",
 ISNUMBER(SEARCH("SCOTCH",C1075)),"Whiskey",
 ISNUMBER(SEARCH("RYE",C1075)),"Whiskey",
 ISNUMBER(SEARCH("VODKA",C1075)),"Vodka",
 ISNUMBER(SEARCH("TEQUILA",C1075)),"Tequila/Mezcal",
 ISNUMBER(SEARCH("MEZCAL",C1075)),"Tequila/Mezcal",
 ISNUMBER(SEARCH("RUM",C1075)),"Rum",
 ISNUMBER(SEARCH("BRAND",C1075)),"Brandy",
 ISNUMBER(SEARCH("COGNAC",C1075)),"Brandy",
 ISNUMBER(SEARCH("LIQUEUR",C1075)),"Liqueurs",
 ISNUMBER(SEARCH("CORDIAL",C1075)),"Liqueurs",
 ISNUMBER(SEARCH("SCHNAPP",C1075)),"Liqueurs",
 ISNUMBER(SEARCH("GIN",C1075)),"Gin",
 TRUE,"Other")</f>
        <v>Gin</v>
      </c>
      <c r="E1075" s="5">
        <v>5104</v>
      </c>
      <c r="F1075" s="5">
        <v>131857.79999999996</v>
      </c>
      <c r="G1075" s="5">
        <v>3786.7499999999995</v>
      </c>
      <c r="H1075" s="5">
        <v>499</v>
      </c>
    </row>
    <row r="1076" spans="1:8">
      <c r="A1076" s="5">
        <v>2024</v>
      </c>
      <c r="B1076" s="6">
        <v>45627</v>
      </c>
      <c r="C1076" s="5" t="s">
        <v>39</v>
      </c>
      <c r="D1076" s="3" t="str" cm="1">
        <f t="array" ref="D1076">_xlfn.IFS(
 ISNUMBER(SEARCH("WHISK",C1076)),"Whiskey",
 ISNUMBER(SEARCH("BOURBON",C1076)),"Whiskey",
 ISNUMBER(SEARCH("SCOTCH",C1076)),"Whiskey",
 ISNUMBER(SEARCH("RYE",C1076)),"Whiskey",
 ISNUMBER(SEARCH("VODKA",C1076)),"Vodka",
 ISNUMBER(SEARCH("TEQUILA",C1076)),"Tequila/Mezcal",
 ISNUMBER(SEARCH("MEZCAL",C1076)),"Tequila/Mezcal",
 ISNUMBER(SEARCH("RUM",C1076)),"Rum",
 ISNUMBER(SEARCH("BRAND",C1076)),"Brandy",
 ISNUMBER(SEARCH("COGNAC",C1076)),"Brandy",
 ISNUMBER(SEARCH("LIQUEUR",C1076)),"Liqueurs",
 ISNUMBER(SEARCH("CORDIAL",C1076)),"Liqueurs",
 ISNUMBER(SEARCH("SCHNAPP",C1076)),"Liqueurs",
 ISNUMBER(SEARCH("GIN",C1076)),"Gin",
 TRUE,"Other")</f>
        <v>Whiskey</v>
      </c>
      <c r="E1076" s="5">
        <v>5493</v>
      </c>
      <c r="F1076" s="5">
        <v>243071.57999999993</v>
      </c>
      <c r="G1076" s="5">
        <v>4119.75</v>
      </c>
      <c r="H1076" s="5">
        <v>1137</v>
      </c>
    </row>
    <row r="1077" spans="1:8">
      <c r="A1077" s="5">
        <v>2024</v>
      </c>
      <c r="B1077" s="6">
        <v>45627</v>
      </c>
      <c r="C1077" s="5" t="s">
        <v>21</v>
      </c>
      <c r="D1077" s="3" t="str" cm="1">
        <f t="array" ref="D1077">_xlfn.IFS(
 ISNUMBER(SEARCH("WHISK",C1077)),"Whiskey",
 ISNUMBER(SEARCH("BOURBON",C1077)),"Whiskey",
 ISNUMBER(SEARCH("SCOTCH",C1077)),"Whiskey",
 ISNUMBER(SEARCH("RYE",C1077)),"Whiskey",
 ISNUMBER(SEARCH("VODKA",C1077)),"Vodka",
 ISNUMBER(SEARCH("TEQUILA",C1077)),"Tequila/Mezcal",
 ISNUMBER(SEARCH("MEZCAL",C1077)),"Tequila/Mezcal",
 ISNUMBER(SEARCH("RUM",C1077)),"Rum",
 ISNUMBER(SEARCH("BRAND",C1077)),"Brandy",
 ISNUMBER(SEARCH("COGNAC",C1077)),"Brandy",
 ISNUMBER(SEARCH("LIQUEUR",C1077)),"Liqueurs",
 ISNUMBER(SEARCH("CORDIAL",C1077)),"Liqueurs",
 ISNUMBER(SEARCH("SCHNAPP",C1077)),"Liqueurs",
 ISNUMBER(SEARCH("GIN",C1077)),"Gin",
 TRUE,"Other")</f>
        <v>Whiskey</v>
      </c>
      <c r="E1077" s="5">
        <v>633</v>
      </c>
      <c r="F1077" s="5">
        <v>14428.900000000005</v>
      </c>
      <c r="G1077" s="5">
        <v>443.61</v>
      </c>
      <c r="H1077" s="5">
        <v>83</v>
      </c>
    </row>
    <row r="1078" spans="1:8">
      <c r="A1078" s="5">
        <v>2024</v>
      </c>
      <c r="B1078" s="6">
        <v>45627</v>
      </c>
      <c r="C1078" s="5" t="s">
        <v>34</v>
      </c>
      <c r="D1078" s="3" t="str" cm="1">
        <f t="array" ref="D1078">_xlfn.IFS(
 ISNUMBER(SEARCH("WHISK",C1078)),"Whiskey",
 ISNUMBER(SEARCH("BOURBON",C1078)),"Whiskey",
 ISNUMBER(SEARCH("SCOTCH",C1078)),"Whiskey",
 ISNUMBER(SEARCH("RYE",C1078)),"Whiskey",
 ISNUMBER(SEARCH("VODKA",C1078)),"Vodka",
 ISNUMBER(SEARCH("TEQUILA",C1078)),"Tequila/Mezcal",
 ISNUMBER(SEARCH("MEZCAL",C1078)),"Tequila/Mezcal",
 ISNUMBER(SEARCH("RUM",C1078)),"Rum",
 ISNUMBER(SEARCH("BRAND",C1078)),"Brandy",
 ISNUMBER(SEARCH("COGNAC",C1078)),"Brandy",
 ISNUMBER(SEARCH("LIQUEUR",C1078)),"Liqueurs",
 ISNUMBER(SEARCH("CORDIAL",C1078)),"Liqueurs",
 ISNUMBER(SEARCH("SCHNAPP",C1078)),"Liqueurs",
 ISNUMBER(SEARCH("GIN",C1078)),"Gin",
 TRUE,"Other")</f>
        <v>Tequila/Mezcal</v>
      </c>
      <c r="E1078" s="5">
        <v>1256</v>
      </c>
      <c r="F1078" s="5">
        <v>38757.939999999981</v>
      </c>
      <c r="G1078" s="5">
        <v>945.5</v>
      </c>
      <c r="H1078" s="5">
        <v>279</v>
      </c>
    </row>
    <row r="1079" spans="1:8">
      <c r="A1079" s="5">
        <v>2024</v>
      </c>
      <c r="B1079" s="6">
        <v>45627</v>
      </c>
      <c r="C1079" s="5" t="s">
        <v>41</v>
      </c>
      <c r="D1079" s="3" t="str" cm="1">
        <f t="array" ref="D1079">_xlfn.IFS(
 ISNUMBER(SEARCH("WHISK",C1079)),"Whiskey",
 ISNUMBER(SEARCH("BOURBON",C1079)),"Whiskey",
 ISNUMBER(SEARCH("SCOTCH",C1079)),"Whiskey",
 ISNUMBER(SEARCH("RYE",C1079)),"Whiskey",
 ISNUMBER(SEARCH("VODKA",C1079)),"Vodka",
 ISNUMBER(SEARCH("TEQUILA",C1079)),"Tequila/Mezcal",
 ISNUMBER(SEARCH("MEZCAL",C1079)),"Tequila/Mezcal",
 ISNUMBER(SEARCH("RUM",C1079)),"Rum",
 ISNUMBER(SEARCH("BRAND",C1079)),"Brandy",
 ISNUMBER(SEARCH("COGNAC",C1079)),"Brandy",
 ISNUMBER(SEARCH("LIQUEUR",C1079)),"Liqueurs",
 ISNUMBER(SEARCH("CORDIAL",C1079)),"Liqueurs",
 ISNUMBER(SEARCH("SCHNAPP",C1079)),"Liqueurs",
 ISNUMBER(SEARCH("GIN",C1079)),"Gin",
 TRUE,"Other")</f>
        <v>Other</v>
      </c>
      <c r="E1079" s="5">
        <v>5259</v>
      </c>
      <c r="F1079" s="5">
        <v>68006.58</v>
      </c>
      <c r="G1079" s="5">
        <v>8399.5</v>
      </c>
      <c r="H1079" s="5">
        <v>151</v>
      </c>
    </row>
    <row r="1080" spans="1:8">
      <c r="A1080" s="5">
        <v>2024</v>
      </c>
      <c r="B1080" s="6">
        <v>45627</v>
      </c>
      <c r="C1080" s="5" t="s">
        <v>14</v>
      </c>
      <c r="D1080" s="3" t="str" cm="1">
        <f t="array" ref="D1080">_xlfn.IFS(
 ISNUMBER(SEARCH("WHISK",C1080)),"Whiskey",
 ISNUMBER(SEARCH("BOURBON",C1080)),"Whiskey",
 ISNUMBER(SEARCH("SCOTCH",C1080)),"Whiskey",
 ISNUMBER(SEARCH("RYE",C1080)),"Whiskey",
 ISNUMBER(SEARCH("VODKA",C1080)),"Vodka",
 ISNUMBER(SEARCH("TEQUILA",C1080)),"Tequila/Mezcal",
 ISNUMBER(SEARCH("MEZCAL",C1080)),"Tequila/Mezcal",
 ISNUMBER(SEARCH("RUM",C1080)),"Rum",
 ISNUMBER(SEARCH("BRAND",C1080)),"Brandy",
 ISNUMBER(SEARCH("COGNAC",C1080)),"Brandy",
 ISNUMBER(SEARCH("LIQUEUR",C1080)),"Liqueurs",
 ISNUMBER(SEARCH("CORDIAL",C1080)),"Liqueurs",
 ISNUMBER(SEARCH("SCHNAPP",C1080)),"Liqueurs",
 ISNUMBER(SEARCH("GIN",C1080)),"Gin",
 TRUE,"Other")</f>
        <v>Gin</v>
      </c>
      <c r="E1080" s="5">
        <v>276</v>
      </c>
      <c r="F1080" s="5">
        <v>2357.0399999999981</v>
      </c>
      <c r="G1080" s="5">
        <v>276</v>
      </c>
      <c r="H1080" s="5">
        <v>57</v>
      </c>
    </row>
    <row r="1081" spans="1:8">
      <c r="A1081" s="5">
        <v>2022</v>
      </c>
      <c r="B1081" s="6">
        <v>44562</v>
      </c>
      <c r="C1081" s="5" t="s">
        <v>50</v>
      </c>
      <c r="D1081" s="3" t="str" cm="1">
        <f t="array" ref="D1081">_xlfn.IFS(
 ISNUMBER(SEARCH("WHISK",C1081)),"Whiskey",
 ISNUMBER(SEARCH("BOURBON",C1081)),"Whiskey",
 ISNUMBER(SEARCH("SCOTCH",C1081)),"Whiskey",
 ISNUMBER(SEARCH("RYE",C1081)),"Whiskey",
 ISNUMBER(SEARCH("VODKA",C1081)),"Vodka",
 ISNUMBER(SEARCH("TEQUILA",C1081)),"Tequila/Mezcal",
 ISNUMBER(SEARCH("MEZCAL",C1081)),"Tequila/Mezcal",
 ISNUMBER(SEARCH("RUM",C1081)),"Rum",
 ISNUMBER(SEARCH("BRAND",C1081)),"Brandy",
 ISNUMBER(SEARCH("COGNAC",C1081)),"Brandy",
 ISNUMBER(SEARCH("LIQUEUR",C1081)),"Liqueurs",
 ISNUMBER(SEARCH("CORDIAL",C1081)),"Liqueurs",
 ISNUMBER(SEARCH("SCHNAPP",C1081)),"Liqueurs",
 ISNUMBER(SEARCH("GIN",C1081)),"Gin",
 TRUE,"Other")</f>
        <v>Tequila/Mezcal</v>
      </c>
      <c r="E1081" s="5">
        <v>50549</v>
      </c>
      <c r="F1081" s="5">
        <v>1443274.889999968</v>
      </c>
      <c r="G1081" s="5"/>
      <c r="H1081" s="5">
        <v>5596</v>
      </c>
    </row>
    <row r="1082" spans="1:8">
      <c r="A1082" s="5">
        <v>2022</v>
      </c>
      <c r="B1082" s="6">
        <v>44562</v>
      </c>
      <c r="C1082" s="5" t="s">
        <v>7</v>
      </c>
      <c r="D1082" s="3" t="str" cm="1">
        <f t="array" ref="D1082">_xlfn.IFS(
 ISNUMBER(SEARCH("WHISK",C1082)),"Whiskey",
 ISNUMBER(SEARCH("BOURBON",C1082)),"Whiskey",
 ISNUMBER(SEARCH("SCOTCH",C1082)),"Whiskey",
 ISNUMBER(SEARCH("RYE",C1082)),"Whiskey",
 ISNUMBER(SEARCH("VODKA",C1082)),"Vodka",
 ISNUMBER(SEARCH("TEQUILA",C1082)),"Tequila/Mezcal",
 ISNUMBER(SEARCH("MEZCAL",C1082)),"Tequila/Mezcal",
 ISNUMBER(SEARCH("RUM",C1082)),"Rum",
 ISNUMBER(SEARCH("BRAND",C1082)),"Brandy",
 ISNUMBER(SEARCH("COGNAC",C1082)),"Brandy",
 ISNUMBER(SEARCH("LIQUEUR",C1082)),"Liqueurs",
 ISNUMBER(SEARCH("CORDIAL",C1082)),"Liqueurs",
 ISNUMBER(SEARCH("SCHNAPP",C1082)),"Liqueurs",
 ISNUMBER(SEARCH("GIN",C1082)),"Gin",
 TRUE,"Other")</f>
        <v>Rum</v>
      </c>
      <c r="E1082" s="5">
        <v>3840</v>
      </c>
      <c r="F1082" s="5">
        <v>79755.800000000105</v>
      </c>
      <c r="G1082" s="5"/>
      <c r="H1082" s="5">
        <v>674</v>
      </c>
    </row>
    <row r="1083" spans="1:8">
      <c r="A1083" s="5">
        <v>2022</v>
      </c>
      <c r="B1083" s="6">
        <v>44562</v>
      </c>
      <c r="C1083" s="5" t="s">
        <v>8</v>
      </c>
      <c r="D1083" s="3" t="str" cm="1">
        <f t="array" ref="D1083">_xlfn.IFS(
 ISNUMBER(SEARCH("WHISK",C1083)),"Whiskey",
 ISNUMBER(SEARCH("BOURBON",C1083)),"Whiskey",
 ISNUMBER(SEARCH("SCOTCH",C1083)),"Whiskey",
 ISNUMBER(SEARCH("RYE",C1083)),"Whiskey",
 ISNUMBER(SEARCH("VODKA",C1083)),"Vodka",
 ISNUMBER(SEARCH("TEQUILA",C1083)),"Tequila/Mezcal",
 ISNUMBER(SEARCH("MEZCAL",C1083)),"Tequila/Mezcal",
 ISNUMBER(SEARCH("RUM",C1083)),"Rum",
 ISNUMBER(SEARCH("BRAND",C1083)),"Brandy",
 ISNUMBER(SEARCH("COGNAC",C1083)),"Brandy",
 ISNUMBER(SEARCH("LIQUEUR",C1083)),"Liqueurs",
 ISNUMBER(SEARCH("CORDIAL",C1083)),"Liqueurs",
 ISNUMBER(SEARCH("SCHNAPP",C1083)),"Liqueurs",
 ISNUMBER(SEARCH("GIN",C1083)),"Gin",
 TRUE,"Other")</f>
        <v>Brandy</v>
      </c>
      <c r="E1083" s="5">
        <v>61714</v>
      </c>
      <c r="F1083" s="5">
        <v>407451.14000000065</v>
      </c>
      <c r="G1083" s="5"/>
      <c r="H1083" s="5">
        <v>5407</v>
      </c>
    </row>
    <row r="1084" spans="1:8">
      <c r="A1084" s="5">
        <v>2022</v>
      </c>
      <c r="B1084" s="6">
        <v>44562</v>
      </c>
      <c r="C1084" s="5" t="s">
        <v>10</v>
      </c>
      <c r="D1084" s="3" t="str" cm="1">
        <f t="array" ref="D1084">_xlfn.IFS(
 ISNUMBER(SEARCH("WHISK",C1084)),"Whiskey",
 ISNUMBER(SEARCH("BOURBON",C1084)),"Whiskey",
 ISNUMBER(SEARCH("SCOTCH",C1084)),"Whiskey",
 ISNUMBER(SEARCH("RYE",C1084)),"Whiskey",
 ISNUMBER(SEARCH("VODKA",C1084)),"Vodka",
 ISNUMBER(SEARCH("TEQUILA",C1084)),"Tequila/Mezcal",
 ISNUMBER(SEARCH("MEZCAL",C1084)),"Tequila/Mezcal",
 ISNUMBER(SEARCH("RUM",C1084)),"Rum",
 ISNUMBER(SEARCH("BRAND",C1084)),"Brandy",
 ISNUMBER(SEARCH("COGNAC",C1084)),"Brandy",
 ISNUMBER(SEARCH("LIQUEUR",C1084)),"Liqueurs",
 ISNUMBER(SEARCH("CORDIAL",C1084)),"Liqueurs",
 ISNUMBER(SEARCH("SCHNAPP",C1084)),"Liqueurs",
 ISNUMBER(SEARCH("GIN",C1084)),"Gin",
 TRUE,"Other")</f>
        <v>Other</v>
      </c>
      <c r="E1084" s="5">
        <v>4903</v>
      </c>
      <c r="F1084" s="5">
        <v>88699.479999999618</v>
      </c>
      <c r="G1084" s="5"/>
      <c r="H1084" s="5">
        <v>736</v>
      </c>
    </row>
    <row r="1085" spans="1:8">
      <c r="A1085" s="5">
        <v>2022</v>
      </c>
      <c r="B1085" s="6">
        <v>44562</v>
      </c>
      <c r="C1085" s="5" t="s">
        <v>11</v>
      </c>
      <c r="D1085" s="3" t="str" cm="1">
        <f t="array" ref="D1085">_xlfn.IFS(
 ISNUMBER(SEARCH("WHISK",C1085)),"Whiskey",
 ISNUMBER(SEARCH("BOURBON",C1085)),"Whiskey",
 ISNUMBER(SEARCH("SCOTCH",C1085)),"Whiskey",
 ISNUMBER(SEARCH("RYE",C1085)),"Whiskey",
 ISNUMBER(SEARCH("VODKA",C1085)),"Vodka",
 ISNUMBER(SEARCH("TEQUILA",C1085)),"Tequila/Mezcal",
 ISNUMBER(SEARCH("MEZCAL",C1085)),"Tequila/Mezcal",
 ISNUMBER(SEARCH("RUM",C1085)),"Rum",
 ISNUMBER(SEARCH("BRAND",C1085)),"Brandy",
 ISNUMBER(SEARCH("COGNAC",C1085)),"Brandy",
 ISNUMBER(SEARCH("LIQUEUR",C1085)),"Liqueurs",
 ISNUMBER(SEARCH("CORDIAL",C1085)),"Liqueurs",
 ISNUMBER(SEARCH("SCHNAPP",C1085)),"Liqueurs",
 ISNUMBER(SEARCH("GIN",C1085)),"Gin",
 TRUE,"Other")</f>
        <v>Gin</v>
      </c>
      <c r="E1085" s="5">
        <v>20425</v>
      </c>
      <c r="F1085" s="5">
        <v>228747.06000000035</v>
      </c>
      <c r="G1085" s="5"/>
      <c r="H1085" s="5">
        <v>2279</v>
      </c>
    </row>
    <row r="1086" spans="1:8">
      <c r="A1086" s="5">
        <v>2022</v>
      </c>
      <c r="B1086" s="6">
        <v>44562</v>
      </c>
      <c r="C1086" s="5" t="s">
        <v>12</v>
      </c>
      <c r="D1086" s="3" t="str" cm="1">
        <f t="array" ref="D1086">_xlfn.IFS(
 ISNUMBER(SEARCH("WHISK",C1086)),"Whiskey",
 ISNUMBER(SEARCH("BOURBON",C1086)),"Whiskey",
 ISNUMBER(SEARCH("SCOTCH",C1086)),"Whiskey",
 ISNUMBER(SEARCH("RYE",C1086)),"Whiskey",
 ISNUMBER(SEARCH("VODKA",C1086)),"Vodka",
 ISNUMBER(SEARCH("TEQUILA",C1086)),"Tequila/Mezcal",
 ISNUMBER(SEARCH("MEZCAL",C1086)),"Tequila/Mezcal",
 ISNUMBER(SEARCH("RUM",C1086)),"Rum",
 ISNUMBER(SEARCH("BRAND",C1086)),"Brandy",
 ISNUMBER(SEARCH("COGNAC",C1086)),"Brandy",
 ISNUMBER(SEARCH("LIQUEUR",C1086)),"Liqueurs",
 ISNUMBER(SEARCH("CORDIAL",C1086)),"Liqueurs",
 ISNUMBER(SEARCH("SCHNAPP",C1086)),"Liqueurs",
 ISNUMBER(SEARCH("GIN",C1086)),"Gin",
 TRUE,"Other")</f>
        <v>Vodka</v>
      </c>
      <c r="E1086" s="5">
        <v>63611</v>
      </c>
      <c r="F1086" s="5">
        <v>676141.99000002095</v>
      </c>
      <c r="G1086" s="5"/>
      <c r="H1086" s="5">
        <v>8028</v>
      </c>
    </row>
    <row r="1087" spans="1:8">
      <c r="A1087" s="5">
        <v>2022</v>
      </c>
      <c r="B1087" s="6">
        <v>44562</v>
      </c>
      <c r="C1087" s="5" t="s">
        <v>13</v>
      </c>
      <c r="D1087" s="3" t="str" cm="1">
        <f t="array" ref="D1087">_xlfn.IFS(
 ISNUMBER(SEARCH("WHISK",C1087)),"Whiskey",
 ISNUMBER(SEARCH("BOURBON",C1087)),"Whiskey",
 ISNUMBER(SEARCH("SCOTCH",C1087)),"Whiskey",
 ISNUMBER(SEARCH("RYE",C1087)),"Whiskey",
 ISNUMBER(SEARCH("VODKA",C1087)),"Vodka",
 ISNUMBER(SEARCH("TEQUILA",C1087)),"Tequila/Mezcal",
 ISNUMBER(SEARCH("MEZCAL",C1087)),"Tequila/Mezcal",
 ISNUMBER(SEARCH("RUM",C1087)),"Rum",
 ISNUMBER(SEARCH("BRAND",C1087)),"Brandy",
 ISNUMBER(SEARCH("COGNAC",C1087)),"Brandy",
 ISNUMBER(SEARCH("LIQUEUR",C1087)),"Liqueurs",
 ISNUMBER(SEARCH("CORDIAL",C1087)),"Liqueurs",
 ISNUMBER(SEARCH("SCHNAPP",C1087)),"Liqueurs",
 ISNUMBER(SEARCH("GIN",C1087)),"Gin",
 TRUE,"Other")</f>
        <v>Liqueurs</v>
      </c>
      <c r="E1087" s="5">
        <v>55064</v>
      </c>
      <c r="F1087" s="5">
        <v>426143.70999999205</v>
      </c>
      <c r="G1087" s="5"/>
      <c r="H1087" s="5">
        <v>6165</v>
      </c>
    </row>
    <row r="1088" spans="1:8">
      <c r="A1088" s="5">
        <v>2022</v>
      </c>
      <c r="B1088" s="6">
        <v>44562</v>
      </c>
      <c r="C1088" s="5" t="s">
        <v>16</v>
      </c>
      <c r="D1088" s="3" t="str" cm="1">
        <f t="array" ref="D1088">_xlfn.IFS(
 ISNUMBER(SEARCH("WHISK",C1088)),"Whiskey",
 ISNUMBER(SEARCH("BOURBON",C1088)),"Whiskey",
 ISNUMBER(SEARCH("SCOTCH",C1088)),"Whiskey",
 ISNUMBER(SEARCH("RYE",C1088)),"Whiskey",
 ISNUMBER(SEARCH("VODKA",C1088)),"Vodka",
 ISNUMBER(SEARCH("TEQUILA",C1088)),"Tequila/Mezcal",
 ISNUMBER(SEARCH("MEZCAL",C1088)),"Tequila/Mezcal",
 ISNUMBER(SEARCH("RUM",C1088)),"Rum",
 ISNUMBER(SEARCH("BRAND",C1088)),"Brandy",
 ISNUMBER(SEARCH("COGNAC",C1088)),"Brandy",
 ISNUMBER(SEARCH("LIQUEUR",C1088)),"Liqueurs",
 ISNUMBER(SEARCH("CORDIAL",C1088)),"Liqueurs",
 ISNUMBER(SEARCH("SCHNAPP",C1088)),"Liqueurs",
 ISNUMBER(SEARCH("GIN",C1088)),"Gin",
 TRUE,"Other")</f>
        <v>Whiskey</v>
      </c>
      <c r="E1088" s="5">
        <v>66930</v>
      </c>
      <c r="F1088" s="5">
        <v>841707.98000000499</v>
      </c>
      <c r="G1088" s="5"/>
      <c r="H1088" s="5">
        <v>7940</v>
      </c>
    </row>
    <row r="1089" spans="1:8">
      <c r="A1089" s="5">
        <v>2022</v>
      </c>
      <c r="B1089" s="6">
        <v>44562</v>
      </c>
      <c r="C1089" s="5" t="s">
        <v>18</v>
      </c>
      <c r="D1089" s="3" t="str" cm="1">
        <f t="array" ref="D1089">_xlfn.IFS(
 ISNUMBER(SEARCH("WHISK",C1089)),"Whiskey",
 ISNUMBER(SEARCH("BOURBON",C1089)),"Whiskey",
 ISNUMBER(SEARCH("SCOTCH",C1089)),"Whiskey",
 ISNUMBER(SEARCH("RYE",C1089)),"Whiskey",
 ISNUMBER(SEARCH("VODKA",C1089)),"Vodka",
 ISNUMBER(SEARCH("TEQUILA",C1089)),"Tequila/Mezcal",
 ISNUMBER(SEARCH("MEZCAL",C1089)),"Tequila/Mezcal",
 ISNUMBER(SEARCH("RUM",C1089)),"Rum",
 ISNUMBER(SEARCH("BRAND",C1089)),"Brandy",
 ISNUMBER(SEARCH("COGNAC",C1089)),"Brandy",
 ISNUMBER(SEARCH("LIQUEUR",C1089)),"Liqueurs",
 ISNUMBER(SEARCH("CORDIAL",C1089)),"Liqueurs",
 ISNUMBER(SEARCH("SCHNAPP",C1089)),"Liqueurs",
 ISNUMBER(SEARCH("GIN",C1089)),"Gin",
 TRUE,"Other")</f>
        <v>Whiskey</v>
      </c>
      <c r="E1089" s="5">
        <v>197568</v>
      </c>
      <c r="F1089" s="5">
        <v>2930227.6000001025</v>
      </c>
      <c r="G1089" s="5"/>
      <c r="H1089" s="5">
        <v>17031</v>
      </c>
    </row>
    <row r="1090" spans="1:8">
      <c r="A1090" s="5">
        <v>2022</v>
      </c>
      <c r="B1090" s="6">
        <v>44562</v>
      </c>
      <c r="C1090" s="5" t="s">
        <v>19</v>
      </c>
      <c r="D1090" s="3" t="str" cm="1">
        <f t="array" ref="D1090">_xlfn.IFS(
 ISNUMBER(SEARCH("WHISK",C1090)),"Whiskey",
 ISNUMBER(SEARCH("BOURBON",C1090)),"Whiskey",
 ISNUMBER(SEARCH("SCOTCH",C1090)),"Whiskey",
 ISNUMBER(SEARCH("RYE",C1090)),"Whiskey",
 ISNUMBER(SEARCH("VODKA",C1090)),"Vodka",
 ISNUMBER(SEARCH("TEQUILA",C1090)),"Tequila/Mezcal",
 ISNUMBER(SEARCH("MEZCAL",C1090)),"Tequila/Mezcal",
 ISNUMBER(SEARCH("RUM",C1090)),"Rum",
 ISNUMBER(SEARCH("BRAND",C1090)),"Brandy",
 ISNUMBER(SEARCH("COGNAC",C1090)),"Brandy",
 ISNUMBER(SEARCH("LIQUEUR",C1090)),"Liqueurs",
 ISNUMBER(SEARCH("CORDIAL",C1090)),"Liqueurs",
 ISNUMBER(SEARCH("SCHNAPP",C1090)),"Liqueurs",
 ISNUMBER(SEARCH("GIN",C1090)),"Gin",
 TRUE,"Other")</f>
        <v>Other</v>
      </c>
      <c r="E1090" s="5">
        <v>34095</v>
      </c>
      <c r="F1090" s="5">
        <v>388368.20999998838</v>
      </c>
      <c r="G1090" s="5"/>
      <c r="H1090" s="5">
        <v>4933</v>
      </c>
    </row>
    <row r="1091" spans="1:8">
      <c r="A1091" s="5">
        <v>2022</v>
      </c>
      <c r="B1091" s="6">
        <v>44562</v>
      </c>
      <c r="C1091" s="5" t="s">
        <v>20</v>
      </c>
      <c r="D1091" s="3" t="str" cm="1">
        <f t="array" ref="D1091">_xlfn.IFS(
 ISNUMBER(SEARCH("WHISK",C1091)),"Whiskey",
 ISNUMBER(SEARCH("BOURBON",C1091)),"Whiskey",
 ISNUMBER(SEARCH("SCOTCH",C1091)),"Whiskey",
 ISNUMBER(SEARCH("RYE",C1091)),"Whiskey",
 ISNUMBER(SEARCH("VODKA",C1091)),"Vodka",
 ISNUMBER(SEARCH("TEQUILA",C1091)),"Tequila/Mezcal",
 ISNUMBER(SEARCH("MEZCAL",C1091)),"Tequila/Mezcal",
 ISNUMBER(SEARCH("RUM",C1091)),"Rum",
 ISNUMBER(SEARCH("BRAND",C1091)),"Brandy",
 ISNUMBER(SEARCH("COGNAC",C1091)),"Brandy",
 ISNUMBER(SEARCH("LIQUEUR",C1091)),"Liqueurs",
 ISNUMBER(SEARCH("CORDIAL",C1091)),"Liqueurs",
 ISNUMBER(SEARCH("SCHNAPP",C1091)),"Liqueurs",
 ISNUMBER(SEARCH("GIN",C1091)),"Gin",
 TRUE,"Other")</f>
        <v>Liqueurs</v>
      </c>
      <c r="E1091" s="5">
        <v>7441</v>
      </c>
      <c r="F1091" s="5">
        <v>140008.21000000098</v>
      </c>
      <c r="G1091" s="5"/>
      <c r="H1091" s="5">
        <v>815</v>
      </c>
    </row>
    <row r="1092" spans="1:8">
      <c r="A1092" s="5">
        <v>2022</v>
      </c>
      <c r="B1092" s="6">
        <v>44562</v>
      </c>
      <c r="C1092" s="5" t="s">
        <v>22</v>
      </c>
      <c r="D1092" s="3" t="str" cm="1">
        <f t="array" ref="D1092">_xlfn.IFS(
 ISNUMBER(SEARCH("WHISK",C1092)),"Whiskey",
 ISNUMBER(SEARCH("BOURBON",C1092)),"Whiskey",
 ISNUMBER(SEARCH("SCOTCH",C1092)),"Whiskey",
 ISNUMBER(SEARCH("RYE",C1092)),"Whiskey",
 ISNUMBER(SEARCH("VODKA",C1092)),"Vodka",
 ISNUMBER(SEARCH("TEQUILA",C1092)),"Tequila/Mezcal",
 ISNUMBER(SEARCH("MEZCAL",C1092)),"Tequila/Mezcal",
 ISNUMBER(SEARCH("RUM",C1092)),"Rum",
 ISNUMBER(SEARCH("BRAND",C1092)),"Brandy",
 ISNUMBER(SEARCH("COGNAC",C1092)),"Brandy",
 ISNUMBER(SEARCH("LIQUEUR",C1092)),"Liqueurs",
 ISNUMBER(SEARCH("CORDIAL",C1092)),"Liqueurs",
 ISNUMBER(SEARCH("SCHNAPP",C1092)),"Liqueurs",
 ISNUMBER(SEARCH("GIN",C1092)),"Gin",
 TRUE,"Other")</f>
        <v>Liqueurs</v>
      </c>
      <c r="E1092" s="5">
        <v>34245</v>
      </c>
      <c r="F1092" s="5">
        <v>684970.11999998905</v>
      </c>
      <c r="G1092" s="5"/>
      <c r="H1092" s="5">
        <v>5192</v>
      </c>
    </row>
    <row r="1093" spans="1:8">
      <c r="A1093" s="5">
        <v>2022</v>
      </c>
      <c r="B1093" s="6">
        <v>44562</v>
      </c>
      <c r="C1093" s="5" t="s">
        <v>24</v>
      </c>
      <c r="D1093" s="3" t="str" cm="1">
        <f t="array" ref="D1093">_xlfn.IFS(
 ISNUMBER(SEARCH("WHISK",C1093)),"Whiskey",
 ISNUMBER(SEARCH("BOURBON",C1093)),"Whiskey",
 ISNUMBER(SEARCH("SCOTCH",C1093)),"Whiskey",
 ISNUMBER(SEARCH("RYE",C1093)),"Whiskey",
 ISNUMBER(SEARCH("VODKA",C1093)),"Vodka",
 ISNUMBER(SEARCH("TEQUILA",C1093)),"Tequila/Mezcal",
 ISNUMBER(SEARCH("MEZCAL",C1093)),"Tequila/Mezcal",
 ISNUMBER(SEARCH("RUM",C1093)),"Rum",
 ISNUMBER(SEARCH("BRAND",C1093)),"Brandy",
 ISNUMBER(SEARCH("COGNAC",C1093)),"Brandy",
 ISNUMBER(SEARCH("LIQUEUR",C1093)),"Liqueurs",
 ISNUMBER(SEARCH("CORDIAL",C1093)),"Liqueurs",
 ISNUMBER(SEARCH("SCHNAPP",C1093)),"Liqueurs",
 ISNUMBER(SEARCH("GIN",C1093)),"Gin",
 TRUE,"Other")</f>
        <v>Rum</v>
      </c>
      <c r="E1093" s="5">
        <v>34669</v>
      </c>
      <c r="F1093" s="5">
        <v>490503.26000000257</v>
      </c>
      <c r="G1093" s="5"/>
      <c r="H1093" s="5">
        <v>3826</v>
      </c>
    </row>
    <row r="1094" spans="1:8">
      <c r="A1094" s="5">
        <v>2022</v>
      </c>
      <c r="B1094" s="6">
        <v>44562</v>
      </c>
      <c r="C1094" s="5" t="s">
        <v>25</v>
      </c>
      <c r="D1094" s="3" t="str" cm="1">
        <f t="array" ref="D1094">_xlfn.IFS(
 ISNUMBER(SEARCH("WHISK",C1094)),"Whiskey",
 ISNUMBER(SEARCH("BOURBON",C1094)),"Whiskey",
 ISNUMBER(SEARCH("SCOTCH",C1094)),"Whiskey",
 ISNUMBER(SEARCH("RYE",C1094)),"Whiskey",
 ISNUMBER(SEARCH("VODKA",C1094)),"Vodka",
 ISNUMBER(SEARCH("TEQUILA",C1094)),"Tequila/Mezcal",
 ISNUMBER(SEARCH("MEZCAL",C1094)),"Tequila/Mezcal",
 ISNUMBER(SEARCH("RUM",C1094)),"Rum",
 ISNUMBER(SEARCH("BRAND",C1094)),"Brandy",
 ISNUMBER(SEARCH("COGNAC",C1094)),"Brandy",
 ISNUMBER(SEARCH("LIQUEUR",C1094)),"Liqueurs",
 ISNUMBER(SEARCH("CORDIAL",C1094)),"Liqueurs",
 ISNUMBER(SEARCH("SCHNAPP",C1094)),"Liqueurs",
 ISNUMBER(SEARCH("GIN",C1094)),"Gin",
 TRUE,"Other")</f>
        <v>Rum</v>
      </c>
      <c r="E1094" s="5">
        <v>5479</v>
      </c>
      <c r="F1094" s="5">
        <v>63659.389999999919</v>
      </c>
      <c r="G1094" s="5"/>
      <c r="H1094" s="5">
        <v>904</v>
      </c>
    </row>
    <row r="1095" spans="1:8">
      <c r="A1095" s="5">
        <v>2022</v>
      </c>
      <c r="B1095" s="6">
        <v>44562</v>
      </c>
      <c r="C1095" s="5" t="s">
        <v>60</v>
      </c>
      <c r="D1095" s="3" t="str" cm="1">
        <f t="array" ref="D1095">_xlfn.IFS(
 ISNUMBER(SEARCH("WHISK",C1095)),"Whiskey",
 ISNUMBER(SEARCH("BOURBON",C1095)),"Whiskey",
 ISNUMBER(SEARCH("SCOTCH",C1095)),"Whiskey",
 ISNUMBER(SEARCH("RYE",C1095)),"Whiskey",
 ISNUMBER(SEARCH("VODKA",C1095)),"Vodka",
 ISNUMBER(SEARCH("TEQUILA",C1095)),"Tequila/Mezcal",
 ISNUMBER(SEARCH("MEZCAL",C1095)),"Tequila/Mezcal",
 ISNUMBER(SEARCH("RUM",C1095)),"Rum",
 ISNUMBER(SEARCH("BRAND",C1095)),"Brandy",
 ISNUMBER(SEARCH("COGNAC",C1095)),"Brandy",
 ISNUMBER(SEARCH("LIQUEUR",C1095)),"Liqueurs",
 ISNUMBER(SEARCH("CORDIAL",C1095)),"Liqueurs",
 ISNUMBER(SEARCH("SCHNAPP",C1095)),"Liqueurs",
 ISNUMBER(SEARCH("GIN",C1095)),"Gin",
 TRUE,"Other")</f>
        <v>Liqueurs</v>
      </c>
      <c r="E1095" s="5">
        <v>29724</v>
      </c>
      <c r="F1095" s="5">
        <v>636576.69999999704</v>
      </c>
      <c r="G1095" s="5"/>
      <c r="H1095" s="5">
        <v>3533</v>
      </c>
    </row>
    <row r="1096" spans="1:8">
      <c r="A1096" s="5">
        <v>2022</v>
      </c>
      <c r="B1096" s="6">
        <v>44562</v>
      </c>
      <c r="C1096" s="5" t="s">
        <v>28</v>
      </c>
      <c r="D1096" s="3" t="str" cm="1">
        <f t="array" ref="D1096">_xlfn.IFS(
 ISNUMBER(SEARCH("WHISK",C1096)),"Whiskey",
 ISNUMBER(SEARCH("BOURBON",C1096)),"Whiskey",
 ISNUMBER(SEARCH("SCOTCH",C1096)),"Whiskey",
 ISNUMBER(SEARCH("RYE",C1096)),"Whiskey",
 ISNUMBER(SEARCH("VODKA",C1096)),"Vodka",
 ISNUMBER(SEARCH("TEQUILA",C1096)),"Tequila/Mezcal",
 ISNUMBER(SEARCH("MEZCAL",C1096)),"Tequila/Mezcal",
 ISNUMBER(SEARCH("RUM",C1096)),"Rum",
 ISNUMBER(SEARCH("BRAND",C1096)),"Brandy",
 ISNUMBER(SEARCH("COGNAC",C1096)),"Brandy",
 ISNUMBER(SEARCH("LIQUEUR",C1096)),"Liqueurs",
 ISNUMBER(SEARCH("CORDIAL",C1096)),"Liqueurs",
 ISNUMBER(SEARCH("SCHNAPP",C1096)),"Liqueurs",
 ISNUMBER(SEARCH("GIN",C1096)),"Gin",
 TRUE,"Other")</f>
        <v>Other</v>
      </c>
      <c r="E1096" s="5">
        <v>12582</v>
      </c>
      <c r="F1096" s="5">
        <v>117817.63000000005</v>
      </c>
      <c r="G1096" s="5"/>
      <c r="H1096" s="5">
        <v>303</v>
      </c>
    </row>
    <row r="1097" spans="1:8">
      <c r="A1097" s="5">
        <v>2022</v>
      </c>
      <c r="B1097" s="6">
        <v>44562</v>
      </c>
      <c r="C1097" s="5" t="s">
        <v>30</v>
      </c>
      <c r="D1097" s="3" t="str" cm="1">
        <f t="array" ref="D1097">_xlfn.IFS(
 ISNUMBER(SEARCH("WHISK",C1097)),"Whiskey",
 ISNUMBER(SEARCH("BOURBON",C1097)),"Whiskey",
 ISNUMBER(SEARCH("SCOTCH",C1097)),"Whiskey",
 ISNUMBER(SEARCH("RYE",C1097)),"Whiskey",
 ISNUMBER(SEARCH("VODKA",C1097)),"Vodka",
 ISNUMBER(SEARCH("TEQUILA",C1097)),"Tequila/Mezcal",
 ISNUMBER(SEARCH("MEZCAL",C1097)),"Tequila/Mezcal",
 ISNUMBER(SEARCH("RUM",C1097)),"Rum",
 ISNUMBER(SEARCH("BRAND",C1097)),"Brandy",
 ISNUMBER(SEARCH("COGNAC",C1097)),"Brandy",
 ISNUMBER(SEARCH("LIQUEUR",C1097)),"Liqueurs",
 ISNUMBER(SEARCH("CORDIAL",C1097)),"Liqueurs",
 ISNUMBER(SEARCH("SCHNAPP",C1097)),"Liqueurs",
 ISNUMBER(SEARCH("GIN",C1097)),"Gin",
 TRUE,"Other")</f>
        <v>Vodka</v>
      </c>
      <c r="E1097" s="5">
        <v>20464</v>
      </c>
      <c r="F1097" s="5">
        <v>346363.33000000118</v>
      </c>
      <c r="G1097" s="5"/>
      <c r="H1097" s="5">
        <v>2769</v>
      </c>
    </row>
    <row r="1098" spans="1:8">
      <c r="A1098" s="5">
        <v>2022</v>
      </c>
      <c r="B1098" s="6">
        <v>44562</v>
      </c>
      <c r="C1098" s="5" t="s">
        <v>32</v>
      </c>
      <c r="D1098" s="3" t="str" cm="1">
        <f t="array" ref="D1098">_xlfn.IFS(
 ISNUMBER(SEARCH("WHISK",C1098)),"Whiskey",
 ISNUMBER(SEARCH("BOURBON",C1098)),"Whiskey",
 ISNUMBER(SEARCH("SCOTCH",C1098)),"Whiskey",
 ISNUMBER(SEARCH("RYE",C1098)),"Whiskey",
 ISNUMBER(SEARCH("VODKA",C1098)),"Vodka",
 ISNUMBER(SEARCH("TEQUILA",C1098)),"Tequila/Mezcal",
 ISNUMBER(SEARCH("MEZCAL",C1098)),"Tequila/Mezcal",
 ISNUMBER(SEARCH("RUM",C1098)),"Rum",
 ISNUMBER(SEARCH("BRAND",C1098)),"Brandy",
 ISNUMBER(SEARCH("COGNAC",C1098)),"Brandy",
 ISNUMBER(SEARCH("LIQUEUR",C1098)),"Liqueurs",
 ISNUMBER(SEARCH("CORDIAL",C1098)),"Liqueurs",
 ISNUMBER(SEARCH("SCHNAPP",C1098)),"Liqueurs",
 ISNUMBER(SEARCH("GIN",C1098)),"Gin",
 TRUE,"Other")</f>
        <v>Vodka</v>
      </c>
      <c r="E1098" s="5">
        <v>45560</v>
      </c>
      <c r="F1098" s="5">
        <v>748329.77999998932</v>
      </c>
      <c r="G1098" s="5"/>
      <c r="H1098" s="5">
        <v>4562</v>
      </c>
    </row>
    <row r="1099" spans="1:8">
      <c r="A1099" s="5">
        <v>2022</v>
      </c>
      <c r="B1099" s="6">
        <v>44562</v>
      </c>
      <c r="C1099" s="5" t="s">
        <v>35</v>
      </c>
      <c r="D1099" s="3" t="str" cm="1">
        <f t="array" ref="D1099">_xlfn.IFS(
 ISNUMBER(SEARCH("WHISK",C1099)),"Whiskey",
 ISNUMBER(SEARCH("BOURBON",C1099)),"Whiskey",
 ISNUMBER(SEARCH("SCOTCH",C1099)),"Whiskey",
 ISNUMBER(SEARCH("RYE",C1099)),"Whiskey",
 ISNUMBER(SEARCH("VODKA",C1099)),"Vodka",
 ISNUMBER(SEARCH("TEQUILA",C1099)),"Tequila/Mezcal",
 ISNUMBER(SEARCH("MEZCAL",C1099)),"Tequila/Mezcal",
 ISNUMBER(SEARCH("RUM",C1099)),"Rum",
 ISNUMBER(SEARCH("BRAND",C1099)),"Brandy",
 ISNUMBER(SEARCH("COGNAC",C1099)),"Brandy",
 ISNUMBER(SEARCH("LIQUEUR",C1099)),"Liqueurs",
 ISNUMBER(SEARCH("CORDIAL",C1099)),"Liqueurs",
 ISNUMBER(SEARCH("SCHNAPP",C1099)),"Liqueurs",
 ISNUMBER(SEARCH("GIN",C1099)),"Gin",
 TRUE,"Other")</f>
        <v>Tequila/Mezcal</v>
      </c>
      <c r="E1099" s="5">
        <v>43337</v>
      </c>
      <c r="F1099" s="5">
        <v>590196.12999999605</v>
      </c>
      <c r="G1099" s="5"/>
      <c r="H1099" s="5">
        <v>3477</v>
      </c>
    </row>
    <row r="1100" spans="1:8">
      <c r="A1100" s="5">
        <v>2022</v>
      </c>
      <c r="B1100" s="6">
        <v>44562</v>
      </c>
      <c r="C1100" s="5" t="s">
        <v>38</v>
      </c>
      <c r="D1100" s="3" t="str" cm="1">
        <f t="array" ref="D1100">_xlfn.IFS(
 ISNUMBER(SEARCH("WHISK",C1100)),"Whiskey",
 ISNUMBER(SEARCH("BOURBON",C1100)),"Whiskey",
 ISNUMBER(SEARCH("SCOTCH",C1100)),"Whiskey",
 ISNUMBER(SEARCH("RYE",C1100)),"Whiskey",
 ISNUMBER(SEARCH("VODKA",C1100)),"Vodka",
 ISNUMBER(SEARCH("TEQUILA",C1100)),"Tequila/Mezcal",
 ISNUMBER(SEARCH("MEZCAL",C1100)),"Tequila/Mezcal",
 ISNUMBER(SEARCH("RUM",C1100)),"Rum",
 ISNUMBER(SEARCH("BRAND",C1100)),"Brandy",
 ISNUMBER(SEARCH("COGNAC",C1100)),"Brandy",
 ISNUMBER(SEARCH("LIQUEUR",C1100)),"Liqueurs",
 ISNUMBER(SEARCH("CORDIAL",C1100)),"Liqueurs",
 ISNUMBER(SEARCH("SCHNAPP",C1100)),"Liqueurs",
 ISNUMBER(SEARCH("GIN",C1100)),"Gin",
 TRUE,"Other")</f>
        <v>Whiskey</v>
      </c>
      <c r="E1100" s="5">
        <v>22925</v>
      </c>
      <c r="F1100" s="5">
        <v>606391.79999999795</v>
      </c>
      <c r="G1100" s="5"/>
      <c r="H1100" s="5">
        <v>2629</v>
      </c>
    </row>
    <row r="1101" spans="1:8">
      <c r="A1101" s="5">
        <v>2022</v>
      </c>
      <c r="B1101" s="6">
        <v>44562</v>
      </c>
      <c r="C1101" s="5" t="s">
        <v>40</v>
      </c>
      <c r="D1101" s="3" t="str" cm="1">
        <f t="array" ref="D1101">_xlfn.IFS(
 ISNUMBER(SEARCH("WHISK",C1101)),"Whiskey",
 ISNUMBER(SEARCH("BOURBON",C1101)),"Whiskey",
 ISNUMBER(SEARCH("SCOTCH",C1101)),"Whiskey",
 ISNUMBER(SEARCH("RYE",C1101)),"Whiskey",
 ISNUMBER(SEARCH("VODKA",C1101)),"Vodka",
 ISNUMBER(SEARCH("TEQUILA",C1101)),"Tequila/Mezcal",
 ISNUMBER(SEARCH("MEZCAL",C1101)),"Tequila/Mezcal",
 ISNUMBER(SEARCH("RUM",C1101)),"Rum",
 ISNUMBER(SEARCH("BRAND",C1101)),"Brandy",
 ISNUMBER(SEARCH("COGNAC",C1101)),"Brandy",
 ISNUMBER(SEARCH("LIQUEUR",C1101)),"Liqueurs",
 ISNUMBER(SEARCH("CORDIAL",C1101)),"Liqueurs",
 ISNUMBER(SEARCH("SCHNAPP",C1101)),"Liqueurs",
 ISNUMBER(SEARCH("GIN",C1101)),"Gin",
 TRUE,"Other")</f>
        <v>Whiskey</v>
      </c>
      <c r="E1101" s="5">
        <v>7128</v>
      </c>
      <c r="F1101" s="5">
        <v>341415.1700000008</v>
      </c>
      <c r="G1101" s="5"/>
      <c r="H1101" s="5">
        <v>1297</v>
      </c>
    </row>
    <row r="1102" spans="1:8">
      <c r="A1102" s="5">
        <v>2022</v>
      </c>
      <c r="B1102" s="6">
        <v>44562</v>
      </c>
      <c r="C1102" s="5" t="s">
        <v>42</v>
      </c>
      <c r="D1102" s="3" t="str" cm="1">
        <f t="array" ref="D1102">_xlfn.IFS(
 ISNUMBER(SEARCH("WHISK",C1102)),"Whiskey",
 ISNUMBER(SEARCH("BOURBON",C1102)),"Whiskey",
 ISNUMBER(SEARCH("SCOTCH",C1102)),"Whiskey",
 ISNUMBER(SEARCH("RYE",C1102)),"Whiskey",
 ISNUMBER(SEARCH("VODKA",C1102)),"Vodka",
 ISNUMBER(SEARCH("TEQUILA",C1102)),"Tequila/Mezcal",
 ISNUMBER(SEARCH("MEZCAL",C1102)),"Tequila/Mezcal",
 ISNUMBER(SEARCH("RUM",C1102)),"Rum",
 ISNUMBER(SEARCH("BRAND",C1102)),"Brandy",
 ISNUMBER(SEARCH("COGNAC",C1102)),"Brandy",
 ISNUMBER(SEARCH("LIQUEUR",C1102)),"Liqueurs",
 ISNUMBER(SEARCH("CORDIAL",C1102)),"Liqueurs",
 ISNUMBER(SEARCH("SCHNAPP",C1102)),"Liqueurs",
 ISNUMBER(SEARCH("GIN",C1102)),"Gin",
 TRUE,"Other")</f>
        <v>Rum</v>
      </c>
      <c r="E1102" s="5">
        <v>98154</v>
      </c>
      <c r="F1102" s="5">
        <v>1426324.0099999951</v>
      </c>
      <c r="G1102" s="5"/>
      <c r="H1102" s="5">
        <v>8154</v>
      </c>
    </row>
    <row r="1103" spans="1:8">
      <c r="A1103" s="5">
        <v>2022</v>
      </c>
      <c r="B1103" s="6">
        <v>44562</v>
      </c>
      <c r="C1103" s="5" t="s">
        <v>43</v>
      </c>
      <c r="D1103" s="3" t="str" cm="1">
        <f t="array" ref="D1103">_xlfn.IFS(
 ISNUMBER(SEARCH("WHISK",C1103)),"Whiskey",
 ISNUMBER(SEARCH("BOURBON",C1103)),"Whiskey",
 ISNUMBER(SEARCH("SCOTCH",C1103)),"Whiskey",
 ISNUMBER(SEARCH("RYE",C1103)),"Whiskey",
 ISNUMBER(SEARCH("VODKA",C1103)),"Vodka",
 ISNUMBER(SEARCH("TEQUILA",C1103)),"Tequila/Mezcal",
 ISNUMBER(SEARCH("MEZCAL",C1103)),"Tequila/Mezcal",
 ISNUMBER(SEARCH("RUM",C1103)),"Rum",
 ISNUMBER(SEARCH("BRAND",C1103)),"Brandy",
 ISNUMBER(SEARCH("COGNAC",C1103)),"Brandy",
 ISNUMBER(SEARCH("LIQUEUR",C1103)),"Liqueurs",
 ISNUMBER(SEARCH("CORDIAL",C1103)),"Liqueurs",
 ISNUMBER(SEARCH("SCHNAPP",C1103)),"Liqueurs",
 ISNUMBER(SEARCH("GIN",C1103)),"Gin",
 TRUE,"Other")</f>
        <v>Whiskey</v>
      </c>
      <c r="E1103" s="5">
        <v>116880</v>
      </c>
      <c r="F1103" s="5">
        <v>2450598.089999964</v>
      </c>
      <c r="G1103" s="5"/>
      <c r="H1103" s="5">
        <v>14647</v>
      </c>
    </row>
    <row r="1104" spans="1:8">
      <c r="A1104" s="5">
        <v>2022</v>
      </c>
      <c r="B1104" s="6">
        <v>44562</v>
      </c>
      <c r="C1104" s="5" t="s">
        <v>44</v>
      </c>
      <c r="D1104" s="3" t="str" cm="1">
        <f t="array" ref="D1104">_xlfn.IFS(
 ISNUMBER(SEARCH("WHISK",C1104)),"Whiskey",
 ISNUMBER(SEARCH("BOURBON",C1104)),"Whiskey",
 ISNUMBER(SEARCH("SCOTCH",C1104)),"Whiskey",
 ISNUMBER(SEARCH("RYE",C1104)),"Whiskey",
 ISNUMBER(SEARCH("VODKA",C1104)),"Vodka",
 ISNUMBER(SEARCH("TEQUILA",C1104)),"Tequila/Mezcal",
 ISNUMBER(SEARCH("MEZCAL",C1104)),"Tequila/Mezcal",
 ISNUMBER(SEARCH("RUM",C1104)),"Rum",
 ISNUMBER(SEARCH("BRAND",C1104)),"Brandy",
 ISNUMBER(SEARCH("COGNAC",C1104)),"Brandy",
 ISNUMBER(SEARCH("LIQUEUR",C1104)),"Liqueurs",
 ISNUMBER(SEARCH("CORDIAL",C1104)),"Liqueurs",
 ISNUMBER(SEARCH("SCHNAPP",C1104)),"Liqueurs",
 ISNUMBER(SEARCH("GIN",C1104)),"Gin",
 TRUE,"Other")</f>
        <v>Whiskey</v>
      </c>
      <c r="E1104" s="5">
        <v>9832</v>
      </c>
      <c r="F1104" s="5">
        <v>302646.58000000048</v>
      </c>
      <c r="G1104" s="5"/>
      <c r="H1104" s="5">
        <v>1628</v>
      </c>
    </row>
    <row r="1105" spans="1:8">
      <c r="A1105" s="5">
        <v>2022</v>
      </c>
      <c r="B1105" s="6">
        <v>44562</v>
      </c>
      <c r="C1105" s="5" t="s">
        <v>45</v>
      </c>
      <c r="D1105" s="3" t="str" cm="1">
        <f t="array" ref="D1105">_xlfn.IFS(
 ISNUMBER(SEARCH("WHISK",C1105)),"Whiskey",
 ISNUMBER(SEARCH("BOURBON",C1105)),"Whiskey",
 ISNUMBER(SEARCH("SCOTCH",C1105)),"Whiskey",
 ISNUMBER(SEARCH("RYE",C1105)),"Whiskey",
 ISNUMBER(SEARCH("VODKA",C1105)),"Vodka",
 ISNUMBER(SEARCH("TEQUILA",C1105)),"Tequila/Mezcal",
 ISNUMBER(SEARCH("MEZCAL",C1105)),"Tequila/Mezcal",
 ISNUMBER(SEARCH("RUM",C1105)),"Rum",
 ISNUMBER(SEARCH("BRAND",C1105)),"Brandy",
 ISNUMBER(SEARCH("COGNAC",C1105)),"Brandy",
 ISNUMBER(SEARCH("LIQUEUR",C1105)),"Liqueurs",
 ISNUMBER(SEARCH("CORDIAL",C1105)),"Liqueurs",
 ISNUMBER(SEARCH("SCHNAPP",C1105)),"Liqueurs",
 ISNUMBER(SEARCH("GIN",C1105)),"Gin",
 TRUE,"Other")</f>
        <v>Other</v>
      </c>
      <c r="E1105" s="5">
        <v>34523</v>
      </c>
      <c r="F1105" s="5">
        <v>764496.73000002501</v>
      </c>
      <c r="G1105" s="5"/>
      <c r="H1105" s="5">
        <v>3980</v>
      </c>
    </row>
    <row r="1106" spans="1:8">
      <c r="A1106" s="5">
        <v>2022</v>
      </c>
      <c r="B1106" s="6">
        <v>44562</v>
      </c>
      <c r="C1106" s="5" t="s">
        <v>46</v>
      </c>
      <c r="D1106" s="3" t="str" cm="1">
        <f t="array" ref="D1106">_xlfn.IFS(
 ISNUMBER(SEARCH("WHISK",C1106)),"Whiskey",
 ISNUMBER(SEARCH("BOURBON",C1106)),"Whiskey",
 ISNUMBER(SEARCH("SCOTCH",C1106)),"Whiskey",
 ISNUMBER(SEARCH("RYE",C1106)),"Whiskey",
 ISNUMBER(SEARCH("VODKA",C1106)),"Vodka",
 ISNUMBER(SEARCH("TEQUILA",C1106)),"Tequila/Mezcal",
 ISNUMBER(SEARCH("MEZCAL",C1106)),"Tequila/Mezcal",
 ISNUMBER(SEARCH("RUM",C1106)),"Rum",
 ISNUMBER(SEARCH("BRAND",C1106)),"Brandy",
 ISNUMBER(SEARCH("COGNAC",C1106)),"Brandy",
 ISNUMBER(SEARCH("LIQUEUR",C1106)),"Liqueurs",
 ISNUMBER(SEARCH("CORDIAL",C1106)),"Liqueurs",
 ISNUMBER(SEARCH("SCHNAPP",C1106)),"Liqueurs",
 ISNUMBER(SEARCH("GIN",C1106)),"Gin",
 TRUE,"Other")</f>
        <v>Whiskey</v>
      </c>
      <c r="E1106" s="5">
        <v>44026</v>
      </c>
      <c r="F1106" s="5">
        <v>943118.51999998896</v>
      </c>
      <c r="G1106" s="5"/>
      <c r="H1106" s="5">
        <v>5201</v>
      </c>
    </row>
    <row r="1107" spans="1:8">
      <c r="A1107" s="5">
        <v>2022</v>
      </c>
      <c r="B1107" s="6">
        <v>44562</v>
      </c>
      <c r="C1107" s="5" t="s">
        <v>49</v>
      </c>
      <c r="D1107" s="3" t="str" cm="1">
        <f t="array" ref="D1107">_xlfn.IFS(
 ISNUMBER(SEARCH("WHISK",C1107)),"Whiskey",
 ISNUMBER(SEARCH("BOURBON",C1107)),"Whiskey",
 ISNUMBER(SEARCH("SCOTCH",C1107)),"Whiskey",
 ISNUMBER(SEARCH("RYE",C1107)),"Whiskey",
 ISNUMBER(SEARCH("VODKA",C1107)),"Vodka",
 ISNUMBER(SEARCH("TEQUILA",C1107)),"Tequila/Mezcal",
 ISNUMBER(SEARCH("MEZCAL",C1107)),"Tequila/Mezcal",
 ISNUMBER(SEARCH("RUM",C1107)),"Rum",
 ISNUMBER(SEARCH("BRAND",C1107)),"Brandy",
 ISNUMBER(SEARCH("COGNAC",C1107)),"Brandy",
 ISNUMBER(SEARCH("LIQUEUR",C1107)),"Liqueurs",
 ISNUMBER(SEARCH("CORDIAL",C1107)),"Liqueurs",
 ISNUMBER(SEARCH("SCHNAPP",C1107)),"Liqueurs",
 ISNUMBER(SEARCH("GIN",C1107)),"Gin",
 TRUE,"Other")</f>
        <v>Rum</v>
      </c>
      <c r="E1107" s="5">
        <v>36600</v>
      </c>
      <c r="F1107" s="5">
        <v>388574.19999999681</v>
      </c>
      <c r="G1107" s="5"/>
      <c r="H1107" s="5">
        <v>3875</v>
      </c>
    </row>
    <row r="1108" spans="1:8">
      <c r="A1108" s="5">
        <v>2022</v>
      </c>
      <c r="B1108" s="6">
        <v>44562</v>
      </c>
      <c r="C1108" s="5" t="s">
        <v>59</v>
      </c>
      <c r="D1108" s="3" t="str" cm="1">
        <f t="array" ref="D1108">_xlfn.IFS(
 ISNUMBER(SEARCH("WHISK",C1108)),"Whiskey",
 ISNUMBER(SEARCH("BOURBON",C1108)),"Whiskey",
 ISNUMBER(SEARCH("SCOTCH",C1108)),"Whiskey",
 ISNUMBER(SEARCH("RYE",C1108)),"Whiskey",
 ISNUMBER(SEARCH("VODKA",C1108)),"Vodka",
 ISNUMBER(SEARCH("TEQUILA",C1108)),"Tequila/Mezcal",
 ISNUMBER(SEARCH("MEZCAL",C1108)),"Tequila/Mezcal",
 ISNUMBER(SEARCH("RUM",C1108)),"Rum",
 ISNUMBER(SEARCH("BRAND",C1108)),"Brandy",
 ISNUMBER(SEARCH("COGNAC",C1108)),"Brandy",
 ISNUMBER(SEARCH("LIQUEUR",C1108)),"Liqueurs",
 ISNUMBER(SEARCH("CORDIAL",C1108)),"Liqueurs",
 ISNUMBER(SEARCH("SCHNAPP",C1108)),"Liqueurs",
 ISNUMBER(SEARCH("GIN",C1108)),"Gin",
 TRUE,"Other")</f>
        <v>Liqueurs</v>
      </c>
      <c r="E1108" s="5">
        <v>35966</v>
      </c>
      <c r="F1108" s="5">
        <v>282952.5000000007</v>
      </c>
      <c r="G1108" s="5"/>
      <c r="H1108" s="5">
        <v>4327</v>
      </c>
    </row>
    <row r="1109" spans="1:8">
      <c r="A1109" s="5">
        <v>2022</v>
      </c>
      <c r="B1109" s="6">
        <v>44562</v>
      </c>
      <c r="C1109" s="5" t="s">
        <v>15</v>
      </c>
      <c r="D1109" s="3" t="str" cm="1">
        <f t="array" ref="D1109">_xlfn.IFS(
 ISNUMBER(SEARCH("WHISK",C1109)),"Whiskey",
 ISNUMBER(SEARCH("BOURBON",C1109)),"Whiskey",
 ISNUMBER(SEARCH("SCOTCH",C1109)),"Whiskey",
 ISNUMBER(SEARCH("RYE",C1109)),"Whiskey",
 ISNUMBER(SEARCH("VODKA",C1109)),"Vodka",
 ISNUMBER(SEARCH("TEQUILA",C1109)),"Tequila/Mezcal",
 ISNUMBER(SEARCH("MEZCAL",C1109)),"Tequila/Mezcal",
 ISNUMBER(SEARCH("RUM",C1109)),"Rum",
 ISNUMBER(SEARCH("BRAND",C1109)),"Brandy",
 ISNUMBER(SEARCH("COGNAC",C1109)),"Brandy",
 ISNUMBER(SEARCH("LIQUEUR",C1109)),"Liqueurs",
 ISNUMBER(SEARCH("CORDIAL",C1109)),"Liqueurs",
 ISNUMBER(SEARCH("SCHNAPP",C1109)),"Liqueurs",
 ISNUMBER(SEARCH("GIN",C1109)),"Gin",
 TRUE,"Other")</f>
        <v>Vodka</v>
      </c>
      <c r="E1109" s="5">
        <v>430139</v>
      </c>
      <c r="F1109" s="5">
        <v>4175170.6399999624</v>
      </c>
      <c r="G1109" s="5"/>
      <c r="H1109" s="5">
        <v>28723</v>
      </c>
    </row>
    <row r="1110" spans="1:8">
      <c r="A1110" s="5">
        <v>2022</v>
      </c>
      <c r="B1110" s="6">
        <v>44562</v>
      </c>
      <c r="C1110" s="5" t="s">
        <v>26</v>
      </c>
      <c r="D1110" s="3" t="str" cm="1">
        <f t="array" ref="D1110">_xlfn.IFS(
 ISNUMBER(SEARCH("WHISK",C1110)),"Whiskey",
 ISNUMBER(SEARCH("BOURBON",C1110)),"Whiskey",
 ISNUMBER(SEARCH("SCOTCH",C1110)),"Whiskey",
 ISNUMBER(SEARCH("RYE",C1110)),"Whiskey",
 ISNUMBER(SEARCH("VODKA",C1110)),"Vodka",
 ISNUMBER(SEARCH("TEQUILA",C1110)),"Tequila/Mezcal",
 ISNUMBER(SEARCH("MEZCAL",C1110)),"Tequila/Mezcal",
 ISNUMBER(SEARCH("RUM",C1110)),"Rum",
 ISNUMBER(SEARCH("BRAND",C1110)),"Brandy",
 ISNUMBER(SEARCH("COGNAC",C1110)),"Brandy",
 ISNUMBER(SEARCH("LIQUEUR",C1110)),"Liqueurs",
 ISNUMBER(SEARCH("CORDIAL",C1110)),"Liqueurs",
 ISNUMBER(SEARCH("SCHNAPP",C1110)),"Liqueurs",
 ISNUMBER(SEARCH("GIN",C1110)),"Gin",
 TRUE,"Other")</f>
        <v>Brandy</v>
      </c>
      <c r="E1110" s="5">
        <v>31601</v>
      </c>
      <c r="F1110" s="5">
        <v>651502.5799999981</v>
      </c>
      <c r="G1110" s="5"/>
      <c r="H1110" s="5">
        <v>2657</v>
      </c>
    </row>
    <row r="1111" spans="1:8">
      <c r="A1111" s="5">
        <v>2022</v>
      </c>
      <c r="B1111" s="6">
        <v>44562</v>
      </c>
      <c r="C1111" s="5" t="s">
        <v>31</v>
      </c>
      <c r="D1111" s="3" t="str" cm="1">
        <f t="array" ref="D1111">_xlfn.IFS(
 ISNUMBER(SEARCH("WHISK",C1111)),"Whiskey",
 ISNUMBER(SEARCH("BOURBON",C1111)),"Whiskey",
 ISNUMBER(SEARCH("SCOTCH",C1111)),"Whiskey",
 ISNUMBER(SEARCH("RYE",C1111)),"Whiskey",
 ISNUMBER(SEARCH("VODKA",C1111)),"Vodka",
 ISNUMBER(SEARCH("TEQUILA",C1111)),"Tequila/Mezcal",
 ISNUMBER(SEARCH("MEZCAL",C1111)),"Tequila/Mezcal",
 ISNUMBER(SEARCH("RUM",C1111)),"Rum",
 ISNUMBER(SEARCH("BRAND",C1111)),"Brandy",
 ISNUMBER(SEARCH("COGNAC",C1111)),"Brandy",
 ISNUMBER(SEARCH("LIQUEUR",C1111)),"Liqueurs",
 ISNUMBER(SEARCH("CORDIAL",C1111)),"Liqueurs",
 ISNUMBER(SEARCH("SCHNAPP",C1111)),"Liqueurs",
 ISNUMBER(SEARCH("GIN",C1111)),"Gin",
 TRUE,"Other")</f>
        <v>Liqueurs</v>
      </c>
      <c r="E1111" s="5">
        <v>28081</v>
      </c>
      <c r="F1111" s="5">
        <v>475995.41999999993</v>
      </c>
      <c r="G1111" s="5"/>
      <c r="H1111" s="5">
        <v>2916</v>
      </c>
    </row>
    <row r="1112" spans="1:8">
      <c r="A1112" s="5">
        <v>2022</v>
      </c>
      <c r="B1112" s="6">
        <v>44562</v>
      </c>
      <c r="C1112" s="5" t="s">
        <v>33</v>
      </c>
      <c r="D1112" s="3" t="str" cm="1">
        <f t="array" ref="D1112">_xlfn.IFS(
 ISNUMBER(SEARCH("WHISK",C1112)),"Whiskey",
 ISNUMBER(SEARCH("BOURBON",C1112)),"Whiskey",
 ISNUMBER(SEARCH("SCOTCH",C1112)),"Whiskey",
 ISNUMBER(SEARCH("RYE",C1112)),"Whiskey",
 ISNUMBER(SEARCH("VODKA",C1112)),"Vodka",
 ISNUMBER(SEARCH("TEQUILA",C1112)),"Tequila/Mezcal",
 ISNUMBER(SEARCH("MEZCAL",C1112)),"Tequila/Mezcal",
 ISNUMBER(SEARCH("RUM",C1112)),"Rum",
 ISNUMBER(SEARCH("BRAND",C1112)),"Brandy",
 ISNUMBER(SEARCH("COGNAC",C1112)),"Brandy",
 ISNUMBER(SEARCH("LIQUEUR",C1112)),"Liqueurs",
 ISNUMBER(SEARCH("CORDIAL",C1112)),"Liqueurs",
 ISNUMBER(SEARCH("SCHNAPP",C1112)),"Liqueurs",
 ISNUMBER(SEARCH("GIN",C1112)),"Gin",
 TRUE,"Other")</f>
        <v>Whiskey</v>
      </c>
      <c r="E1112" s="5">
        <v>23482</v>
      </c>
      <c r="F1112" s="5">
        <v>641728.23999999778</v>
      </c>
      <c r="G1112" s="5"/>
      <c r="H1112" s="5">
        <v>1743</v>
      </c>
    </row>
    <row r="1113" spans="1:8">
      <c r="A1113" s="5">
        <v>2022</v>
      </c>
      <c r="B1113" s="6">
        <v>44562</v>
      </c>
      <c r="C1113" s="5" t="s">
        <v>37</v>
      </c>
      <c r="D1113" s="3" t="str" cm="1">
        <f t="array" ref="D1113">_xlfn.IFS(
 ISNUMBER(SEARCH("WHISK",C1113)),"Whiskey",
 ISNUMBER(SEARCH("BOURBON",C1113)),"Whiskey",
 ISNUMBER(SEARCH("SCOTCH",C1113)),"Whiskey",
 ISNUMBER(SEARCH("RYE",C1113)),"Whiskey",
 ISNUMBER(SEARCH("VODKA",C1113)),"Vodka",
 ISNUMBER(SEARCH("TEQUILA",C1113)),"Tequila/Mezcal",
 ISNUMBER(SEARCH("MEZCAL",C1113)),"Tequila/Mezcal",
 ISNUMBER(SEARCH("RUM",C1113)),"Rum",
 ISNUMBER(SEARCH("BRAND",C1113)),"Brandy",
 ISNUMBER(SEARCH("COGNAC",C1113)),"Brandy",
 ISNUMBER(SEARCH("LIQUEUR",C1113)),"Liqueurs",
 ISNUMBER(SEARCH("CORDIAL",C1113)),"Liqueurs",
 ISNUMBER(SEARCH("SCHNAPP",C1113)),"Liqueurs",
 ISNUMBER(SEARCH("GIN",C1113)),"Gin",
 TRUE,"Other")</f>
        <v>Other</v>
      </c>
      <c r="E1113" s="5">
        <v>7517</v>
      </c>
      <c r="F1113" s="5">
        <v>126914.87999999999</v>
      </c>
      <c r="G1113" s="5"/>
      <c r="H1113" s="5">
        <v>1401</v>
      </c>
    </row>
    <row r="1114" spans="1:8">
      <c r="A1114" s="5">
        <v>2022</v>
      </c>
      <c r="B1114" s="6">
        <v>44562</v>
      </c>
      <c r="C1114" s="5" t="s">
        <v>29</v>
      </c>
      <c r="D1114" s="3" t="str" cm="1">
        <f t="array" ref="D1114">_xlfn.IFS(
 ISNUMBER(SEARCH("WHISK",C1114)),"Whiskey",
 ISNUMBER(SEARCH("BOURBON",C1114)),"Whiskey",
 ISNUMBER(SEARCH("SCOTCH",C1114)),"Whiskey",
 ISNUMBER(SEARCH("RYE",C1114)),"Whiskey",
 ISNUMBER(SEARCH("VODKA",C1114)),"Vodka",
 ISNUMBER(SEARCH("TEQUILA",C1114)),"Tequila/Mezcal",
 ISNUMBER(SEARCH("MEZCAL",C1114)),"Tequila/Mezcal",
 ISNUMBER(SEARCH("RUM",C1114)),"Rum",
 ISNUMBER(SEARCH("BRAND",C1114)),"Brandy",
 ISNUMBER(SEARCH("COGNAC",C1114)),"Brandy",
 ISNUMBER(SEARCH("LIQUEUR",C1114)),"Liqueurs",
 ISNUMBER(SEARCH("CORDIAL",C1114)),"Liqueurs",
 ISNUMBER(SEARCH("SCHNAPP",C1114)),"Liqueurs",
 ISNUMBER(SEARCH("GIN",C1114)),"Gin",
 TRUE,"Other")</f>
        <v>Gin</v>
      </c>
      <c r="E1114" s="5">
        <v>12359</v>
      </c>
      <c r="F1114" s="5">
        <v>292856.97000000055</v>
      </c>
      <c r="G1114" s="5"/>
      <c r="H1114" s="5">
        <v>1614</v>
      </c>
    </row>
    <row r="1115" spans="1:8">
      <c r="A1115" s="5">
        <v>2022</v>
      </c>
      <c r="B1115" s="6">
        <v>44562</v>
      </c>
      <c r="C1115" s="5" t="s">
        <v>48</v>
      </c>
      <c r="D1115" s="3" t="str" cm="1">
        <f t="array" ref="D1115">_xlfn.IFS(
 ISNUMBER(SEARCH("WHISK",C1115)),"Whiskey",
 ISNUMBER(SEARCH("BOURBON",C1115)),"Whiskey",
 ISNUMBER(SEARCH("SCOTCH",C1115)),"Whiskey",
 ISNUMBER(SEARCH("RYE",C1115)),"Whiskey",
 ISNUMBER(SEARCH("VODKA",C1115)),"Vodka",
 ISNUMBER(SEARCH("TEQUILA",C1115)),"Tequila/Mezcal",
 ISNUMBER(SEARCH("MEZCAL",C1115)),"Tequila/Mezcal",
 ISNUMBER(SEARCH("RUM",C1115)),"Rum",
 ISNUMBER(SEARCH("BRAND",C1115)),"Brandy",
 ISNUMBER(SEARCH("COGNAC",C1115)),"Brandy",
 ISNUMBER(SEARCH("LIQUEUR",C1115)),"Liqueurs",
 ISNUMBER(SEARCH("CORDIAL",C1115)),"Liqueurs",
 ISNUMBER(SEARCH("SCHNAPP",C1115)),"Liqueurs",
 ISNUMBER(SEARCH("GIN",C1115)),"Gin",
 TRUE,"Other")</f>
        <v>Whiskey</v>
      </c>
      <c r="E1115" s="5">
        <v>303738</v>
      </c>
      <c r="F1115" s="5">
        <v>1998465.8399999873</v>
      </c>
      <c r="G1115" s="5"/>
      <c r="H1115" s="5">
        <v>11130</v>
      </c>
    </row>
    <row r="1116" spans="1:8">
      <c r="A1116" s="5">
        <v>2022</v>
      </c>
      <c r="B1116" s="6">
        <v>44562</v>
      </c>
      <c r="C1116" s="5" t="s">
        <v>39</v>
      </c>
      <c r="D1116" s="3" t="str" cm="1">
        <f t="array" ref="D1116">_xlfn.IFS(
 ISNUMBER(SEARCH("WHISK",C1116)),"Whiskey",
 ISNUMBER(SEARCH("BOURBON",C1116)),"Whiskey",
 ISNUMBER(SEARCH("SCOTCH",C1116)),"Whiskey",
 ISNUMBER(SEARCH("RYE",C1116)),"Whiskey",
 ISNUMBER(SEARCH("VODKA",C1116)),"Vodka",
 ISNUMBER(SEARCH("TEQUILA",C1116)),"Tequila/Mezcal",
 ISNUMBER(SEARCH("MEZCAL",C1116)),"Tequila/Mezcal",
 ISNUMBER(SEARCH("RUM",C1116)),"Rum",
 ISNUMBER(SEARCH("BRAND",C1116)),"Brandy",
 ISNUMBER(SEARCH("COGNAC",C1116)),"Brandy",
 ISNUMBER(SEARCH("LIQUEUR",C1116)),"Liqueurs",
 ISNUMBER(SEARCH("CORDIAL",C1116)),"Liqueurs",
 ISNUMBER(SEARCH("SCHNAPP",C1116)),"Liqueurs",
 ISNUMBER(SEARCH("GIN",C1116)),"Gin",
 TRUE,"Other")</f>
        <v>Whiskey</v>
      </c>
      <c r="E1116" s="5">
        <v>2010</v>
      </c>
      <c r="F1116" s="5">
        <v>64301.660000000076</v>
      </c>
      <c r="G1116" s="5"/>
      <c r="H1116" s="5">
        <v>569</v>
      </c>
    </row>
    <row r="1117" spans="1:8">
      <c r="A1117" s="5">
        <v>2022</v>
      </c>
      <c r="B1117" s="6">
        <v>44562</v>
      </c>
      <c r="C1117" s="5" t="s">
        <v>47</v>
      </c>
      <c r="D1117" s="3" t="str" cm="1">
        <f t="array" ref="D1117">_xlfn.IFS(
 ISNUMBER(SEARCH("WHISK",C1117)),"Whiskey",
 ISNUMBER(SEARCH("BOURBON",C1117)),"Whiskey",
 ISNUMBER(SEARCH("SCOTCH",C1117)),"Whiskey",
 ISNUMBER(SEARCH("RYE",C1117)),"Whiskey",
 ISNUMBER(SEARCH("VODKA",C1117)),"Vodka",
 ISNUMBER(SEARCH("TEQUILA",C1117)),"Tequila/Mezcal",
 ISNUMBER(SEARCH("MEZCAL",C1117)),"Tequila/Mezcal",
 ISNUMBER(SEARCH("RUM",C1117)),"Rum",
 ISNUMBER(SEARCH("BRAND",C1117)),"Brandy",
 ISNUMBER(SEARCH("COGNAC",C1117)),"Brandy",
 ISNUMBER(SEARCH("LIQUEUR",C1117)),"Liqueurs",
 ISNUMBER(SEARCH("CORDIAL",C1117)),"Liqueurs",
 ISNUMBER(SEARCH("SCHNAPP",C1117)),"Liqueurs",
 ISNUMBER(SEARCH("GIN",C1117)),"Gin",
 TRUE,"Other")</f>
        <v>Other</v>
      </c>
      <c r="E1117" s="5">
        <v>10285</v>
      </c>
      <c r="F1117" s="5">
        <v>42953.330000000067</v>
      </c>
      <c r="G1117" s="5"/>
      <c r="H1117" s="5">
        <v>446</v>
      </c>
    </row>
    <row r="1118" spans="1:8">
      <c r="A1118" s="5">
        <v>2022</v>
      </c>
      <c r="B1118" s="6">
        <v>44562</v>
      </c>
      <c r="C1118" s="5" t="s">
        <v>36</v>
      </c>
      <c r="D1118" s="3" t="str" cm="1">
        <f t="array" ref="D1118">_xlfn.IFS(
 ISNUMBER(SEARCH("WHISK",C1118)),"Whiskey",
 ISNUMBER(SEARCH("BOURBON",C1118)),"Whiskey",
 ISNUMBER(SEARCH("SCOTCH",C1118)),"Whiskey",
 ISNUMBER(SEARCH("RYE",C1118)),"Whiskey",
 ISNUMBER(SEARCH("VODKA",C1118)),"Vodka",
 ISNUMBER(SEARCH("TEQUILA",C1118)),"Tequila/Mezcal",
 ISNUMBER(SEARCH("MEZCAL",C1118)),"Tequila/Mezcal",
 ISNUMBER(SEARCH("RUM",C1118)),"Rum",
 ISNUMBER(SEARCH("BRAND",C1118)),"Brandy",
 ISNUMBER(SEARCH("COGNAC",C1118)),"Brandy",
 ISNUMBER(SEARCH("LIQUEUR",C1118)),"Liqueurs",
 ISNUMBER(SEARCH("CORDIAL",C1118)),"Liqueurs",
 ISNUMBER(SEARCH("SCHNAPP",C1118)),"Liqueurs",
 ISNUMBER(SEARCH("GIN",C1118)),"Gin",
 TRUE,"Other")</f>
        <v>Other</v>
      </c>
      <c r="E1118" s="5">
        <v>2744</v>
      </c>
      <c r="F1118" s="5">
        <v>38898.58</v>
      </c>
      <c r="G1118" s="5"/>
      <c r="H1118" s="5">
        <v>322</v>
      </c>
    </row>
    <row r="1119" spans="1:8">
      <c r="A1119" s="5">
        <v>2022</v>
      </c>
      <c r="B1119" s="6">
        <v>44562</v>
      </c>
      <c r="C1119" s="5" t="s">
        <v>14</v>
      </c>
      <c r="D1119" s="3" t="str" cm="1">
        <f t="array" ref="D1119">_xlfn.IFS(
 ISNUMBER(SEARCH("WHISK",C1119)),"Whiskey",
 ISNUMBER(SEARCH("BOURBON",C1119)),"Whiskey",
 ISNUMBER(SEARCH("SCOTCH",C1119)),"Whiskey",
 ISNUMBER(SEARCH("RYE",C1119)),"Whiskey",
 ISNUMBER(SEARCH("VODKA",C1119)),"Vodka",
 ISNUMBER(SEARCH("TEQUILA",C1119)),"Tequila/Mezcal",
 ISNUMBER(SEARCH("MEZCAL",C1119)),"Tequila/Mezcal",
 ISNUMBER(SEARCH("RUM",C1119)),"Rum",
 ISNUMBER(SEARCH("BRAND",C1119)),"Brandy",
 ISNUMBER(SEARCH("COGNAC",C1119)),"Brandy",
 ISNUMBER(SEARCH("LIQUEUR",C1119)),"Liqueurs",
 ISNUMBER(SEARCH("CORDIAL",C1119)),"Liqueurs",
 ISNUMBER(SEARCH("SCHNAPP",C1119)),"Liqueurs",
 ISNUMBER(SEARCH("GIN",C1119)),"Gin",
 TRUE,"Other")</f>
        <v>Gin</v>
      </c>
      <c r="E1119" s="5">
        <v>274</v>
      </c>
      <c r="F1119" s="5">
        <v>2227.6200000000003</v>
      </c>
      <c r="G1119" s="5"/>
      <c r="H1119" s="5">
        <v>62</v>
      </c>
    </row>
    <row r="1120" spans="1:8">
      <c r="A1120" s="5">
        <v>2022</v>
      </c>
      <c r="B1120" s="6">
        <v>44562</v>
      </c>
      <c r="C1120" s="5" t="s">
        <v>41</v>
      </c>
      <c r="D1120" s="3" t="str" cm="1">
        <f t="array" ref="D1120">_xlfn.IFS(
 ISNUMBER(SEARCH("WHISK",C1120)),"Whiskey",
 ISNUMBER(SEARCH("BOURBON",C1120)),"Whiskey",
 ISNUMBER(SEARCH("SCOTCH",C1120)),"Whiskey",
 ISNUMBER(SEARCH("RYE",C1120)),"Whiskey",
 ISNUMBER(SEARCH("VODKA",C1120)),"Vodka",
 ISNUMBER(SEARCH("TEQUILA",C1120)),"Tequila/Mezcal",
 ISNUMBER(SEARCH("MEZCAL",C1120)),"Tequila/Mezcal",
 ISNUMBER(SEARCH("RUM",C1120)),"Rum",
 ISNUMBER(SEARCH("BRAND",C1120)),"Brandy",
 ISNUMBER(SEARCH("COGNAC",C1120)),"Brandy",
 ISNUMBER(SEARCH("LIQUEUR",C1120)),"Liqueurs",
 ISNUMBER(SEARCH("CORDIAL",C1120)),"Liqueurs",
 ISNUMBER(SEARCH("SCHNAPP",C1120)),"Liqueurs",
 ISNUMBER(SEARCH("GIN",C1120)),"Gin",
 TRUE,"Other")</f>
        <v>Other</v>
      </c>
      <c r="E1120" s="5">
        <v>8254</v>
      </c>
      <c r="F1120" s="5">
        <v>137170.47000000003</v>
      </c>
      <c r="G1120" s="5"/>
      <c r="H1120" s="5">
        <v>194</v>
      </c>
    </row>
    <row r="1121" spans="1:8">
      <c r="A1121" s="5">
        <v>2022</v>
      </c>
      <c r="B1121" s="6">
        <v>44562</v>
      </c>
      <c r="C1121" s="5" t="s">
        <v>17</v>
      </c>
      <c r="D1121" s="3" t="str" cm="1">
        <f t="array" ref="D1121">_xlfn.IFS(
 ISNUMBER(SEARCH("WHISK",C1121)),"Whiskey",
 ISNUMBER(SEARCH("BOURBON",C1121)),"Whiskey",
 ISNUMBER(SEARCH("SCOTCH",C1121)),"Whiskey",
 ISNUMBER(SEARCH("RYE",C1121)),"Whiskey",
 ISNUMBER(SEARCH("VODKA",C1121)),"Vodka",
 ISNUMBER(SEARCH("TEQUILA",C1121)),"Tequila/Mezcal",
 ISNUMBER(SEARCH("MEZCAL",C1121)),"Tequila/Mezcal",
 ISNUMBER(SEARCH("RUM",C1121)),"Rum",
 ISNUMBER(SEARCH("BRAND",C1121)),"Brandy",
 ISNUMBER(SEARCH("COGNAC",C1121)),"Brandy",
 ISNUMBER(SEARCH("LIQUEUR",C1121)),"Liqueurs",
 ISNUMBER(SEARCH("CORDIAL",C1121)),"Liqueurs",
 ISNUMBER(SEARCH("SCHNAPP",C1121)),"Liqueurs",
 ISNUMBER(SEARCH("GIN",C1121)),"Gin",
 TRUE,"Other")</f>
        <v>Whiskey</v>
      </c>
      <c r="E1121" s="5">
        <v>1871</v>
      </c>
      <c r="F1121" s="5">
        <v>51715.760000000024</v>
      </c>
      <c r="G1121" s="5"/>
      <c r="H1121" s="5">
        <v>514</v>
      </c>
    </row>
    <row r="1122" spans="1:8">
      <c r="A1122" s="5">
        <v>2022</v>
      </c>
      <c r="B1122" s="6">
        <v>44562</v>
      </c>
      <c r="C1122" s="5" t="s">
        <v>21</v>
      </c>
      <c r="D1122" s="3" t="str" cm="1">
        <f t="array" ref="D1122">_xlfn.IFS(
 ISNUMBER(SEARCH("WHISK",C1122)),"Whiskey",
 ISNUMBER(SEARCH("BOURBON",C1122)),"Whiskey",
 ISNUMBER(SEARCH("SCOTCH",C1122)),"Whiskey",
 ISNUMBER(SEARCH("RYE",C1122)),"Whiskey",
 ISNUMBER(SEARCH("VODKA",C1122)),"Vodka",
 ISNUMBER(SEARCH("TEQUILA",C1122)),"Tequila/Mezcal",
 ISNUMBER(SEARCH("MEZCAL",C1122)),"Tequila/Mezcal",
 ISNUMBER(SEARCH("RUM",C1122)),"Rum",
 ISNUMBER(SEARCH("BRAND",C1122)),"Brandy",
 ISNUMBER(SEARCH("COGNAC",C1122)),"Brandy",
 ISNUMBER(SEARCH("LIQUEUR",C1122)),"Liqueurs",
 ISNUMBER(SEARCH("CORDIAL",C1122)),"Liqueurs",
 ISNUMBER(SEARCH("SCHNAPP",C1122)),"Liqueurs",
 ISNUMBER(SEARCH("GIN",C1122)),"Gin",
 TRUE,"Other")</f>
        <v>Whiskey</v>
      </c>
      <c r="E1122" s="5">
        <v>473</v>
      </c>
      <c r="F1122" s="5">
        <v>12625.900000000003</v>
      </c>
      <c r="G1122" s="5"/>
      <c r="H1122" s="5">
        <v>103</v>
      </c>
    </row>
    <row r="1123" spans="1:8">
      <c r="A1123" s="5">
        <v>2022</v>
      </c>
      <c r="B1123" s="6">
        <v>44562</v>
      </c>
      <c r="C1123" s="5" t="s">
        <v>34</v>
      </c>
      <c r="D1123" s="3" t="str" cm="1">
        <f t="array" ref="D1123">_xlfn.IFS(
 ISNUMBER(SEARCH("WHISK",C1123)),"Whiskey",
 ISNUMBER(SEARCH("BOURBON",C1123)),"Whiskey",
 ISNUMBER(SEARCH("SCOTCH",C1123)),"Whiskey",
 ISNUMBER(SEARCH("RYE",C1123)),"Whiskey",
 ISNUMBER(SEARCH("VODKA",C1123)),"Vodka",
 ISNUMBER(SEARCH("TEQUILA",C1123)),"Tequila/Mezcal",
 ISNUMBER(SEARCH("MEZCAL",C1123)),"Tequila/Mezcal",
 ISNUMBER(SEARCH("RUM",C1123)),"Rum",
 ISNUMBER(SEARCH("BRAND",C1123)),"Brandy",
 ISNUMBER(SEARCH("COGNAC",C1123)),"Brandy",
 ISNUMBER(SEARCH("LIQUEUR",C1123)),"Liqueurs",
 ISNUMBER(SEARCH("CORDIAL",C1123)),"Liqueurs",
 ISNUMBER(SEARCH("SCHNAPP",C1123)),"Liqueurs",
 ISNUMBER(SEARCH("GIN",C1123)),"Gin",
 TRUE,"Other")</f>
        <v>Tequila/Mezcal</v>
      </c>
      <c r="E1123" s="5">
        <v>735</v>
      </c>
      <c r="F1123" s="5">
        <v>23360.579999999991</v>
      </c>
      <c r="G1123" s="5"/>
      <c r="H1123" s="5">
        <v>156</v>
      </c>
    </row>
    <row r="1124" spans="1:8">
      <c r="A1124" s="5">
        <v>2022</v>
      </c>
      <c r="B1124" s="6">
        <v>44562</v>
      </c>
      <c r="C1124" s="5" t="s">
        <v>23</v>
      </c>
      <c r="D1124" s="3" t="str" cm="1">
        <f t="array" ref="D1124">_xlfn.IFS(
 ISNUMBER(SEARCH("WHISK",C1124)),"Whiskey",
 ISNUMBER(SEARCH("BOURBON",C1124)),"Whiskey",
 ISNUMBER(SEARCH("SCOTCH",C1124)),"Whiskey",
 ISNUMBER(SEARCH("RYE",C1124)),"Whiskey",
 ISNUMBER(SEARCH("VODKA",C1124)),"Vodka",
 ISNUMBER(SEARCH("TEQUILA",C1124)),"Tequila/Mezcal",
 ISNUMBER(SEARCH("MEZCAL",C1124)),"Tequila/Mezcal",
 ISNUMBER(SEARCH("RUM",C1124)),"Rum",
 ISNUMBER(SEARCH("BRAND",C1124)),"Brandy",
 ISNUMBER(SEARCH("COGNAC",C1124)),"Brandy",
 ISNUMBER(SEARCH("LIQUEUR",C1124)),"Liqueurs",
 ISNUMBER(SEARCH("CORDIAL",C1124)),"Liqueurs",
 ISNUMBER(SEARCH("SCHNAPP",C1124)),"Liqueurs",
 ISNUMBER(SEARCH("GIN",C1124)),"Gin",
 TRUE,"Other")</f>
        <v>Gin</v>
      </c>
      <c r="E1124" s="5">
        <v>946</v>
      </c>
      <c r="F1124" s="5">
        <v>23658.7</v>
      </c>
      <c r="G1124" s="5"/>
      <c r="H1124" s="5">
        <v>121</v>
      </c>
    </row>
    <row r="1125" spans="1:8">
      <c r="A1125" s="5">
        <v>2022</v>
      </c>
      <c r="B1125" s="6">
        <v>44562</v>
      </c>
      <c r="C1125" s="5" t="s">
        <v>51</v>
      </c>
      <c r="D1125" s="3" t="str" cm="1">
        <f t="array" ref="D1125">_xlfn.IFS(
 ISNUMBER(SEARCH("WHISK",C1125)),"Whiskey",
 ISNUMBER(SEARCH("BOURBON",C1125)),"Whiskey",
 ISNUMBER(SEARCH("SCOTCH",C1125)),"Whiskey",
 ISNUMBER(SEARCH("RYE",C1125)),"Whiskey",
 ISNUMBER(SEARCH("VODKA",C1125)),"Vodka",
 ISNUMBER(SEARCH("TEQUILA",C1125)),"Tequila/Mezcal",
 ISNUMBER(SEARCH("MEZCAL",C1125)),"Tequila/Mezcal",
 ISNUMBER(SEARCH("RUM",C1125)),"Rum",
 ISNUMBER(SEARCH("BRAND",C1125)),"Brandy",
 ISNUMBER(SEARCH("COGNAC",C1125)),"Brandy",
 ISNUMBER(SEARCH("LIQUEUR",C1125)),"Liqueurs",
 ISNUMBER(SEARCH("CORDIAL",C1125)),"Liqueurs",
 ISNUMBER(SEARCH("SCHNAPP",C1125)),"Liqueurs",
 ISNUMBER(SEARCH("GIN",C1125)),"Gin",
 TRUE,"Other")</f>
        <v>Other</v>
      </c>
      <c r="E1125" s="5">
        <v>62</v>
      </c>
      <c r="F1125" s="5">
        <v>2170</v>
      </c>
      <c r="G1125" s="5"/>
      <c r="H1125" s="5">
        <v>14</v>
      </c>
    </row>
    <row r="1126" spans="1:8">
      <c r="A1126" s="5">
        <v>2022</v>
      </c>
      <c r="B1126" s="6">
        <v>44562</v>
      </c>
      <c r="C1126" s="5" t="s">
        <v>52</v>
      </c>
      <c r="D1126" s="3" t="str" cm="1">
        <f t="array" ref="D1126">_xlfn.IFS(
 ISNUMBER(SEARCH("WHISK",C1126)),"Whiskey",
 ISNUMBER(SEARCH("BOURBON",C1126)),"Whiskey",
 ISNUMBER(SEARCH("SCOTCH",C1126)),"Whiskey",
 ISNUMBER(SEARCH("RYE",C1126)),"Whiskey",
 ISNUMBER(SEARCH("VODKA",C1126)),"Vodka",
 ISNUMBER(SEARCH("TEQUILA",C1126)),"Tequila/Mezcal",
 ISNUMBER(SEARCH("MEZCAL",C1126)),"Tequila/Mezcal",
 ISNUMBER(SEARCH("RUM",C1126)),"Rum",
 ISNUMBER(SEARCH("BRAND",C1126)),"Brandy",
 ISNUMBER(SEARCH("COGNAC",C1126)),"Brandy",
 ISNUMBER(SEARCH("LIQUEUR",C1126)),"Liqueurs",
 ISNUMBER(SEARCH("CORDIAL",C1126)),"Liqueurs",
 ISNUMBER(SEARCH("SCHNAPP",C1126)),"Liqueurs",
 ISNUMBER(SEARCH("GIN",C1126)),"Gin",
 TRUE,"Other")</f>
        <v>Gin</v>
      </c>
      <c r="E1126" s="5">
        <v>24</v>
      </c>
      <c r="F1126" s="5">
        <v>531.12</v>
      </c>
      <c r="G1126" s="5"/>
      <c r="H1126" s="5">
        <v>2</v>
      </c>
    </row>
    <row r="1127" spans="1:8">
      <c r="A1127" s="5">
        <v>2022</v>
      </c>
      <c r="B1127" s="6">
        <v>44593</v>
      </c>
      <c r="C1127" s="5" t="s">
        <v>50</v>
      </c>
      <c r="D1127" s="3" t="str" cm="1">
        <f t="array" ref="D1127">_xlfn.IFS(
 ISNUMBER(SEARCH("WHISK",C1127)),"Whiskey",
 ISNUMBER(SEARCH("BOURBON",C1127)),"Whiskey",
 ISNUMBER(SEARCH("SCOTCH",C1127)),"Whiskey",
 ISNUMBER(SEARCH("RYE",C1127)),"Whiskey",
 ISNUMBER(SEARCH("VODKA",C1127)),"Vodka",
 ISNUMBER(SEARCH("TEQUILA",C1127)),"Tequila/Mezcal",
 ISNUMBER(SEARCH("MEZCAL",C1127)),"Tequila/Mezcal",
 ISNUMBER(SEARCH("RUM",C1127)),"Rum",
 ISNUMBER(SEARCH("BRAND",C1127)),"Brandy",
 ISNUMBER(SEARCH("COGNAC",C1127)),"Brandy",
 ISNUMBER(SEARCH("LIQUEUR",C1127)),"Liqueurs",
 ISNUMBER(SEARCH("CORDIAL",C1127)),"Liqueurs",
 ISNUMBER(SEARCH("SCHNAPP",C1127)),"Liqueurs",
 ISNUMBER(SEARCH("GIN",C1127)),"Gin",
 TRUE,"Other")</f>
        <v>Tequila/Mezcal</v>
      </c>
      <c r="E1127" s="5">
        <v>63393</v>
      </c>
      <c r="F1127" s="5">
        <v>1927074.5499999556</v>
      </c>
      <c r="G1127" s="5"/>
      <c r="H1127" s="5">
        <v>6848</v>
      </c>
    </row>
    <row r="1128" spans="1:8">
      <c r="A1128" s="5">
        <v>2022</v>
      </c>
      <c r="B1128" s="6">
        <v>44593</v>
      </c>
      <c r="C1128" s="5" t="s">
        <v>8</v>
      </c>
      <c r="D1128" s="3" t="str" cm="1">
        <f t="array" ref="D1128">_xlfn.IFS(
 ISNUMBER(SEARCH("WHISK",C1128)),"Whiskey",
 ISNUMBER(SEARCH("BOURBON",C1128)),"Whiskey",
 ISNUMBER(SEARCH("SCOTCH",C1128)),"Whiskey",
 ISNUMBER(SEARCH("RYE",C1128)),"Whiskey",
 ISNUMBER(SEARCH("VODKA",C1128)),"Vodka",
 ISNUMBER(SEARCH("TEQUILA",C1128)),"Tequila/Mezcal",
 ISNUMBER(SEARCH("MEZCAL",C1128)),"Tequila/Mezcal",
 ISNUMBER(SEARCH("RUM",C1128)),"Rum",
 ISNUMBER(SEARCH("BRAND",C1128)),"Brandy",
 ISNUMBER(SEARCH("COGNAC",C1128)),"Brandy",
 ISNUMBER(SEARCH("LIQUEUR",C1128)),"Liqueurs",
 ISNUMBER(SEARCH("CORDIAL",C1128)),"Liqueurs",
 ISNUMBER(SEARCH("SCHNAPP",C1128)),"Liqueurs",
 ISNUMBER(SEARCH("GIN",C1128)),"Gin",
 TRUE,"Other")</f>
        <v>Brandy</v>
      </c>
      <c r="E1128" s="5">
        <v>57151</v>
      </c>
      <c r="F1128" s="5">
        <v>389278.20000000112</v>
      </c>
      <c r="G1128" s="5"/>
      <c r="H1128" s="5">
        <v>5117</v>
      </c>
    </row>
    <row r="1129" spans="1:8">
      <c r="A1129" s="5">
        <v>2022</v>
      </c>
      <c r="B1129" s="6">
        <v>44593</v>
      </c>
      <c r="C1129" s="5" t="s">
        <v>11</v>
      </c>
      <c r="D1129" s="3" t="str" cm="1">
        <f t="array" ref="D1129">_xlfn.IFS(
 ISNUMBER(SEARCH("WHISK",C1129)),"Whiskey",
 ISNUMBER(SEARCH("BOURBON",C1129)),"Whiskey",
 ISNUMBER(SEARCH("SCOTCH",C1129)),"Whiskey",
 ISNUMBER(SEARCH("RYE",C1129)),"Whiskey",
 ISNUMBER(SEARCH("VODKA",C1129)),"Vodka",
 ISNUMBER(SEARCH("TEQUILA",C1129)),"Tequila/Mezcal",
 ISNUMBER(SEARCH("MEZCAL",C1129)),"Tequila/Mezcal",
 ISNUMBER(SEARCH("RUM",C1129)),"Rum",
 ISNUMBER(SEARCH("BRAND",C1129)),"Brandy",
 ISNUMBER(SEARCH("COGNAC",C1129)),"Brandy",
 ISNUMBER(SEARCH("LIQUEUR",C1129)),"Liqueurs",
 ISNUMBER(SEARCH("CORDIAL",C1129)),"Liqueurs",
 ISNUMBER(SEARCH("SCHNAPP",C1129)),"Liqueurs",
 ISNUMBER(SEARCH("GIN",C1129)),"Gin",
 TRUE,"Other")</f>
        <v>Gin</v>
      </c>
      <c r="E1129" s="5">
        <v>20154</v>
      </c>
      <c r="F1129" s="5">
        <v>236315.81999999969</v>
      </c>
      <c r="G1129" s="5"/>
      <c r="H1129" s="5">
        <v>1890</v>
      </c>
    </row>
    <row r="1130" spans="1:8">
      <c r="A1130" s="5">
        <v>2022</v>
      </c>
      <c r="B1130" s="6">
        <v>44593</v>
      </c>
      <c r="C1130" s="5" t="s">
        <v>15</v>
      </c>
      <c r="D1130" s="3" t="str" cm="1">
        <f t="array" ref="D1130">_xlfn.IFS(
 ISNUMBER(SEARCH("WHISK",C1130)),"Whiskey",
 ISNUMBER(SEARCH("BOURBON",C1130)),"Whiskey",
 ISNUMBER(SEARCH("SCOTCH",C1130)),"Whiskey",
 ISNUMBER(SEARCH("RYE",C1130)),"Whiskey",
 ISNUMBER(SEARCH("VODKA",C1130)),"Vodka",
 ISNUMBER(SEARCH("TEQUILA",C1130)),"Tequila/Mezcal",
 ISNUMBER(SEARCH("MEZCAL",C1130)),"Tequila/Mezcal",
 ISNUMBER(SEARCH("RUM",C1130)),"Rum",
 ISNUMBER(SEARCH("BRAND",C1130)),"Brandy",
 ISNUMBER(SEARCH("COGNAC",C1130)),"Brandy",
 ISNUMBER(SEARCH("LIQUEUR",C1130)),"Liqueurs",
 ISNUMBER(SEARCH("CORDIAL",C1130)),"Liqueurs",
 ISNUMBER(SEARCH("SCHNAPP",C1130)),"Liqueurs",
 ISNUMBER(SEARCH("GIN",C1130)),"Gin",
 TRUE,"Other")</f>
        <v>Vodka</v>
      </c>
      <c r="E1130" s="5">
        <v>415989</v>
      </c>
      <c r="F1130" s="5">
        <v>4202208.8999999631</v>
      </c>
      <c r="G1130" s="5"/>
      <c r="H1130" s="5">
        <v>26374</v>
      </c>
    </row>
    <row r="1131" spans="1:8">
      <c r="A1131" s="5">
        <v>2022</v>
      </c>
      <c r="B1131" s="6">
        <v>44593</v>
      </c>
      <c r="C1131" s="5" t="s">
        <v>16</v>
      </c>
      <c r="D1131" s="3" t="str" cm="1">
        <f t="array" ref="D1131">_xlfn.IFS(
 ISNUMBER(SEARCH("WHISK",C1131)),"Whiskey",
 ISNUMBER(SEARCH("BOURBON",C1131)),"Whiskey",
 ISNUMBER(SEARCH("SCOTCH",C1131)),"Whiskey",
 ISNUMBER(SEARCH("RYE",C1131)),"Whiskey",
 ISNUMBER(SEARCH("VODKA",C1131)),"Vodka",
 ISNUMBER(SEARCH("TEQUILA",C1131)),"Tequila/Mezcal",
 ISNUMBER(SEARCH("MEZCAL",C1131)),"Tequila/Mezcal",
 ISNUMBER(SEARCH("RUM",C1131)),"Rum",
 ISNUMBER(SEARCH("BRAND",C1131)),"Brandy",
 ISNUMBER(SEARCH("COGNAC",C1131)),"Brandy",
 ISNUMBER(SEARCH("LIQUEUR",C1131)),"Liqueurs",
 ISNUMBER(SEARCH("CORDIAL",C1131)),"Liqueurs",
 ISNUMBER(SEARCH("SCHNAPP",C1131)),"Liqueurs",
 ISNUMBER(SEARCH("GIN",C1131)),"Gin",
 TRUE,"Other")</f>
        <v>Whiskey</v>
      </c>
      <c r="E1131" s="5">
        <v>68355</v>
      </c>
      <c r="F1131" s="5">
        <v>865435.30000000331</v>
      </c>
      <c r="G1131" s="5"/>
      <c r="H1131" s="5">
        <v>7477</v>
      </c>
    </row>
    <row r="1132" spans="1:8">
      <c r="A1132" s="5">
        <v>2022</v>
      </c>
      <c r="B1132" s="6">
        <v>44593</v>
      </c>
      <c r="C1132" s="5" t="s">
        <v>18</v>
      </c>
      <c r="D1132" s="3" t="str" cm="1">
        <f t="array" ref="D1132">_xlfn.IFS(
 ISNUMBER(SEARCH("WHISK",C1132)),"Whiskey",
 ISNUMBER(SEARCH("BOURBON",C1132)),"Whiskey",
 ISNUMBER(SEARCH("SCOTCH",C1132)),"Whiskey",
 ISNUMBER(SEARCH("RYE",C1132)),"Whiskey",
 ISNUMBER(SEARCH("VODKA",C1132)),"Vodka",
 ISNUMBER(SEARCH("TEQUILA",C1132)),"Tequila/Mezcal",
 ISNUMBER(SEARCH("MEZCAL",C1132)),"Tequila/Mezcal",
 ISNUMBER(SEARCH("RUM",C1132)),"Rum",
 ISNUMBER(SEARCH("BRAND",C1132)),"Brandy",
 ISNUMBER(SEARCH("COGNAC",C1132)),"Brandy",
 ISNUMBER(SEARCH("LIQUEUR",C1132)),"Liqueurs",
 ISNUMBER(SEARCH("CORDIAL",C1132)),"Liqueurs",
 ISNUMBER(SEARCH("SCHNAPP",C1132)),"Liqueurs",
 ISNUMBER(SEARCH("GIN",C1132)),"Gin",
 TRUE,"Other")</f>
        <v>Whiskey</v>
      </c>
      <c r="E1132" s="5">
        <v>213188</v>
      </c>
      <c r="F1132" s="5">
        <v>3398065.6100000958</v>
      </c>
      <c r="G1132" s="5"/>
      <c r="H1132" s="5">
        <v>14924</v>
      </c>
    </row>
    <row r="1133" spans="1:8">
      <c r="A1133" s="5">
        <v>2022</v>
      </c>
      <c r="B1133" s="6">
        <v>44593</v>
      </c>
      <c r="C1133" s="5" t="s">
        <v>19</v>
      </c>
      <c r="D1133" s="3" t="str" cm="1">
        <f t="array" ref="D1133">_xlfn.IFS(
 ISNUMBER(SEARCH("WHISK",C1133)),"Whiskey",
 ISNUMBER(SEARCH("BOURBON",C1133)),"Whiskey",
 ISNUMBER(SEARCH("SCOTCH",C1133)),"Whiskey",
 ISNUMBER(SEARCH("RYE",C1133)),"Whiskey",
 ISNUMBER(SEARCH("VODKA",C1133)),"Vodka",
 ISNUMBER(SEARCH("TEQUILA",C1133)),"Tequila/Mezcal",
 ISNUMBER(SEARCH("MEZCAL",C1133)),"Tequila/Mezcal",
 ISNUMBER(SEARCH("RUM",C1133)),"Rum",
 ISNUMBER(SEARCH("BRAND",C1133)),"Brandy",
 ISNUMBER(SEARCH("COGNAC",C1133)),"Brandy",
 ISNUMBER(SEARCH("LIQUEUR",C1133)),"Liqueurs",
 ISNUMBER(SEARCH("CORDIAL",C1133)),"Liqueurs",
 ISNUMBER(SEARCH("SCHNAPP",C1133)),"Liqueurs",
 ISNUMBER(SEARCH("GIN",C1133)),"Gin",
 TRUE,"Other")</f>
        <v>Other</v>
      </c>
      <c r="E1133" s="5">
        <v>44098</v>
      </c>
      <c r="F1133" s="5">
        <v>487017.23999998212</v>
      </c>
      <c r="G1133" s="5"/>
      <c r="H1133" s="5">
        <v>5002</v>
      </c>
    </row>
    <row r="1134" spans="1:8">
      <c r="A1134" s="5">
        <v>2022</v>
      </c>
      <c r="B1134" s="6">
        <v>44593</v>
      </c>
      <c r="C1134" s="5" t="s">
        <v>20</v>
      </c>
      <c r="D1134" s="3" t="str" cm="1">
        <f t="array" ref="D1134">_xlfn.IFS(
 ISNUMBER(SEARCH("WHISK",C1134)),"Whiskey",
 ISNUMBER(SEARCH("BOURBON",C1134)),"Whiskey",
 ISNUMBER(SEARCH("SCOTCH",C1134)),"Whiskey",
 ISNUMBER(SEARCH("RYE",C1134)),"Whiskey",
 ISNUMBER(SEARCH("VODKA",C1134)),"Vodka",
 ISNUMBER(SEARCH("TEQUILA",C1134)),"Tequila/Mezcal",
 ISNUMBER(SEARCH("MEZCAL",C1134)),"Tequila/Mezcal",
 ISNUMBER(SEARCH("RUM",C1134)),"Rum",
 ISNUMBER(SEARCH("BRAND",C1134)),"Brandy",
 ISNUMBER(SEARCH("COGNAC",C1134)),"Brandy",
 ISNUMBER(SEARCH("LIQUEUR",C1134)),"Liqueurs",
 ISNUMBER(SEARCH("CORDIAL",C1134)),"Liqueurs",
 ISNUMBER(SEARCH("SCHNAPP",C1134)),"Liqueurs",
 ISNUMBER(SEARCH("GIN",C1134)),"Gin",
 TRUE,"Other")</f>
        <v>Liqueurs</v>
      </c>
      <c r="E1134" s="5">
        <v>7757</v>
      </c>
      <c r="F1134" s="5">
        <v>144409.00000000084</v>
      </c>
      <c r="G1134" s="5"/>
      <c r="H1134" s="5">
        <v>980</v>
      </c>
    </row>
    <row r="1135" spans="1:8">
      <c r="A1135" s="5">
        <v>2022</v>
      </c>
      <c r="B1135" s="6">
        <v>44593</v>
      </c>
      <c r="C1135" s="5" t="s">
        <v>22</v>
      </c>
      <c r="D1135" s="3" t="str" cm="1">
        <f t="array" ref="D1135">_xlfn.IFS(
 ISNUMBER(SEARCH("WHISK",C1135)),"Whiskey",
 ISNUMBER(SEARCH("BOURBON",C1135)),"Whiskey",
 ISNUMBER(SEARCH("SCOTCH",C1135)),"Whiskey",
 ISNUMBER(SEARCH("RYE",C1135)),"Whiskey",
 ISNUMBER(SEARCH("VODKA",C1135)),"Vodka",
 ISNUMBER(SEARCH("TEQUILA",C1135)),"Tequila/Mezcal",
 ISNUMBER(SEARCH("MEZCAL",C1135)),"Tequila/Mezcal",
 ISNUMBER(SEARCH("RUM",C1135)),"Rum",
 ISNUMBER(SEARCH("BRAND",C1135)),"Brandy",
 ISNUMBER(SEARCH("COGNAC",C1135)),"Brandy",
 ISNUMBER(SEARCH("LIQUEUR",C1135)),"Liqueurs",
 ISNUMBER(SEARCH("CORDIAL",C1135)),"Liqueurs",
 ISNUMBER(SEARCH("SCHNAPP",C1135)),"Liqueurs",
 ISNUMBER(SEARCH("GIN",C1135)),"Gin",
 TRUE,"Other")</f>
        <v>Liqueurs</v>
      </c>
      <c r="E1135" s="5">
        <v>31105</v>
      </c>
      <c r="F1135" s="5">
        <v>612771.72999999626</v>
      </c>
      <c r="G1135" s="5"/>
      <c r="H1135" s="5">
        <v>3753</v>
      </c>
    </row>
    <row r="1136" spans="1:8">
      <c r="A1136" s="5">
        <v>2022</v>
      </c>
      <c r="B1136" s="6">
        <v>44593</v>
      </c>
      <c r="C1136" s="5" t="s">
        <v>24</v>
      </c>
      <c r="D1136" s="3" t="str" cm="1">
        <f t="array" ref="D1136">_xlfn.IFS(
 ISNUMBER(SEARCH("WHISK",C1136)),"Whiskey",
 ISNUMBER(SEARCH("BOURBON",C1136)),"Whiskey",
 ISNUMBER(SEARCH("SCOTCH",C1136)),"Whiskey",
 ISNUMBER(SEARCH("RYE",C1136)),"Whiskey",
 ISNUMBER(SEARCH("VODKA",C1136)),"Vodka",
 ISNUMBER(SEARCH("TEQUILA",C1136)),"Tequila/Mezcal",
 ISNUMBER(SEARCH("MEZCAL",C1136)),"Tequila/Mezcal",
 ISNUMBER(SEARCH("RUM",C1136)),"Rum",
 ISNUMBER(SEARCH("BRAND",C1136)),"Brandy",
 ISNUMBER(SEARCH("COGNAC",C1136)),"Brandy",
 ISNUMBER(SEARCH("LIQUEUR",C1136)),"Liqueurs",
 ISNUMBER(SEARCH("CORDIAL",C1136)),"Liqueurs",
 ISNUMBER(SEARCH("SCHNAPP",C1136)),"Liqueurs",
 ISNUMBER(SEARCH("GIN",C1136)),"Gin",
 TRUE,"Other")</f>
        <v>Rum</v>
      </c>
      <c r="E1136" s="5">
        <v>37238</v>
      </c>
      <c r="F1136" s="5">
        <v>540827.81000000227</v>
      </c>
      <c r="G1136" s="5"/>
      <c r="H1136" s="5">
        <v>3803</v>
      </c>
    </row>
    <row r="1137" spans="1:8">
      <c r="A1137" s="5">
        <v>2022</v>
      </c>
      <c r="B1137" s="6">
        <v>44593</v>
      </c>
      <c r="C1137" s="5" t="s">
        <v>25</v>
      </c>
      <c r="D1137" s="3" t="str" cm="1">
        <f t="array" ref="D1137">_xlfn.IFS(
 ISNUMBER(SEARCH("WHISK",C1137)),"Whiskey",
 ISNUMBER(SEARCH("BOURBON",C1137)),"Whiskey",
 ISNUMBER(SEARCH("SCOTCH",C1137)),"Whiskey",
 ISNUMBER(SEARCH("RYE",C1137)),"Whiskey",
 ISNUMBER(SEARCH("VODKA",C1137)),"Vodka",
 ISNUMBER(SEARCH("TEQUILA",C1137)),"Tequila/Mezcal",
 ISNUMBER(SEARCH("MEZCAL",C1137)),"Tequila/Mezcal",
 ISNUMBER(SEARCH("RUM",C1137)),"Rum",
 ISNUMBER(SEARCH("BRAND",C1137)),"Brandy",
 ISNUMBER(SEARCH("COGNAC",C1137)),"Brandy",
 ISNUMBER(SEARCH("LIQUEUR",C1137)),"Liqueurs",
 ISNUMBER(SEARCH("CORDIAL",C1137)),"Liqueurs",
 ISNUMBER(SEARCH("SCHNAPP",C1137)),"Liqueurs",
 ISNUMBER(SEARCH("GIN",C1137)),"Gin",
 TRUE,"Other")</f>
        <v>Rum</v>
      </c>
      <c r="E1137" s="5">
        <v>5976</v>
      </c>
      <c r="F1137" s="5">
        <v>79004.5799999999</v>
      </c>
      <c r="G1137" s="5"/>
      <c r="H1137" s="5">
        <v>887</v>
      </c>
    </row>
    <row r="1138" spans="1:8">
      <c r="A1138" s="5">
        <v>2022</v>
      </c>
      <c r="B1138" s="6">
        <v>44593</v>
      </c>
      <c r="C1138" s="5" t="s">
        <v>30</v>
      </c>
      <c r="D1138" s="3" t="str" cm="1">
        <f t="array" ref="D1138">_xlfn.IFS(
 ISNUMBER(SEARCH("WHISK",C1138)),"Whiskey",
 ISNUMBER(SEARCH("BOURBON",C1138)),"Whiskey",
 ISNUMBER(SEARCH("SCOTCH",C1138)),"Whiskey",
 ISNUMBER(SEARCH("RYE",C1138)),"Whiskey",
 ISNUMBER(SEARCH("VODKA",C1138)),"Vodka",
 ISNUMBER(SEARCH("TEQUILA",C1138)),"Tequila/Mezcal",
 ISNUMBER(SEARCH("MEZCAL",C1138)),"Tequila/Mezcal",
 ISNUMBER(SEARCH("RUM",C1138)),"Rum",
 ISNUMBER(SEARCH("BRAND",C1138)),"Brandy",
 ISNUMBER(SEARCH("COGNAC",C1138)),"Brandy",
 ISNUMBER(SEARCH("LIQUEUR",C1138)),"Liqueurs",
 ISNUMBER(SEARCH("CORDIAL",C1138)),"Liqueurs",
 ISNUMBER(SEARCH("SCHNAPP",C1138)),"Liqueurs",
 ISNUMBER(SEARCH("GIN",C1138)),"Gin",
 TRUE,"Other")</f>
        <v>Vodka</v>
      </c>
      <c r="E1138" s="5">
        <v>19898</v>
      </c>
      <c r="F1138" s="5">
        <v>338924.99000000127</v>
      </c>
      <c r="G1138" s="5"/>
      <c r="H1138" s="5">
        <v>2638</v>
      </c>
    </row>
    <row r="1139" spans="1:8">
      <c r="A1139" s="5">
        <v>2022</v>
      </c>
      <c r="B1139" s="6">
        <v>44593</v>
      </c>
      <c r="C1139" s="5" t="s">
        <v>32</v>
      </c>
      <c r="D1139" s="3" t="str" cm="1">
        <f t="array" ref="D1139">_xlfn.IFS(
 ISNUMBER(SEARCH("WHISK",C1139)),"Whiskey",
 ISNUMBER(SEARCH("BOURBON",C1139)),"Whiskey",
 ISNUMBER(SEARCH("SCOTCH",C1139)),"Whiskey",
 ISNUMBER(SEARCH("RYE",C1139)),"Whiskey",
 ISNUMBER(SEARCH("VODKA",C1139)),"Vodka",
 ISNUMBER(SEARCH("TEQUILA",C1139)),"Tequila/Mezcal",
 ISNUMBER(SEARCH("MEZCAL",C1139)),"Tequila/Mezcal",
 ISNUMBER(SEARCH("RUM",C1139)),"Rum",
 ISNUMBER(SEARCH("BRAND",C1139)),"Brandy",
 ISNUMBER(SEARCH("COGNAC",C1139)),"Brandy",
 ISNUMBER(SEARCH("LIQUEUR",C1139)),"Liqueurs",
 ISNUMBER(SEARCH("CORDIAL",C1139)),"Liqueurs",
 ISNUMBER(SEARCH("SCHNAPP",C1139)),"Liqueurs",
 ISNUMBER(SEARCH("GIN",C1139)),"Gin",
 TRUE,"Other")</f>
        <v>Vodka</v>
      </c>
      <c r="E1139" s="5">
        <v>47501</v>
      </c>
      <c r="F1139" s="5">
        <v>817438.11999998975</v>
      </c>
      <c r="G1139" s="5"/>
      <c r="H1139" s="5">
        <v>4434</v>
      </c>
    </row>
    <row r="1140" spans="1:8">
      <c r="A1140" s="5">
        <v>2022</v>
      </c>
      <c r="B1140" s="6">
        <v>44593</v>
      </c>
      <c r="C1140" s="5" t="s">
        <v>39</v>
      </c>
      <c r="D1140" s="3" t="str" cm="1">
        <f t="array" ref="D1140">_xlfn.IFS(
 ISNUMBER(SEARCH("WHISK",C1140)),"Whiskey",
 ISNUMBER(SEARCH("BOURBON",C1140)),"Whiskey",
 ISNUMBER(SEARCH("SCOTCH",C1140)),"Whiskey",
 ISNUMBER(SEARCH("RYE",C1140)),"Whiskey",
 ISNUMBER(SEARCH("VODKA",C1140)),"Vodka",
 ISNUMBER(SEARCH("TEQUILA",C1140)),"Tequila/Mezcal",
 ISNUMBER(SEARCH("MEZCAL",C1140)),"Tequila/Mezcal",
 ISNUMBER(SEARCH("RUM",C1140)),"Rum",
 ISNUMBER(SEARCH("BRAND",C1140)),"Brandy",
 ISNUMBER(SEARCH("COGNAC",C1140)),"Brandy",
 ISNUMBER(SEARCH("LIQUEUR",C1140)),"Liqueurs",
 ISNUMBER(SEARCH("CORDIAL",C1140)),"Liqueurs",
 ISNUMBER(SEARCH("SCHNAPP",C1140)),"Liqueurs",
 ISNUMBER(SEARCH("GIN",C1140)),"Gin",
 TRUE,"Other")</f>
        <v>Whiskey</v>
      </c>
      <c r="E1140" s="5">
        <v>3120</v>
      </c>
      <c r="F1140" s="5">
        <v>107787.13</v>
      </c>
      <c r="G1140" s="5"/>
      <c r="H1140" s="5">
        <v>413</v>
      </c>
    </row>
    <row r="1141" spans="1:8">
      <c r="A1141" s="5">
        <v>2022</v>
      </c>
      <c r="B1141" s="6">
        <v>44593</v>
      </c>
      <c r="C1141" s="5" t="s">
        <v>42</v>
      </c>
      <c r="D1141" s="3" t="str" cm="1">
        <f t="array" ref="D1141">_xlfn.IFS(
 ISNUMBER(SEARCH("WHISK",C1141)),"Whiskey",
 ISNUMBER(SEARCH("BOURBON",C1141)),"Whiskey",
 ISNUMBER(SEARCH("SCOTCH",C1141)),"Whiskey",
 ISNUMBER(SEARCH("RYE",C1141)),"Whiskey",
 ISNUMBER(SEARCH("VODKA",C1141)),"Vodka",
 ISNUMBER(SEARCH("TEQUILA",C1141)),"Tequila/Mezcal",
 ISNUMBER(SEARCH("MEZCAL",C1141)),"Tequila/Mezcal",
 ISNUMBER(SEARCH("RUM",C1141)),"Rum",
 ISNUMBER(SEARCH("BRAND",C1141)),"Brandy",
 ISNUMBER(SEARCH("COGNAC",C1141)),"Brandy",
 ISNUMBER(SEARCH("LIQUEUR",C1141)),"Liqueurs",
 ISNUMBER(SEARCH("CORDIAL",C1141)),"Liqueurs",
 ISNUMBER(SEARCH("SCHNAPP",C1141)),"Liqueurs",
 ISNUMBER(SEARCH("GIN",C1141)),"Gin",
 TRUE,"Other")</f>
        <v>Rum</v>
      </c>
      <c r="E1141" s="5">
        <v>89388</v>
      </c>
      <c r="F1141" s="5">
        <v>1246141.5599999896</v>
      </c>
      <c r="G1141" s="5"/>
      <c r="H1141" s="5">
        <v>7687</v>
      </c>
    </row>
    <row r="1142" spans="1:8">
      <c r="A1142" s="5">
        <v>2022</v>
      </c>
      <c r="B1142" s="6">
        <v>44593</v>
      </c>
      <c r="C1142" s="5" t="s">
        <v>43</v>
      </c>
      <c r="D1142" s="3" t="str" cm="1">
        <f t="array" ref="D1142">_xlfn.IFS(
 ISNUMBER(SEARCH("WHISK",C1142)),"Whiskey",
 ISNUMBER(SEARCH("BOURBON",C1142)),"Whiskey",
 ISNUMBER(SEARCH("SCOTCH",C1142)),"Whiskey",
 ISNUMBER(SEARCH("RYE",C1142)),"Whiskey",
 ISNUMBER(SEARCH("VODKA",C1142)),"Vodka",
 ISNUMBER(SEARCH("TEQUILA",C1142)),"Tequila/Mezcal",
 ISNUMBER(SEARCH("MEZCAL",C1142)),"Tequila/Mezcal",
 ISNUMBER(SEARCH("RUM",C1142)),"Rum",
 ISNUMBER(SEARCH("BRAND",C1142)),"Brandy",
 ISNUMBER(SEARCH("COGNAC",C1142)),"Brandy",
 ISNUMBER(SEARCH("LIQUEUR",C1142)),"Liqueurs",
 ISNUMBER(SEARCH("CORDIAL",C1142)),"Liqueurs",
 ISNUMBER(SEARCH("SCHNAPP",C1142)),"Liqueurs",
 ISNUMBER(SEARCH("GIN",C1142)),"Gin",
 TRUE,"Other")</f>
        <v>Whiskey</v>
      </c>
      <c r="E1142" s="5">
        <v>115614</v>
      </c>
      <c r="F1142" s="5">
        <v>2513463.8899999778</v>
      </c>
      <c r="G1142" s="5"/>
      <c r="H1142" s="5">
        <v>14182</v>
      </c>
    </row>
    <row r="1143" spans="1:8">
      <c r="A1143" s="5">
        <v>2022</v>
      </c>
      <c r="B1143" s="6">
        <v>44593</v>
      </c>
      <c r="C1143" s="5" t="s">
        <v>45</v>
      </c>
      <c r="D1143" s="3" t="str" cm="1">
        <f t="array" ref="D1143">_xlfn.IFS(
 ISNUMBER(SEARCH("WHISK",C1143)),"Whiskey",
 ISNUMBER(SEARCH("BOURBON",C1143)),"Whiskey",
 ISNUMBER(SEARCH("SCOTCH",C1143)),"Whiskey",
 ISNUMBER(SEARCH("RYE",C1143)),"Whiskey",
 ISNUMBER(SEARCH("VODKA",C1143)),"Vodka",
 ISNUMBER(SEARCH("TEQUILA",C1143)),"Tequila/Mezcal",
 ISNUMBER(SEARCH("MEZCAL",C1143)),"Tequila/Mezcal",
 ISNUMBER(SEARCH("RUM",C1143)),"Rum",
 ISNUMBER(SEARCH("BRAND",C1143)),"Brandy",
 ISNUMBER(SEARCH("COGNAC",C1143)),"Brandy",
 ISNUMBER(SEARCH("LIQUEUR",C1143)),"Liqueurs",
 ISNUMBER(SEARCH("CORDIAL",C1143)),"Liqueurs",
 ISNUMBER(SEARCH("SCHNAPP",C1143)),"Liqueurs",
 ISNUMBER(SEARCH("GIN",C1143)),"Gin",
 TRUE,"Other")</f>
        <v>Other</v>
      </c>
      <c r="E1143" s="5">
        <v>19465</v>
      </c>
      <c r="F1143" s="5">
        <v>391115.43999999709</v>
      </c>
      <c r="G1143" s="5"/>
      <c r="H1143" s="5">
        <v>2673</v>
      </c>
    </row>
    <row r="1144" spans="1:8">
      <c r="A1144" s="5">
        <v>2022</v>
      </c>
      <c r="B1144" s="6">
        <v>44593</v>
      </c>
      <c r="C1144" s="5" t="s">
        <v>48</v>
      </c>
      <c r="D1144" s="3" t="str" cm="1">
        <f t="array" ref="D1144">_xlfn.IFS(
 ISNUMBER(SEARCH("WHISK",C1144)),"Whiskey",
 ISNUMBER(SEARCH("BOURBON",C1144)),"Whiskey",
 ISNUMBER(SEARCH("SCOTCH",C1144)),"Whiskey",
 ISNUMBER(SEARCH("RYE",C1144)),"Whiskey",
 ISNUMBER(SEARCH("VODKA",C1144)),"Vodka",
 ISNUMBER(SEARCH("TEQUILA",C1144)),"Tequila/Mezcal",
 ISNUMBER(SEARCH("MEZCAL",C1144)),"Tequila/Mezcal",
 ISNUMBER(SEARCH("RUM",C1144)),"Rum",
 ISNUMBER(SEARCH("BRAND",C1144)),"Brandy",
 ISNUMBER(SEARCH("COGNAC",C1144)),"Brandy",
 ISNUMBER(SEARCH("LIQUEUR",C1144)),"Liqueurs",
 ISNUMBER(SEARCH("CORDIAL",C1144)),"Liqueurs",
 ISNUMBER(SEARCH("SCHNAPP",C1144)),"Liqueurs",
 ISNUMBER(SEARCH("GIN",C1144)),"Gin",
 TRUE,"Other")</f>
        <v>Whiskey</v>
      </c>
      <c r="E1144" s="5">
        <v>284186</v>
      </c>
      <c r="F1144" s="5">
        <v>1740647.0499999933</v>
      </c>
      <c r="G1144" s="5"/>
      <c r="H1144" s="5">
        <v>10098</v>
      </c>
    </row>
    <row r="1145" spans="1:8">
      <c r="A1145" s="5">
        <v>2022</v>
      </c>
      <c r="B1145" s="6">
        <v>44593</v>
      </c>
      <c r="C1145" s="5" t="s">
        <v>49</v>
      </c>
      <c r="D1145" s="3" t="str" cm="1">
        <f t="array" ref="D1145">_xlfn.IFS(
 ISNUMBER(SEARCH("WHISK",C1145)),"Whiskey",
 ISNUMBER(SEARCH("BOURBON",C1145)),"Whiskey",
 ISNUMBER(SEARCH("SCOTCH",C1145)),"Whiskey",
 ISNUMBER(SEARCH("RYE",C1145)),"Whiskey",
 ISNUMBER(SEARCH("VODKA",C1145)),"Vodka",
 ISNUMBER(SEARCH("TEQUILA",C1145)),"Tequila/Mezcal",
 ISNUMBER(SEARCH("MEZCAL",C1145)),"Tequila/Mezcal",
 ISNUMBER(SEARCH("RUM",C1145)),"Rum",
 ISNUMBER(SEARCH("BRAND",C1145)),"Brandy",
 ISNUMBER(SEARCH("COGNAC",C1145)),"Brandy",
 ISNUMBER(SEARCH("LIQUEUR",C1145)),"Liqueurs",
 ISNUMBER(SEARCH("CORDIAL",C1145)),"Liqueurs",
 ISNUMBER(SEARCH("SCHNAPP",C1145)),"Liqueurs",
 ISNUMBER(SEARCH("GIN",C1145)),"Gin",
 TRUE,"Other")</f>
        <v>Rum</v>
      </c>
      <c r="E1145" s="5">
        <v>39023</v>
      </c>
      <c r="F1145" s="5">
        <v>462083.70999999618</v>
      </c>
      <c r="G1145" s="5"/>
      <c r="H1145" s="5">
        <v>3494</v>
      </c>
    </row>
    <row r="1146" spans="1:8">
      <c r="A1146" s="5">
        <v>2022</v>
      </c>
      <c r="B1146" s="6">
        <v>44593</v>
      </c>
      <c r="C1146" s="5" t="s">
        <v>59</v>
      </c>
      <c r="D1146" s="3" t="str" cm="1">
        <f t="array" ref="D1146">_xlfn.IFS(
 ISNUMBER(SEARCH("WHISK",C1146)),"Whiskey",
 ISNUMBER(SEARCH("BOURBON",C1146)),"Whiskey",
 ISNUMBER(SEARCH("SCOTCH",C1146)),"Whiskey",
 ISNUMBER(SEARCH("RYE",C1146)),"Whiskey",
 ISNUMBER(SEARCH("VODKA",C1146)),"Vodka",
 ISNUMBER(SEARCH("TEQUILA",C1146)),"Tequila/Mezcal",
 ISNUMBER(SEARCH("MEZCAL",C1146)),"Tequila/Mezcal",
 ISNUMBER(SEARCH("RUM",C1146)),"Rum",
 ISNUMBER(SEARCH("BRAND",C1146)),"Brandy",
 ISNUMBER(SEARCH("COGNAC",C1146)),"Brandy",
 ISNUMBER(SEARCH("LIQUEUR",C1146)),"Liqueurs",
 ISNUMBER(SEARCH("CORDIAL",C1146)),"Liqueurs",
 ISNUMBER(SEARCH("SCHNAPP",C1146)),"Liqueurs",
 ISNUMBER(SEARCH("GIN",C1146)),"Gin",
 TRUE,"Other")</f>
        <v>Liqueurs</v>
      </c>
      <c r="E1146" s="5">
        <v>31470</v>
      </c>
      <c r="F1146" s="5">
        <v>276724.10000000021</v>
      </c>
      <c r="G1146" s="5"/>
      <c r="H1146" s="5">
        <v>3611</v>
      </c>
    </row>
    <row r="1147" spans="1:8">
      <c r="A1147" s="5">
        <v>2022</v>
      </c>
      <c r="B1147" s="6">
        <v>44593</v>
      </c>
      <c r="C1147" s="5" t="s">
        <v>12</v>
      </c>
      <c r="D1147" s="3" t="str" cm="1">
        <f t="array" ref="D1147">_xlfn.IFS(
 ISNUMBER(SEARCH("WHISK",C1147)),"Whiskey",
 ISNUMBER(SEARCH("BOURBON",C1147)),"Whiskey",
 ISNUMBER(SEARCH("SCOTCH",C1147)),"Whiskey",
 ISNUMBER(SEARCH("RYE",C1147)),"Whiskey",
 ISNUMBER(SEARCH("VODKA",C1147)),"Vodka",
 ISNUMBER(SEARCH("TEQUILA",C1147)),"Tequila/Mezcal",
 ISNUMBER(SEARCH("MEZCAL",C1147)),"Tequila/Mezcal",
 ISNUMBER(SEARCH("RUM",C1147)),"Rum",
 ISNUMBER(SEARCH("BRAND",C1147)),"Brandy",
 ISNUMBER(SEARCH("COGNAC",C1147)),"Brandy",
 ISNUMBER(SEARCH("LIQUEUR",C1147)),"Liqueurs",
 ISNUMBER(SEARCH("CORDIAL",C1147)),"Liqueurs",
 ISNUMBER(SEARCH("SCHNAPP",C1147)),"Liqueurs",
 ISNUMBER(SEARCH("GIN",C1147)),"Gin",
 TRUE,"Other")</f>
        <v>Vodka</v>
      </c>
      <c r="E1147" s="5">
        <v>66843</v>
      </c>
      <c r="F1147" s="5">
        <v>698515.26000002306</v>
      </c>
      <c r="G1147" s="5"/>
      <c r="H1147" s="5">
        <v>7794</v>
      </c>
    </row>
    <row r="1148" spans="1:8">
      <c r="A1148" s="5">
        <v>2022</v>
      </c>
      <c r="B1148" s="6">
        <v>44593</v>
      </c>
      <c r="C1148" s="5" t="s">
        <v>13</v>
      </c>
      <c r="D1148" s="3" t="str" cm="1">
        <f t="array" ref="D1148">_xlfn.IFS(
 ISNUMBER(SEARCH("WHISK",C1148)),"Whiskey",
 ISNUMBER(SEARCH("BOURBON",C1148)),"Whiskey",
 ISNUMBER(SEARCH("SCOTCH",C1148)),"Whiskey",
 ISNUMBER(SEARCH("RYE",C1148)),"Whiskey",
 ISNUMBER(SEARCH("VODKA",C1148)),"Vodka",
 ISNUMBER(SEARCH("TEQUILA",C1148)),"Tequila/Mezcal",
 ISNUMBER(SEARCH("MEZCAL",C1148)),"Tequila/Mezcal",
 ISNUMBER(SEARCH("RUM",C1148)),"Rum",
 ISNUMBER(SEARCH("BRAND",C1148)),"Brandy",
 ISNUMBER(SEARCH("COGNAC",C1148)),"Brandy",
 ISNUMBER(SEARCH("LIQUEUR",C1148)),"Liqueurs",
 ISNUMBER(SEARCH("CORDIAL",C1148)),"Liqueurs",
 ISNUMBER(SEARCH("SCHNAPP",C1148)),"Liqueurs",
 ISNUMBER(SEARCH("GIN",C1148)),"Gin",
 TRUE,"Other")</f>
        <v>Liqueurs</v>
      </c>
      <c r="E1148" s="5">
        <v>50838</v>
      </c>
      <c r="F1148" s="5">
        <v>384910.04999999539</v>
      </c>
      <c r="G1148" s="5"/>
      <c r="H1148" s="5">
        <v>5384</v>
      </c>
    </row>
    <row r="1149" spans="1:8">
      <c r="A1149" s="5">
        <v>2022</v>
      </c>
      <c r="B1149" s="6">
        <v>44593</v>
      </c>
      <c r="C1149" s="5" t="s">
        <v>60</v>
      </c>
      <c r="D1149" s="3" t="str" cm="1">
        <f t="array" ref="D1149">_xlfn.IFS(
 ISNUMBER(SEARCH("WHISK",C1149)),"Whiskey",
 ISNUMBER(SEARCH("BOURBON",C1149)),"Whiskey",
 ISNUMBER(SEARCH("SCOTCH",C1149)),"Whiskey",
 ISNUMBER(SEARCH("RYE",C1149)),"Whiskey",
 ISNUMBER(SEARCH("VODKA",C1149)),"Vodka",
 ISNUMBER(SEARCH("TEQUILA",C1149)),"Tequila/Mezcal",
 ISNUMBER(SEARCH("MEZCAL",C1149)),"Tequila/Mezcal",
 ISNUMBER(SEARCH("RUM",C1149)),"Rum",
 ISNUMBER(SEARCH("BRAND",C1149)),"Brandy",
 ISNUMBER(SEARCH("COGNAC",C1149)),"Brandy",
 ISNUMBER(SEARCH("LIQUEUR",C1149)),"Liqueurs",
 ISNUMBER(SEARCH("CORDIAL",C1149)),"Liqueurs",
 ISNUMBER(SEARCH("SCHNAPP",C1149)),"Liqueurs",
 ISNUMBER(SEARCH("GIN",C1149)),"Gin",
 TRUE,"Other")</f>
        <v>Liqueurs</v>
      </c>
      <c r="E1149" s="5">
        <v>45804</v>
      </c>
      <c r="F1149" s="5">
        <v>1046717.3700000059</v>
      </c>
      <c r="G1149" s="5"/>
      <c r="H1149" s="5">
        <v>4794</v>
      </c>
    </row>
    <row r="1150" spans="1:8">
      <c r="A1150" s="5">
        <v>2022</v>
      </c>
      <c r="B1150" s="6">
        <v>44593</v>
      </c>
      <c r="C1150" s="5" t="s">
        <v>38</v>
      </c>
      <c r="D1150" s="3" t="str" cm="1">
        <f t="array" ref="D1150">_xlfn.IFS(
 ISNUMBER(SEARCH("WHISK",C1150)),"Whiskey",
 ISNUMBER(SEARCH("BOURBON",C1150)),"Whiskey",
 ISNUMBER(SEARCH("SCOTCH",C1150)),"Whiskey",
 ISNUMBER(SEARCH("RYE",C1150)),"Whiskey",
 ISNUMBER(SEARCH("VODKA",C1150)),"Vodka",
 ISNUMBER(SEARCH("TEQUILA",C1150)),"Tequila/Mezcal",
 ISNUMBER(SEARCH("MEZCAL",C1150)),"Tequila/Mezcal",
 ISNUMBER(SEARCH("RUM",C1150)),"Rum",
 ISNUMBER(SEARCH("BRAND",C1150)),"Brandy",
 ISNUMBER(SEARCH("COGNAC",C1150)),"Brandy",
 ISNUMBER(SEARCH("LIQUEUR",C1150)),"Liqueurs",
 ISNUMBER(SEARCH("CORDIAL",C1150)),"Liqueurs",
 ISNUMBER(SEARCH("SCHNAPP",C1150)),"Liqueurs",
 ISNUMBER(SEARCH("GIN",C1150)),"Gin",
 TRUE,"Other")</f>
        <v>Whiskey</v>
      </c>
      <c r="E1150" s="5">
        <v>14629</v>
      </c>
      <c r="F1150" s="5">
        <v>442927.93999999709</v>
      </c>
      <c r="G1150" s="5"/>
      <c r="H1150" s="5">
        <v>2667</v>
      </c>
    </row>
    <row r="1151" spans="1:8">
      <c r="A1151" s="5">
        <v>2022</v>
      </c>
      <c r="B1151" s="6">
        <v>44593</v>
      </c>
      <c r="C1151" s="5" t="s">
        <v>40</v>
      </c>
      <c r="D1151" s="3" t="str" cm="1">
        <f t="array" ref="D1151">_xlfn.IFS(
 ISNUMBER(SEARCH("WHISK",C1151)),"Whiskey",
 ISNUMBER(SEARCH("BOURBON",C1151)),"Whiskey",
 ISNUMBER(SEARCH("SCOTCH",C1151)),"Whiskey",
 ISNUMBER(SEARCH("RYE",C1151)),"Whiskey",
 ISNUMBER(SEARCH("VODKA",C1151)),"Vodka",
 ISNUMBER(SEARCH("TEQUILA",C1151)),"Tequila/Mezcal",
 ISNUMBER(SEARCH("MEZCAL",C1151)),"Tequila/Mezcal",
 ISNUMBER(SEARCH("RUM",C1151)),"Rum",
 ISNUMBER(SEARCH("BRAND",C1151)),"Brandy",
 ISNUMBER(SEARCH("COGNAC",C1151)),"Brandy",
 ISNUMBER(SEARCH("LIQUEUR",C1151)),"Liqueurs",
 ISNUMBER(SEARCH("CORDIAL",C1151)),"Liqueurs",
 ISNUMBER(SEARCH("SCHNAPP",C1151)),"Liqueurs",
 ISNUMBER(SEARCH("GIN",C1151)),"Gin",
 TRUE,"Other")</f>
        <v>Whiskey</v>
      </c>
      <c r="E1151" s="5">
        <v>7036</v>
      </c>
      <c r="F1151" s="5">
        <v>322533.52000000043</v>
      </c>
      <c r="G1151" s="5"/>
      <c r="H1151" s="5">
        <v>1544</v>
      </c>
    </row>
    <row r="1152" spans="1:8">
      <c r="A1152" s="5">
        <v>2022</v>
      </c>
      <c r="B1152" s="6">
        <v>44593</v>
      </c>
      <c r="C1152" s="5" t="s">
        <v>44</v>
      </c>
      <c r="D1152" s="3" t="str" cm="1">
        <f t="array" ref="D1152">_xlfn.IFS(
 ISNUMBER(SEARCH("WHISK",C1152)),"Whiskey",
 ISNUMBER(SEARCH("BOURBON",C1152)),"Whiskey",
 ISNUMBER(SEARCH("SCOTCH",C1152)),"Whiskey",
 ISNUMBER(SEARCH("RYE",C1152)),"Whiskey",
 ISNUMBER(SEARCH("VODKA",C1152)),"Vodka",
 ISNUMBER(SEARCH("TEQUILA",C1152)),"Tequila/Mezcal",
 ISNUMBER(SEARCH("MEZCAL",C1152)),"Tequila/Mezcal",
 ISNUMBER(SEARCH("RUM",C1152)),"Rum",
 ISNUMBER(SEARCH("BRAND",C1152)),"Brandy",
 ISNUMBER(SEARCH("COGNAC",C1152)),"Brandy",
 ISNUMBER(SEARCH("LIQUEUR",C1152)),"Liqueurs",
 ISNUMBER(SEARCH("CORDIAL",C1152)),"Liqueurs",
 ISNUMBER(SEARCH("SCHNAPP",C1152)),"Liqueurs",
 ISNUMBER(SEARCH("GIN",C1152)),"Gin",
 TRUE,"Other")</f>
        <v>Whiskey</v>
      </c>
      <c r="E1152" s="5">
        <v>10326</v>
      </c>
      <c r="F1152" s="5">
        <v>314093.5199999999</v>
      </c>
      <c r="G1152" s="5"/>
      <c r="H1152" s="5">
        <v>1730</v>
      </c>
    </row>
    <row r="1153" spans="1:8">
      <c r="A1153" s="5">
        <v>2022</v>
      </c>
      <c r="B1153" s="6">
        <v>44593</v>
      </c>
      <c r="C1153" s="5" t="s">
        <v>26</v>
      </c>
      <c r="D1153" s="3" t="str" cm="1">
        <f t="array" ref="D1153">_xlfn.IFS(
 ISNUMBER(SEARCH("WHISK",C1153)),"Whiskey",
 ISNUMBER(SEARCH("BOURBON",C1153)),"Whiskey",
 ISNUMBER(SEARCH("SCOTCH",C1153)),"Whiskey",
 ISNUMBER(SEARCH("RYE",C1153)),"Whiskey",
 ISNUMBER(SEARCH("VODKA",C1153)),"Vodka",
 ISNUMBER(SEARCH("TEQUILA",C1153)),"Tequila/Mezcal",
 ISNUMBER(SEARCH("MEZCAL",C1153)),"Tequila/Mezcal",
 ISNUMBER(SEARCH("RUM",C1153)),"Rum",
 ISNUMBER(SEARCH("BRAND",C1153)),"Brandy",
 ISNUMBER(SEARCH("COGNAC",C1153)),"Brandy",
 ISNUMBER(SEARCH("LIQUEUR",C1153)),"Liqueurs",
 ISNUMBER(SEARCH("CORDIAL",C1153)),"Liqueurs",
 ISNUMBER(SEARCH("SCHNAPP",C1153)),"Liqueurs",
 ISNUMBER(SEARCH("GIN",C1153)),"Gin",
 TRUE,"Other")</f>
        <v>Brandy</v>
      </c>
      <c r="E1153" s="5">
        <v>36951</v>
      </c>
      <c r="F1153" s="5">
        <v>958246.11999999406</v>
      </c>
      <c r="G1153" s="5"/>
      <c r="H1153" s="5">
        <v>3331</v>
      </c>
    </row>
    <row r="1154" spans="1:8">
      <c r="A1154" s="5">
        <v>2022</v>
      </c>
      <c r="B1154" s="6">
        <v>44593</v>
      </c>
      <c r="C1154" s="5" t="s">
        <v>29</v>
      </c>
      <c r="D1154" s="3" t="str" cm="1">
        <f t="array" ref="D1154">_xlfn.IFS(
 ISNUMBER(SEARCH("WHISK",C1154)),"Whiskey",
 ISNUMBER(SEARCH("BOURBON",C1154)),"Whiskey",
 ISNUMBER(SEARCH("SCOTCH",C1154)),"Whiskey",
 ISNUMBER(SEARCH("RYE",C1154)),"Whiskey",
 ISNUMBER(SEARCH("VODKA",C1154)),"Vodka",
 ISNUMBER(SEARCH("TEQUILA",C1154)),"Tequila/Mezcal",
 ISNUMBER(SEARCH("MEZCAL",C1154)),"Tequila/Mezcal",
 ISNUMBER(SEARCH("RUM",C1154)),"Rum",
 ISNUMBER(SEARCH("BRAND",C1154)),"Brandy",
 ISNUMBER(SEARCH("COGNAC",C1154)),"Brandy",
 ISNUMBER(SEARCH("LIQUEUR",C1154)),"Liqueurs",
 ISNUMBER(SEARCH("CORDIAL",C1154)),"Liqueurs",
 ISNUMBER(SEARCH("SCHNAPP",C1154)),"Liqueurs",
 ISNUMBER(SEARCH("GIN",C1154)),"Gin",
 TRUE,"Other")</f>
        <v>Gin</v>
      </c>
      <c r="E1154" s="5">
        <v>15703</v>
      </c>
      <c r="F1154" s="5">
        <v>388173.12000000023</v>
      </c>
      <c r="G1154" s="5"/>
      <c r="H1154" s="5">
        <v>1855</v>
      </c>
    </row>
    <row r="1155" spans="1:8">
      <c r="A1155" s="5">
        <v>2022</v>
      </c>
      <c r="B1155" s="6">
        <v>44593</v>
      </c>
      <c r="C1155" s="5" t="s">
        <v>31</v>
      </c>
      <c r="D1155" s="3" t="str" cm="1">
        <f t="array" ref="D1155">_xlfn.IFS(
 ISNUMBER(SEARCH("WHISK",C1155)),"Whiskey",
 ISNUMBER(SEARCH("BOURBON",C1155)),"Whiskey",
 ISNUMBER(SEARCH("SCOTCH",C1155)),"Whiskey",
 ISNUMBER(SEARCH("RYE",C1155)),"Whiskey",
 ISNUMBER(SEARCH("VODKA",C1155)),"Vodka",
 ISNUMBER(SEARCH("TEQUILA",C1155)),"Tequila/Mezcal",
 ISNUMBER(SEARCH("MEZCAL",C1155)),"Tequila/Mezcal",
 ISNUMBER(SEARCH("RUM",C1155)),"Rum",
 ISNUMBER(SEARCH("BRAND",C1155)),"Brandy",
 ISNUMBER(SEARCH("COGNAC",C1155)),"Brandy",
 ISNUMBER(SEARCH("LIQUEUR",C1155)),"Liqueurs",
 ISNUMBER(SEARCH("CORDIAL",C1155)),"Liqueurs",
 ISNUMBER(SEARCH("SCHNAPP",C1155)),"Liqueurs",
 ISNUMBER(SEARCH("GIN",C1155)),"Gin",
 TRUE,"Other")</f>
        <v>Liqueurs</v>
      </c>
      <c r="E1155" s="5">
        <v>29182</v>
      </c>
      <c r="F1155" s="5">
        <v>500442.65999999887</v>
      </c>
      <c r="G1155" s="5"/>
      <c r="H1155" s="5">
        <v>2757</v>
      </c>
    </row>
    <row r="1156" spans="1:8">
      <c r="A1156" s="5">
        <v>2022</v>
      </c>
      <c r="B1156" s="6">
        <v>44593</v>
      </c>
      <c r="C1156" s="5" t="s">
        <v>33</v>
      </c>
      <c r="D1156" s="3" t="str" cm="1">
        <f t="array" ref="D1156">_xlfn.IFS(
 ISNUMBER(SEARCH("WHISK",C1156)),"Whiskey",
 ISNUMBER(SEARCH("BOURBON",C1156)),"Whiskey",
 ISNUMBER(SEARCH("SCOTCH",C1156)),"Whiskey",
 ISNUMBER(SEARCH("RYE",C1156)),"Whiskey",
 ISNUMBER(SEARCH("VODKA",C1156)),"Vodka",
 ISNUMBER(SEARCH("TEQUILA",C1156)),"Tequila/Mezcal",
 ISNUMBER(SEARCH("MEZCAL",C1156)),"Tequila/Mezcal",
 ISNUMBER(SEARCH("RUM",C1156)),"Rum",
 ISNUMBER(SEARCH("BRAND",C1156)),"Brandy",
 ISNUMBER(SEARCH("COGNAC",C1156)),"Brandy",
 ISNUMBER(SEARCH("LIQUEUR",C1156)),"Liqueurs",
 ISNUMBER(SEARCH("CORDIAL",C1156)),"Liqueurs",
 ISNUMBER(SEARCH("SCHNAPP",C1156)),"Liqueurs",
 ISNUMBER(SEARCH("GIN",C1156)),"Gin",
 TRUE,"Other")</f>
        <v>Whiskey</v>
      </c>
      <c r="E1156" s="5">
        <v>37939</v>
      </c>
      <c r="F1156" s="5">
        <v>1046940.0699999809</v>
      </c>
      <c r="G1156" s="5"/>
      <c r="H1156" s="5">
        <v>2485</v>
      </c>
    </row>
    <row r="1157" spans="1:8">
      <c r="A1157" s="5">
        <v>2022</v>
      </c>
      <c r="B1157" s="6">
        <v>44593</v>
      </c>
      <c r="C1157" s="5" t="s">
        <v>35</v>
      </c>
      <c r="D1157" s="3" t="str" cm="1">
        <f t="array" ref="D1157">_xlfn.IFS(
 ISNUMBER(SEARCH("WHISK",C1157)),"Whiskey",
 ISNUMBER(SEARCH("BOURBON",C1157)),"Whiskey",
 ISNUMBER(SEARCH("SCOTCH",C1157)),"Whiskey",
 ISNUMBER(SEARCH("RYE",C1157)),"Whiskey",
 ISNUMBER(SEARCH("VODKA",C1157)),"Vodka",
 ISNUMBER(SEARCH("TEQUILA",C1157)),"Tequila/Mezcal",
 ISNUMBER(SEARCH("MEZCAL",C1157)),"Tequila/Mezcal",
 ISNUMBER(SEARCH("RUM",C1157)),"Rum",
 ISNUMBER(SEARCH("BRAND",C1157)),"Brandy",
 ISNUMBER(SEARCH("COGNAC",C1157)),"Brandy",
 ISNUMBER(SEARCH("LIQUEUR",C1157)),"Liqueurs",
 ISNUMBER(SEARCH("CORDIAL",C1157)),"Liqueurs",
 ISNUMBER(SEARCH("SCHNAPP",C1157)),"Liqueurs",
 ISNUMBER(SEARCH("GIN",C1157)),"Gin",
 TRUE,"Other")</f>
        <v>Tequila/Mezcal</v>
      </c>
      <c r="E1157" s="5">
        <v>61030</v>
      </c>
      <c r="F1157" s="5">
        <v>802543.27999998804</v>
      </c>
      <c r="G1157" s="5"/>
      <c r="H1157" s="5">
        <v>3853</v>
      </c>
    </row>
    <row r="1158" spans="1:8">
      <c r="A1158" s="5">
        <v>2022</v>
      </c>
      <c r="B1158" s="6">
        <v>44593</v>
      </c>
      <c r="C1158" s="5" t="s">
        <v>36</v>
      </c>
      <c r="D1158" s="3" t="str" cm="1">
        <f t="array" ref="D1158">_xlfn.IFS(
 ISNUMBER(SEARCH("WHISK",C1158)),"Whiskey",
 ISNUMBER(SEARCH("BOURBON",C1158)),"Whiskey",
 ISNUMBER(SEARCH("SCOTCH",C1158)),"Whiskey",
 ISNUMBER(SEARCH("RYE",C1158)),"Whiskey",
 ISNUMBER(SEARCH("VODKA",C1158)),"Vodka",
 ISNUMBER(SEARCH("TEQUILA",C1158)),"Tequila/Mezcal",
 ISNUMBER(SEARCH("MEZCAL",C1158)),"Tequila/Mezcal",
 ISNUMBER(SEARCH("RUM",C1158)),"Rum",
 ISNUMBER(SEARCH("BRAND",C1158)),"Brandy",
 ISNUMBER(SEARCH("COGNAC",C1158)),"Brandy",
 ISNUMBER(SEARCH("LIQUEUR",C1158)),"Liqueurs",
 ISNUMBER(SEARCH("CORDIAL",C1158)),"Liqueurs",
 ISNUMBER(SEARCH("SCHNAPP",C1158)),"Liqueurs",
 ISNUMBER(SEARCH("GIN",C1158)),"Gin",
 TRUE,"Other")</f>
        <v>Other</v>
      </c>
      <c r="E1158" s="5">
        <v>3495</v>
      </c>
      <c r="F1158" s="5">
        <v>56213.14000000005</v>
      </c>
      <c r="G1158" s="5"/>
      <c r="H1158" s="5">
        <v>396</v>
      </c>
    </row>
    <row r="1159" spans="1:8">
      <c r="A1159" s="5">
        <v>2022</v>
      </c>
      <c r="B1159" s="6">
        <v>44593</v>
      </c>
      <c r="C1159" s="5" t="s">
        <v>46</v>
      </c>
      <c r="D1159" s="3" t="str" cm="1">
        <f t="array" ref="D1159">_xlfn.IFS(
 ISNUMBER(SEARCH("WHISK",C1159)),"Whiskey",
 ISNUMBER(SEARCH("BOURBON",C1159)),"Whiskey",
 ISNUMBER(SEARCH("SCOTCH",C1159)),"Whiskey",
 ISNUMBER(SEARCH("RYE",C1159)),"Whiskey",
 ISNUMBER(SEARCH("VODKA",C1159)),"Vodka",
 ISNUMBER(SEARCH("TEQUILA",C1159)),"Tequila/Mezcal",
 ISNUMBER(SEARCH("MEZCAL",C1159)),"Tequila/Mezcal",
 ISNUMBER(SEARCH("RUM",C1159)),"Rum",
 ISNUMBER(SEARCH("BRAND",C1159)),"Brandy",
 ISNUMBER(SEARCH("COGNAC",C1159)),"Brandy",
 ISNUMBER(SEARCH("LIQUEUR",C1159)),"Liqueurs",
 ISNUMBER(SEARCH("CORDIAL",C1159)),"Liqueurs",
 ISNUMBER(SEARCH("SCHNAPP",C1159)),"Liqueurs",
 ISNUMBER(SEARCH("GIN",C1159)),"Gin",
 TRUE,"Other")</f>
        <v>Whiskey</v>
      </c>
      <c r="E1159" s="5">
        <v>44865</v>
      </c>
      <c r="F1159" s="5">
        <v>1039877.8199999991</v>
      </c>
      <c r="G1159" s="5"/>
      <c r="H1159" s="5">
        <v>4547</v>
      </c>
    </row>
    <row r="1160" spans="1:8">
      <c r="A1160" s="5">
        <v>2022</v>
      </c>
      <c r="B1160" s="6">
        <v>44593</v>
      </c>
      <c r="C1160" s="5" t="s">
        <v>7</v>
      </c>
      <c r="D1160" s="3" t="str" cm="1">
        <f t="array" ref="D1160">_xlfn.IFS(
 ISNUMBER(SEARCH("WHISK",C1160)),"Whiskey",
 ISNUMBER(SEARCH("BOURBON",C1160)),"Whiskey",
 ISNUMBER(SEARCH("SCOTCH",C1160)),"Whiskey",
 ISNUMBER(SEARCH("RYE",C1160)),"Whiskey",
 ISNUMBER(SEARCH("VODKA",C1160)),"Vodka",
 ISNUMBER(SEARCH("TEQUILA",C1160)),"Tequila/Mezcal",
 ISNUMBER(SEARCH("MEZCAL",C1160)),"Tequila/Mezcal",
 ISNUMBER(SEARCH("RUM",C1160)),"Rum",
 ISNUMBER(SEARCH("BRAND",C1160)),"Brandy",
 ISNUMBER(SEARCH("COGNAC",C1160)),"Brandy",
 ISNUMBER(SEARCH("LIQUEUR",C1160)),"Liqueurs",
 ISNUMBER(SEARCH("CORDIAL",C1160)),"Liqueurs",
 ISNUMBER(SEARCH("SCHNAPP",C1160)),"Liqueurs",
 ISNUMBER(SEARCH("GIN",C1160)),"Gin",
 TRUE,"Other")</f>
        <v>Rum</v>
      </c>
      <c r="E1160" s="5">
        <v>3312</v>
      </c>
      <c r="F1160" s="5">
        <v>70901.630000000034</v>
      </c>
      <c r="G1160" s="5"/>
      <c r="H1160" s="5">
        <v>588</v>
      </c>
    </row>
    <row r="1161" spans="1:8">
      <c r="A1161" s="5">
        <v>2022</v>
      </c>
      <c r="B1161" s="6">
        <v>44593</v>
      </c>
      <c r="C1161" s="5" t="s">
        <v>28</v>
      </c>
      <c r="D1161" s="3" t="str" cm="1">
        <f t="array" ref="D1161">_xlfn.IFS(
 ISNUMBER(SEARCH("WHISK",C1161)),"Whiskey",
 ISNUMBER(SEARCH("BOURBON",C1161)),"Whiskey",
 ISNUMBER(SEARCH("SCOTCH",C1161)),"Whiskey",
 ISNUMBER(SEARCH("RYE",C1161)),"Whiskey",
 ISNUMBER(SEARCH("VODKA",C1161)),"Vodka",
 ISNUMBER(SEARCH("TEQUILA",C1161)),"Tequila/Mezcal",
 ISNUMBER(SEARCH("MEZCAL",C1161)),"Tequila/Mezcal",
 ISNUMBER(SEARCH("RUM",C1161)),"Rum",
 ISNUMBER(SEARCH("BRAND",C1161)),"Brandy",
 ISNUMBER(SEARCH("COGNAC",C1161)),"Brandy",
 ISNUMBER(SEARCH("LIQUEUR",C1161)),"Liqueurs",
 ISNUMBER(SEARCH("CORDIAL",C1161)),"Liqueurs",
 ISNUMBER(SEARCH("SCHNAPP",C1161)),"Liqueurs",
 ISNUMBER(SEARCH("GIN",C1161)),"Gin",
 TRUE,"Other")</f>
        <v>Other</v>
      </c>
      <c r="E1161" s="5">
        <v>19715</v>
      </c>
      <c r="F1161" s="5">
        <v>158717.37000000008</v>
      </c>
      <c r="G1161" s="5"/>
      <c r="H1161" s="5">
        <v>338</v>
      </c>
    </row>
    <row r="1162" spans="1:8">
      <c r="A1162" s="5">
        <v>2022</v>
      </c>
      <c r="B1162" s="6">
        <v>44593</v>
      </c>
      <c r="C1162" s="5" t="s">
        <v>41</v>
      </c>
      <c r="D1162" s="3" t="str" cm="1">
        <f t="array" ref="D1162">_xlfn.IFS(
 ISNUMBER(SEARCH("WHISK",C1162)),"Whiskey",
 ISNUMBER(SEARCH("BOURBON",C1162)),"Whiskey",
 ISNUMBER(SEARCH("SCOTCH",C1162)),"Whiskey",
 ISNUMBER(SEARCH("RYE",C1162)),"Whiskey",
 ISNUMBER(SEARCH("VODKA",C1162)),"Vodka",
 ISNUMBER(SEARCH("TEQUILA",C1162)),"Tequila/Mezcal",
 ISNUMBER(SEARCH("MEZCAL",C1162)),"Tequila/Mezcal",
 ISNUMBER(SEARCH("RUM",C1162)),"Rum",
 ISNUMBER(SEARCH("BRAND",C1162)),"Brandy",
 ISNUMBER(SEARCH("COGNAC",C1162)),"Brandy",
 ISNUMBER(SEARCH("LIQUEUR",C1162)),"Liqueurs",
 ISNUMBER(SEARCH("CORDIAL",C1162)),"Liqueurs",
 ISNUMBER(SEARCH("SCHNAPP",C1162)),"Liqueurs",
 ISNUMBER(SEARCH("GIN",C1162)),"Gin",
 TRUE,"Other")</f>
        <v>Other</v>
      </c>
      <c r="E1162" s="5">
        <v>2641</v>
      </c>
      <c r="F1162" s="5">
        <v>57638.830000000024</v>
      </c>
      <c r="G1162" s="5"/>
      <c r="H1162" s="5">
        <v>143</v>
      </c>
    </row>
    <row r="1163" spans="1:8">
      <c r="A1163" s="5">
        <v>2022</v>
      </c>
      <c r="B1163" s="6">
        <v>44593</v>
      </c>
      <c r="C1163" s="5" t="s">
        <v>10</v>
      </c>
      <c r="D1163" s="3" t="str" cm="1">
        <f t="array" ref="D1163">_xlfn.IFS(
 ISNUMBER(SEARCH("WHISK",C1163)),"Whiskey",
 ISNUMBER(SEARCH("BOURBON",C1163)),"Whiskey",
 ISNUMBER(SEARCH("SCOTCH",C1163)),"Whiskey",
 ISNUMBER(SEARCH("RYE",C1163)),"Whiskey",
 ISNUMBER(SEARCH("VODKA",C1163)),"Vodka",
 ISNUMBER(SEARCH("TEQUILA",C1163)),"Tequila/Mezcal",
 ISNUMBER(SEARCH("MEZCAL",C1163)),"Tequila/Mezcal",
 ISNUMBER(SEARCH("RUM",C1163)),"Rum",
 ISNUMBER(SEARCH("BRAND",C1163)),"Brandy",
 ISNUMBER(SEARCH("COGNAC",C1163)),"Brandy",
 ISNUMBER(SEARCH("LIQUEUR",C1163)),"Liqueurs",
 ISNUMBER(SEARCH("CORDIAL",C1163)),"Liqueurs",
 ISNUMBER(SEARCH("SCHNAPP",C1163)),"Liqueurs",
 ISNUMBER(SEARCH("GIN",C1163)),"Gin",
 TRUE,"Other")</f>
        <v>Other</v>
      </c>
      <c r="E1163" s="5">
        <v>4365</v>
      </c>
      <c r="F1163" s="5">
        <v>81109.469999999768</v>
      </c>
      <c r="G1163" s="5"/>
      <c r="H1163" s="5">
        <v>679</v>
      </c>
    </row>
    <row r="1164" spans="1:8">
      <c r="A1164" s="5">
        <v>2022</v>
      </c>
      <c r="B1164" s="6">
        <v>44593</v>
      </c>
      <c r="C1164" s="5" t="s">
        <v>37</v>
      </c>
      <c r="D1164" s="3" t="str" cm="1">
        <f t="array" ref="D1164">_xlfn.IFS(
 ISNUMBER(SEARCH("WHISK",C1164)),"Whiskey",
 ISNUMBER(SEARCH("BOURBON",C1164)),"Whiskey",
 ISNUMBER(SEARCH("SCOTCH",C1164)),"Whiskey",
 ISNUMBER(SEARCH("RYE",C1164)),"Whiskey",
 ISNUMBER(SEARCH("VODKA",C1164)),"Vodka",
 ISNUMBER(SEARCH("TEQUILA",C1164)),"Tequila/Mezcal",
 ISNUMBER(SEARCH("MEZCAL",C1164)),"Tequila/Mezcal",
 ISNUMBER(SEARCH("RUM",C1164)),"Rum",
 ISNUMBER(SEARCH("BRAND",C1164)),"Brandy",
 ISNUMBER(SEARCH("COGNAC",C1164)),"Brandy",
 ISNUMBER(SEARCH("LIQUEUR",C1164)),"Liqueurs",
 ISNUMBER(SEARCH("CORDIAL",C1164)),"Liqueurs",
 ISNUMBER(SEARCH("SCHNAPP",C1164)),"Liqueurs",
 ISNUMBER(SEARCH("GIN",C1164)),"Gin",
 TRUE,"Other")</f>
        <v>Other</v>
      </c>
      <c r="E1164" s="5">
        <v>7857</v>
      </c>
      <c r="F1164" s="5">
        <v>134110.62999999998</v>
      </c>
      <c r="G1164" s="5"/>
      <c r="H1164" s="5">
        <v>1567</v>
      </c>
    </row>
    <row r="1165" spans="1:8">
      <c r="A1165" s="5">
        <v>2022</v>
      </c>
      <c r="B1165" s="6">
        <v>44593</v>
      </c>
      <c r="C1165" s="5" t="s">
        <v>17</v>
      </c>
      <c r="D1165" s="3" t="str" cm="1">
        <f t="array" ref="D1165">_xlfn.IFS(
 ISNUMBER(SEARCH("WHISK",C1165)),"Whiskey",
 ISNUMBER(SEARCH("BOURBON",C1165)),"Whiskey",
 ISNUMBER(SEARCH("SCOTCH",C1165)),"Whiskey",
 ISNUMBER(SEARCH("RYE",C1165)),"Whiskey",
 ISNUMBER(SEARCH("VODKA",C1165)),"Vodka",
 ISNUMBER(SEARCH("TEQUILA",C1165)),"Tequila/Mezcal",
 ISNUMBER(SEARCH("MEZCAL",C1165)),"Tequila/Mezcal",
 ISNUMBER(SEARCH("RUM",C1165)),"Rum",
 ISNUMBER(SEARCH("BRAND",C1165)),"Brandy",
 ISNUMBER(SEARCH("COGNAC",C1165)),"Brandy",
 ISNUMBER(SEARCH("LIQUEUR",C1165)),"Liqueurs",
 ISNUMBER(SEARCH("CORDIAL",C1165)),"Liqueurs",
 ISNUMBER(SEARCH("SCHNAPP",C1165)),"Liqueurs",
 ISNUMBER(SEARCH("GIN",C1165)),"Gin",
 TRUE,"Other")</f>
        <v>Whiskey</v>
      </c>
      <c r="E1165" s="5">
        <v>2224</v>
      </c>
      <c r="F1165" s="5">
        <v>56581.900000000016</v>
      </c>
      <c r="G1165" s="5"/>
      <c r="H1165" s="5">
        <v>597</v>
      </c>
    </row>
    <row r="1166" spans="1:8">
      <c r="A1166" s="5">
        <v>2022</v>
      </c>
      <c r="B1166" s="6">
        <v>44593</v>
      </c>
      <c r="C1166" s="5" t="s">
        <v>47</v>
      </c>
      <c r="D1166" s="3" t="str" cm="1">
        <f t="array" ref="D1166">_xlfn.IFS(
 ISNUMBER(SEARCH("WHISK",C1166)),"Whiskey",
 ISNUMBER(SEARCH("BOURBON",C1166)),"Whiskey",
 ISNUMBER(SEARCH("SCOTCH",C1166)),"Whiskey",
 ISNUMBER(SEARCH("RYE",C1166)),"Whiskey",
 ISNUMBER(SEARCH("VODKA",C1166)),"Vodka",
 ISNUMBER(SEARCH("TEQUILA",C1166)),"Tequila/Mezcal",
 ISNUMBER(SEARCH("MEZCAL",C1166)),"Tequila/Mezcal",
 ISNUMBER(SEARCH("RUM",C1166)),"Rum",
 ISNUMBER(SEARCH("BRAND",C1166)),"Brandy",
 ISNUMBER(SEARCH("COGNAC",C1166)),"Brandy",
 ISNUMBER(SEARCH("LIQUEUR",C1166)),"Liqueurs",
 ISNUMBER(SEARCH("CORDIAL",C1166)),"Liqueurs",
 ISNUMBER(SEARCH("SCHNAPP",C1166)),"Liqueurs",
 ISNUMBER(SEARCH("GIN",C1166)),"Gin",
 TRUE,"Other")</f>
        <v>Other</v>
      </c>
      <c r="E1166" s="5">
        <v>12612</v>
      </c>
      <c r="F1166" s="5">
        <v>52383.869999999959</v>
      </c>
      <c r="G1166" s="5"/>
      <c r="H1166" s="5">
        <v>485</v>
      </c>
    </row>
    <row r="1167" spans="1:8">
      <c r="A1167" s="5">
        <v>2022</v>
      </c>
      <c r="B1167" s="6">
        <v>44593</v>
      </c>
      <c r="C1167" s="5" t="s">
        <v>14</v>
      </c>
      <c r="D1167" s="3" t="str" cm="1">
        <f t="array" ref="D1167">_xlfn.IFS(
 ISNUMBER(SEARCH("WHISK",C1167)),"Whiskey",
 ISNUMBER(SEARCH("BOURBON",C1167)),"Whiskey",
 ISNUMBER(SEARCH("SCOTCH",C1167)),"Whiskey",
 ISNUMBER(SEARCH("RYE",C1167)),"Whiskey",
 ISNUMBER(SEARCH("VODKA",C1167)),"Vodka",
 ISNUMBER(SEARCH("TEQUILA",C1167)),"Tequila/Mezcal",
 ISNUMBER(SEARCH("MEZCAL",C1167)),"Tequila/Mezcal",
 ISNUMBER(SEARCH("RUM",C1167)),"Rum",
 ISNUMBER(SEARCH("BRAND",C1167)),"Brandy",
 ISNUMBER(SEARCH("COGNAC",C1167)),"Brandy",
 ISNUMBER(SEARCH("LIQUEUR",C1167)),"Liqueurs",
 ISNUMBER(SEARCH("CORDIAL",C1167)),"Liqueurs",
 ISNUMBER(SEARCH("SCHNAPP",C1167)),"Liqueurs",
 ISNUMBER(SEARCH("GIN",C1167)),"Gin",
 TRUE,"Other")</f>
        <v>Gin</v>
      </c>
      <c r="E1167" s="5">
        <v>215</v>
      </c>
      <c r="F1167" s="5">
        <v>1877.2500000000007</v>
      </c>
      <c r="G1167" s="5"/>
      <c r="H1167" s="5">
        <v>45</v>
      </c>
    </row>
    <row r="1168" spans="1:8">
      <c r="A1168" s="5">
        <v>2022</v>
      </c>
      <c r="B1168" s="6">
        <v>44593</v>
      </c>
      <c r="C1168" s="5" t="s">
        <v>23</v>
      </c>
      <c r="D1168" s="3" t="str" cm="1">
        <f t="array" ref="D1168">_xlfn.IFS(
 ISNUMBER(SEARCH("WHISK",C1168)),"Whiskey",
 ISNUMBER(SEARCH("BOURBON",C1168)),"Whiskey",
 ISNUMBER(SEARCH("SCOTCH",C1168)),"Whiskey",
 ISNUMBER(SEARCH("RYE",C1168)),"Whiskey",
 ISNUMBER(SEARCH("VODKA",C1168)),"Vodka",
 ISNUMBER(SEARCH("TEQUILA",C1168)),"Tequila/Mezcal",
 ISNUMBER(SEARCH("MEZCAL",C1168)),"Tequila/Mezcal",
 ISNUMBER(SEARCH("RUM",C1168)),"Rum",
 ISNUMBER(SEARCH("BRAND",C1168)),"Brandy",
 ISNUMBER(SEARCH("COGNAC",C1168)),"Brandy",
 ISNUMBER(SEARCH("LIQUEUR",C1168)),"Liqueurs",
 ISNUMBER(SEARCH("CORDIAL",C1168)),"Liqueurs",
 ISNUMBER(SEARCH("SCHNAPP",C1168)),"Liqueurs",
 ISNUMBER(SEARCH("GIN",C1168)),"Gin",
 TRUE,"Other")</f>
        <v>Gin</v>
      </c>
      <c r="E1168" s="5">
        <v>880</v>
      </c>
      <c r="F1168" s="5">
        <v>22290.639999999999</v>
      </c>
      <c r="G1168" s="5"/>
      <c r="H1168" s="5">
        <v>116</v>
      </c>
    </row>
    <row r="1169" spans="1:8">
      <c r="A1169" s="5">
        <v>2022</v>
      </c>
      <c r="B1169" s="6">
        <v>44593</v>
      </c>
      <c r="C1169" s="5" t="s">
        <v>34</v>
      </c>
      <c r="D1169" s="3" t="str" cm="1">
        <f t="array" ref="D1169">_xlfn.IFS(
 ISNUMBER(SEARCH("WHISK",C1169)),"Whiskey",
 ISNUMBER(SEARCH("BOURBON",C1169)),"Whiskey",
 ISNUMBER(SEARCH("SCOTCH",C1169)),"Whiskey",
 ISNUMBER(SEARCH("RYE",C1169)),"Whiskey",
 ISNUMBER(SEARCH("VODKA",C1169)),"Vodka",
 ISNUMBER(SEARCH("TEQUILA",C1169)),"Tequila/Mezcal",
 ISNUMBER(SEARCH("MEZCAL",C1169)),"Tequila/Mezcal",
 ISNUMBER(SEARCH("RUM",C1169)),"Rum",
 ISNUMBER(SEARCH("BRAND",C1169)),"Brandy",
 ISNUMBER(SEARCH("COGNAC",C1169)),"Brandy",
 ISNUMBER(SEARCH("LIQUEUR",C1169)),"Liqueurs",
 ISNUMBER(SEARCH("CORDIAL",C1169)),"Liqueurs",
 ISNUMBER(SEARCH("SCHNAPP",C1169)),"Liqueurs",
 ISNUMBER(SEARCH("GIN",C1169)),"Gin",
 TRUE,"Other")</f>
        <v>Tequila/Mezcal</v>
      </c>
      <c r="E1169" s="5">
        <v>1366</v>
      </c>
      <c r="F1169" s="5">
        <v>44560.209999999985</v>
      </c>
      <c r="G1169" s="5"/>
      <c r="H1169" s="5">
        <v>189</v>
      </c>
    </row>
    <row r="1170" spans="1:8">
      <c r="A1170" s="5">
        <v>2022</v>
      </c>
      <c r="B1170" s="6">
        <v>44593</v>
      </c>
      <c r="C1170" s="5" t="s">
        <v>21</v>
      </c>
      <c r="D1170" s="3" t="str" cm="1">
        <f t="array" ref="D1170">_xlfn.IFS(
 ISNUMBER(SEARCH("WHISK",C1170)),"Whiskey",
 ISNUMBER(SEARCH("BOURBON",C1170)),"Whiskey",
 ISNUMBER(SEARCH("SCOTCH",C1170)),"Whiskey",
 ISNUMBER(SEARCH("RYE",C1170)),"Whiskey",
 ISNUMBER(SEARCH("VODKA",C1170)),"Vodka",
 ISNUMBER(SEARCH("TEQUILA",C1170)),"Tequila/Mezcal",
 ISNUMBER(SEARCH("MEZCAL",C1170)),"Tequila/Mezcal",
 ISNUMBER(SEARCH("RUM",C1170)),"Rum",
 ISNUMBER(SEARCH("BRAND",C1170)),"Brandy",
 ISNUMBER(SEARCH("COGNAC",C1170)),"Brandy",
 ISNUMBER(SEARCH("LIQUEUR",C1170)),"Liqueurs",
 ISNUMBER(SEARCH("CORDIAL",C1170)),"Liqueurs",
 ISNUMBER(SEARCH("SCHNAPP",C1170)),"Liqueurs",
 ISNUMBER(SEARCH("GIN",C1170)),"Gin",
 TRUE,"Other")</f>
        <v>Whiskey</v>
      </c>
      <c r="E1170" s="5">
        <v>497</v>
      </c>
      <c r="F1170" s="5">
        <v>12649.970000000001</v>
      </c>
      <c r="G1170" s="5"/>
      <c r="H1170" s="5">
        <v>100</v>
      </c>
    </row>
    <row r="1171" spans="1:8">
      <c r="A1171" s="5">
        <v>2022</v>
      </c>
      <c r="B1171" s="6">
        <v>44593</v>
      </c>
      <c r="C1171" s="5" t="s">
        <v>51</v>
      </c>
      <c r="D1171" s="3" t="str" cm="1">
        <f t="array" ref="D1171">_xlfn.IFS(
 ISNUMBER(SEARCH("WHISK",C1171)),"Whiskey",
 ISNUMBER(SEARCH("BOURBON",C1171)),"Whiskey",
 ISNUMBER(SEARCH("SCOTCH",C1171)),"Whiskey",
 ISNUMBER(SEARCH("RYE",C1171)),"Whiskey",
 ISNUMBER(SEARCH("VODKA",C1171)),"Vodka",
 ISNUMBER(SEARCH("TEQUILA",C1171)),"Tequila/Mezcal",
 ISNUMBER(SEARCH("MEZCAL",C1171)),"Tequila/Mezcal",
 ISNUMBER(SEARCH("RUM",C1171)),"Rum",
 ISNUMBER(SEARCH("BRAND",C1171)),"Brandy",
 ISNUMBER(SEARCH("COGNAC",C1171)),"Brandy",
 ISNUMBER(SEARCH("LIQUEUR",C1171)),"Liqueurs",
 ISNUMBER(SEARCH("CORDIAL",C1171)),"Liqueurs",
 ISNUMBER(SEARCH("SCHNAPP",C1171)),"Liqueurs",
 ISNUMBER(SEARCH("GIN",C1171)),"Gin",
 TRUE,"Other")</f>
        <v>Other</v>
      </c>
      <c r="E1171" s="5">
        <v>36</v>
      </c>
      <c r="F1171" s="5">
        <v>1260</v>
      </c>
      <c r="G1171" s="5"/>
      <c r="H1171" s="5">
        <v>13</v>
      </c>
    </row>
    <row r="1172" spans="1:8">
      <c r="A1172" s="5">
        <v>2022</v>
      </c>
      <c r="B1172" s="6">
        <v>44593</v>
      </c>
      <c r="C1172" s="5" t="s">
        <v>54</v>
      </c>
      <c r="D1172" s="3" t="str" cm="1">
        <f t="array" ref="D1172">_xlfn.IFS(
 ISNUMBER(SEARCH("WHISK",C1172)),"Whiskey",
 ISNUMBER(SEARCH("BOURBON",C1172)),"Whiskey",
 ISNUMBER(SEARCH("SCOTCH",C1172)),"Whiskey",
 ISNUMBER(SEARCH("RYE",C1172)),"Whiskey",
 ISNUMBER(SEARCH("VODKA",C1172)),"Vodka",
 ISNUMBER(SEARCH("TEQUILA",C1172)),"Tequila/Mezcal",
 ISNUMBER(SEARCH("MEZCAL",C1172)),"Tequila/Mezcal",
 ISNUMBER(SEARCH("RUM",C1172)),"Rum",
 ISNUMBER(SEARCH("BRAND",C1172)),"Brandy",
 ISNUMBER(SEARCH("COGNAC",C1172)),"Brandy",
 ISNUMBER(SEARCH("LIQUEUR",C1172)),"Liqueurs",
 ISNUMBER(SEARCH("CORDIAL",C1172)),"Liqueurs",
 ISNUMBER(SEARCH("SCHNAPP",C1172)),"Liqueurs",
 ISNUMBER(SEARCH("GIN",C1172)),"Gin",
 TRUE,"Other")</f>
        <v>Whiskey</v>
      </c>
      <c r="E1172" s="5">
        <v>12</v>
      </c>
      <c r="F1172" s="5">
        <v>1150.56</v>
      </c>
      <c r="G1172" s="5"/>
      <c r="H1172" s="5">
        <v>2</v>
      </c>
    </row>
    <row r="1173" spans="1:8">
      <c r="A1173" s="5">
        <v>2022</v>
      </c>
      <c r="B1173" s="6">
        <v>44621</v>
      </c>
      <c r="C1173" s="5" t="s">
        <v>15</v>
      </c>
      <c r="D1173" s="3" t="str" cm="1">
        <f t="array" ref="D1173">_xlfn.IFS(
 ISNUMBER(SEARCH("WHISK",C1173)),"Whiskey",
 ISNUMBER(SEARCH("BOURBON",C1173)),"Whiskey",
 ISNUMBER(SEARCH("SCOTCH",C1173)),"Whiskey",
 ISNUMBER(SEARCH("RYE",C1173)),"Whiskey",
 ISNUMBER(SEARCH("VODKA",C1173)),"Vodka",
 ISNUMBER(SEARCH("TEQUILA",C1173)),"Tequila/Mezcal",
 ISNUMBER(SEARCH("MEZCAL",C1173)),"Tequila/Mezcal",
 ISNUMBER(SEARCH("RUM",C1173)),"Rum",
 ISNUMBER(SEARCH("BRAND",C1173)),"Brandy",
 ISNUMBER(SEARCH("COGNAC",C1173)),"Brandy",
 ISNUMBER(SEARCH("LIQUEUR",C1173)),"Liqueurs",
 ISNUMBER(SEARCH("CORDIAL",C1173)),"Liqueurs",
 ISNUMBER(SEARCH("SCHNAPP",C1173)),"Liqueurs",
 ISNUMBER(SEARCH("GIN",C1173)),"Gin",
 TRUE,"Other")</f>
        <v>Vodka</v>
      </c>
      <c r="E1173" s="5">
        <v>432006</v>
      </c>
      <c r="F1173" s="5">
        <v>4164707.2700000177</v>
      </c>
      <c r="G1173" s="5"/>
      <c r="H1173" s="5">
        <v>28178</v>
      </c>
    </row>
    <row r="1174" spans="1:8">
      <c r="A1174" s="5">
        <v>2022</v>
      </c>
      <c r="B1174" s="6">
        <v>44621</v>
      </c>
      <c r="C1174" s="5" t="s">
        <v>18</v>
      </c>
      <c r="D1174" s="3" t="str" cm="1">
        <f t="array" ref="D1174">_xlfn.IFS(
 ISNUMBER(SEARCH("WHISK",C1174)),"Whiskey",
 ISNUMBER(SEARCH("BOURBON",C1174)),"Whiskey",
 ISNUMBER(SEARCH("SCOTCH",C1174)),"Whiskey",
 ISNUMBER(SEARCH("RYE",C1174)),"Whiskey",
 ISNUMBER(SEARCH("VODKA",C1174)),"Vodka",
 ISNUMBER(SEARCH("TEQUILA",C1174)),"Tequila/Mezcal",
 ISNUMBER(SEARCH("MEZCAL",C1174)),"Tequila/Mezcal",
 ISNUMBER(SEARCH("RUM",C1174)),"Rum",
 ISNUMBER(SEARCH("BRAND",C1174)),"Brandy",
 ISNUMBER(SEARCH("COGNAC",C1174)),"Brandy",
 ISNUMBER(SEARCH("LIQUEUR",C1174)),"Liqueurs",
 ISNUMBER(SEARCH("CORDIAL",C1174)),"Liqueurs",
 ISNUMBER(SEARCH("SCHNAPP",C1174)),"Liqueurs",
 ISNUMBER(SEARCH("GIN",C1174)),"Gin",
 TRUE,"Other")</f>
        <v>Whiskey</v>
      </c>
      <c r="E1174" s="5">
        <v>194986</v>
      </c>
      <c r="F1174" s="5">
        <v>3011639.220000091</v>
      </c>
      <c r="G1174" s="5"/>
      <c r="H1174" s="5">
        <v>16114</v>
      </c>
    </row>
    <row r="1175" spans="1:8">
      <c r="A1175" s="5">
        <v>2022</v>
      </c>
      <c r="B1175" s="6">
        <v>44621</v>
      </c>
      <c r="C1175" s="5" t="s">
        <v>24</v>
      </c>
      <c r="D1175" s="3" t="str" cm="1">
        <f t="array" ref="D1175">_xlfn.IFS(
 ISNUMBER(SEARCH("WHISK",C1175)),"Whiskey",
 ISNUMBER(SEARCH("BOURBON",C1175)),"Whiskey",
 ISNUMBER(SEARCH("SCOTCH",C1175)),"Whiskey",
 ISNUMBER(SEARCH("RYE",C1175)),"Whiskey",
 ISNUMBER(SEARCH("VODKA",C1175)),"Vodka",
 ISNUMBER(SEARCH("TEQUILA",C1175)),"Tequila/Mezcal",
 ISNUMBER(SEARCH("MEZCAL",C1175)),"Tequila/Mezcal",
 ISNUMBER(SEARCH("RUM",C1175)),"Rum",
 ISNUMBER(SEARCH("BRAND",C1175)),"Brandy",
 ISNUMBER(SEARCH("COGNAC",C1175)),"Brandy",
 ISNUMBER(SEARCH("LIQUEUR",C1175)),"Liqueurs",
 ISNUMBER(SEARCH("CORDIAL",C1175)),"Liqueurs",
 ISNUMBER(SEARCH("SCHNAPP",C1175)),"Liqueurs",
 ISNUMBER(SEARCH("GIN",C1175)),"Gin",
 TRUE,"Other")</f>
        <v>Rum</v>
      </c>
      <c r="E1175" s="5">
        <v>37662</v>
      </c>
      <c r="F1175" s="5">
        <v>553458.20000000217</v>
      </c>
      <c r="G1175" s="5"/>
      <c r="H1175" s="5">
        <v>3968</v>
      </c>
    </row>
    <row r="1176" spans="1:8">
      <c r="A1176" s="5">
        <v>2022</v>
      </c>
      <c r="B1176" s="6">
        <v>44621</v>
      </c>
      <c r="C1176" s="5" t="s">
        <v>42</v>
      </c>
      <c r="D1176" s="3" t="str" cm="1">
        <f t="array" ref="D1176">_xlfn.IFS(
 ISNUMBER(SEARCH("WHISK",C1176)),"Whiskey",
 ISNUMBER(SEARCH("BOURBON",C1176)),"Whiskey",
 ISNUMBER(SEARCH("SCOTCH",C1176)),"Whiskey",
 ISNUMBER(SEARCH("RYE",C1176)),"Whiskey",
 ISNUMBER(SEARCH("VODKA",C1176)),"Vodka",
 ISNUMBER(SEARCH("TEQUILA",C1176)),"Tequila/Mezcal",
 ISNUMBER(SEARCH("MEZCAL",C1176)),"Tequila/Mezcal",
 ISNUMBER(SEARCH("RUM",C1176)),"Rum",
 ISNUMBER(SEARCH("BRAND",C1176)),"Brandy",
 ISNUMBER(SEARCH("COGNAC",C1176)),"Brandy",
 ISNUMBER(SEARCH("LIQUEUR",C1176)),"Liqueurs",
 ISNUMBER(SEARCH("CORDIAL",C1176)),"Liqueurs",
 ISNUMBER(SEARCH("SCHNAPP",C1176)),"Liqueurs",
 ISNUMBER(SEARCH("GIN",C1176)),"Gin",
 TRUE,"Other")</f>
        <v>Rum</v>
      </c>
      <c r="E1176" s="5">
        <v>124695</v>
      </c>
      <c r="F1176" s="5">
        <v>2201595.6300000008</v>
      </c>
      <c r="G1176" s="5"/>
      <c r="H1176" s="5">
        <v>7725</v>
      </c>
    </row>
    <row r="1177" spans="1:8">
      <c r="A1177" s="5">
        <v>2022</v>
      </c>
      <c r="B1177" s="6">
        <v>44621</v>
      </c>
      <c r="C1177" s="5" t="s">
        <v>48</v>
      </c>
      <c r="D1177" s="3" t="str" cm="1">
        <f t="array" ref="D1177">_xlfn.IFS(
 ISNUMBER(SEARCH("WHISK",C1177)),"Whiskey",
 ISNUMBER(SEARCH("BOURBON",C1177)),"Whiskey",
 ISNUMBER(SEARCH("SCOTCH",C1177)),"Whiskey",
 ISNUMBER(SEARCH("RYE",C1177)),"Whiskey",
 ISNUMBER(SEARCH("VODKA",C1177)),"Vodka",
 ISNUMBER(SEARCH("TEQUILA",C1177)),"Tequila/Mezcal",
 ISNUMBER(SEARCH("MEZCAL",C1177)),"Tequila/Mezcal",
 ISNUMBER(SEARCH("RUM",C1177)),"Rum",
 ISNUMBER(SEARCH("BRAND",C1177)),"Brandy",
 ISNUMBER(SEARCH("COGNAC",C1177)),"Brandy",
 ISNUMBER(SEARCH("LIQUEUR",C1177)),"Liqueurs",
 ISNUMBER(SEARCH("CORDIAL",C1177)),"Liqueurs",
 ISNUMBER(SEARCH("SCHNAPP",C1177)),"Liqueurs",
 ISNUMBER(SEARCH("GIN",C1177)),"Gin",
 TRUE,"Other")</f>
        <v>Whiskey</v>
      </c>
      <c r="E1177" s="5">
        <v>295280</v>
      </c>
      <c r="F1177" s="5">
        <v>1684796.1299999866</v>
      </c>
      <c r="G1177" s="5"/>
      <c r="H1177" s="5">
        <v>10472</v>
      </c>
    </row>
    <row r="1178" spans="1:8">
      <c r="A1178" s="5">
        <v>2022</v>
      </c>
      <c r="B1178" s="6">
        <v>44621</v>
      </c>
      <c r="C1178" s="5" t="s">
        <v>50</v>
      </c>
      <c r="D1178" s="3" t="str" cm="1">
        <f t="array" ref="D1178">_xlfn.IFS(
 ISNUMBER(SEARCH("WHISK",C1178)),"Whiskey",
 ISNUMBER(SEARCH("BOURBON",C1178)),"Whiskey",
 ISNUMBER(SEARCH("SCOTCH",C1178)),"Whiskey",
 ISNUMBER(SEARCH("RYE",C1178)),"Whiskey",
 ISNUMBER(SEARCH("VODKA",C1178)),"Vodka",
 ISNUMBER(SEARCH("TEQUILA",C1178)),"Tequila/Mezcal",
 ISNUMBER(SEARCH("MEZCAL",C1178)),"Tequila/Mezcal",
 ISNUMBER(SEARCH("RUM",C1178)),"Rum",
 ISNUMBER(SEARCH("BRAND",C1178)),"Brandy",
 ISNUMBER(SEARCH("COGNAC",C1178)),"Brandy",
 ISNUMBER(SEARCH("LIQUEUR",C1178)),"Liqueurs",
 ISNUMBER(SEARCH("CORDIAL",C1178)),"Liqueurs",
 ISNUMBER(SEARCH("SCHNAPP",C1178)),"Liqueurs",
 ISNUMBER(SEARCH("GIN",C1178)),"Gin",
 TRUE,"Other")</f>
        <v>Tequila/Mezcal</v>
      </c>
      <c r="E1178" s="5">
        <v>62335</v>
      </c>
      <c r="F1178" s="5">
        <v>1883096.2899999514</v>
      </c>
      <c r="G1178" s="5"/>
      <c r="H1178" s="5">
        <v>7561</v>
      </c>
    </row>
    <row r="1179" spans="1:8">
      <c r="A1179" s="5">
        <v>2022</v>
      </c>
      <c r="B1179" s="6">
        <v>44621</v>
      </c>
      <c r="C1179" s="5" t="s">
        <v>8</v>
      </c>
      <c r="D1179" s="3" t="str" cm="1">
        <f t="array" ref="D1179">_xlfn.IFS(
 ISNUMBER(SEARCH("WHISK",C1179)),"Whiskey",
 ISNUMBER(SEARCH("BOURBON",C1179)),"Whiskey",
 ISNUMBER(SEARCH("SCOTCH",C1179)),"Whiskey",
 ISNUMBER(SEARCH("RYE",C1179)),"Whiskey",
 ISNUMBER(SEARCH("VODKA",C1179)),"Vodka",
 ISNUMBER(SEARCH("TEQUILA",C1179)),"Tequila/Mezcal",
 ISNUMBER(SEARCH("MEZCAL",C1179)),"Tequila/Mezcal",
 ISNUMBER(SEARCH("RUM",C1179)),"Rum",
 ISNUMBER(SEARCH("BRAND",C1179)),"Brandy",
 ISNUMBER(SEARCH("COGNAC",C1179)),"Brandy",
 ISNUMBER(SEARCH("LIQUEUR",C1179)),"Liqueurs",
 ISNUMBER(SEARCH("CORDIAL",C1179)),"Liqueurs",
 ISNUMBER(SEARCH("SCHNAPP",C1179)),"Liqueurs",
 ISNUMBER(SEARCH("GIN",C1179)),"Gin",
 TRUE,"Other")</f>
        <v>Brandy</v>
      </c>
      <c r="E1179" s="5">
        <v>54008</v>
      </c>
      <c r="F1179" s="5">
        <v>353741.18000000052</v>
      </c>
      <c r="G1179" s="5"/>
      <c r="H1179" s="5">
        <v>4656</v>
      </c>
    </row>
    <row r="1180" spans="1:8">
      <c r="A1180" s="5">
        <v>2022</v>
      </c>
      <c r="B1180" s="6">
        <v>44621</v>
      </c>
      <c r="C1180" s="5" t="s">
        <v>59</v>
      </c>
      <c r="D1180" s="3" t="str" cm="1">
        <f t="array" ref="D1180">_xlfn.IFS(
 ISNUMBER(SEARCH("WHISK",C1180)),"Whiskey",
 ISNUMBER(SEARCH("BOURBON",C1180)),"Whiskey",
 ISNUMBER(SEARCH("SCOTCH",C1180)),"Whiskey",
 ISNUMBER(SEARCH("RYE",C1180)),"Whiskey",
 ISNUMBER(SEARCH("VODKA",C1180)),"Vodka",
 ISNUMBER(SEARCH("TEQUILA",C1180)),"Tequila/Mezcal",
 ISNUMBER(SEARCH("MEZCAL",C1180)),"Tequila/Mezcal",
 ISNUMBER(SEARCH("RUM",C1180)),"Rum",
 ISNUMBER(SEARCH("BRAND",C1180)),"Brandy",
 ISNUMBER(SEARCH("COGNAC",C1180)),"Brandy",
 ISNUMBER(SEARCH("LIQUEUR",C1180)),"Liqueurs",
 ISNUMBER(SEARCH("CORDIAL",C1180)),"Liqueurs",
 ISNUMBER(SEARCH("SCHNAPP",C1180)),"Liqueurs",
 ISNUMBER(SEARCH("GIN",C1180)),"Gin",
 TRUE,"Other")</f>
        <v>Liqueurs</v>
      </c>
      <c r="E1180" s="5">
        <v>40184</v>
      </c>
      <c r="F1180" s="5">
        <v>348006.87000000355</v>
      </c>
      <c r="G1180" s="5"/>
      <c r="H1180" s="5">
        <v>4703</v>
      </c>
    </row>
    <row r="1181" spans="1:8">
      <c r="A1181" s="5">
        <v>2022</v>
      </c>
      <c r="B1181" s="6">
        <v>44621</v>
      </c>
      <c r="C1181" s="5" t="s">
        <v>10</v>
      </c>
      <c r="D1181" s="3" t="str" cm="1">
        <f t="array" ref="D1181">_xlfn.IFS(
 ISNUMBER(SEARCH("WHISK",C1181)),"Whiskey",
 ISNUMBER(SEARCH("BOURBON",C1181)),"Whiskey",
 ISNUMBER(SEARCH("SCOTCH",C1181)),"Whiskey",
 ISNUMBER(SEARCH("RYE",C1181)),"Whiskey",
 ISNUMBER(SEARCH("VODKA",C1181)),"Vodka",
 ISNUMBER(SEARCH("TEQUILA",C1181)),"Tequila/Mezcal",
 ISNUMBER(SEARCH("MEZCAL",C1181)),"Tequila/Mezcal",
 ISNUMBER(SEARCH("RUM",C1181)),"Rum",
 ISNUMBER(SEARCH("BRAND",C1181)),"Brandy",
 ISNUMBER(SEARCH("COGNAC",C1181)),"Brandy",
 ISNUMBER(SEARCH("LIQUEUR",C1181)),"Liqueurs",
 ISNUMBER(SEARCH("CORDIAL",C1181)),"Liqueurs",
 ISNUMBER(SEARCH("SCHNAPP",C1181)),"Liqueurs",
 ISNUMBER(SEARCH("GIN",C1181)),"Gin",
 TRUE,"Other")</f>
        <v>Other</v>
      </c>
      <c r="E1181" s="5">
        <v>4050</v>
      </c>
      <c r="F1181" s="5">
        <v>78833.119999999879</v>
      </c>
      <c r="G1181" s="5"/>
      <c r="H1181" s="5">
        <v>659</v>
      </c>
    </row>
    <row r="1182" spans="1:8">
      <c r="A1182" s="5">
        <v>2022</v>
      </c>
      <c r="B1182" s="6">
        <v>44621</v>
      </c>
      <c r="C1182" s="5" t="s">
        <v>11</v>
      </c>
      <c r="D1182" s="3" t="str" cm="1">
        <f t="array" ref="D1182">_xlfn.IFS(
 ISNUMBER(SEARCH("WHISK",C1182)),"Whiskey",
 ISNUMBER(SEARCH("BOURBON",C1182)),"Whiskey",
 ISNUMBER(SEARCH("SCOTCH",C1182)),"Whiskey",
 ISNUMBER(SEARCH("RYE",C1182)),"Whiskey",
 ISNUMBER(SEARCH("VODKA",C1182)),"Vodka",
 ISNUMBER(SEARCH("TEQUILA",C1182)),"Tequila/Mezcal",
 ISNUMBER(SEARCH("MEZCAL",C1182)),"Tequila/Mezcal",
 ISNUMBER(SEARCH("RUM",C1182)),"Rum",
 ISNUMBER(SEARCH("BRAND",C1182)),"Brandy",
 ISNUMBER(SEARCH("COGNAC",C1182)),"Brandy",
 ISNUMBER(SEARCH("LIQUEUR",C1182)),"Liqueurs",
 ISNUMBER(SEARCH("CORDIAL",C1182)),"Liqueurs",
 ISNUMBER(SEARCH("SCHNAPP",C1182)),"Liqueurs",
 ISNUMBER(SEARCH("GIN",C1182)),"Gin",
 TRUE,"Other")</f>
        <v>Gin</v>
      </c>
      <c r="E1182" s="5">
        <v>19287</v>
      </c>
      <c r="F1182" s="5">
        <v>196465.82999999958</v>
      </c>
      <c r="G1182" s="5"/>
      <c r="H1182" s="5">
        <v>2183</v>
      </c>
    </row>
    <row r="1183" spans="1:8">
      <c r="A1183" s="5">
        <v>2022</v>
      </c>
      <c r="B1183" s="6">
        <v>44621</v>
      </c>
      <c r="C1183" s="5" t="s">
        <v>12</v>
      </c>
      <c r="D1183" s="3" t="str" cm="1">
        <f t="array" ref="D1183">_xlfn.IFS(
 ISNUMBER(SEARCH("WHISK",C1183)),"Whiskey",
 ISNUMBER(SEARCH("BOURBON",C1183)),"Whiskey",
 ISNUMBER(SEARCH("SCOTCH",C1183)),"Whiskey",
 ISNUMBER(SEARCH("RYE",C1183)),"Whiskey",
 ISNUMBER(SEARCH("VODKA",C1183)),"Vodka",
 ISNUMBER(SEARCH("TEQUILA",C1183)),"Tequila/Mezcal",
 ISNUMBER(SEARCH("MEZCAL",C1183)),"Tequila/Mezcal",
 ISNUMBER(SEARCH("RUM",C1183)),"Rum",
 ISNUMBER(SEARCH("BRAND",C1183)),"Brandy",
 ISNUMBER(SEARCH("COGNAC",C1183)),"Brandy",
 ISNUMBER(SEARCH("LIQUEUR",C1183)),"Liqueurs",
 ISNUMBER(SEARCH("CORDIAL",C1183)),"Liqueurs",
 ISNUMBER(SEARCH("SCHNAPP",C1183)),"Liqueurs",
 ISNUMBER(SEARCH("GIN",C1183)),"Gin",
 TRUE,"Other")</f>
        <v>Vodka</v>
      </c>
      <c r="E1183" s="5">
        <v>81484</v>
      </c>
      <c r="F1183" s="5">
        <v>856616.92000003648</v>
      </c>
      <c r="G1183" s="5"/>
      <c r="H1183" s="5">
        <v>10066</v>
      </c>
    </row>
    <row r="1184" spans="1:8">
      <c r="A1184" s="5">
        <v>2022</v>
      </c>
      <c r="B1184" s="6">
        <v>44621</v>
      </c>
      <c r="C1184" s="5" t="s">
        <v>13</v>
      </c>
      <c r="D1184" s="3" t="str" cm="1">
        <f t="array" ref="D1184">_xlfn.IFS(
 ISNUMBER(SEARCH("WHISK",C1184)),"Whiskey",
 ISNUMBER(SEARCH("BOURBON",C1184)),"Whiskey",
 ISNUMBER(SEARCH("SCOTCH",C1184)),"Whiskey",
 ISNUMBER(SEARCH("RYE",C1184)),"Whiskey",
 ISNUMBER(SEARCH("VODKA",C1184)),"Vodka",
 ISNUMBER(SEARCH("TEQUILA",C1184)),"Tequila/Mezcal",
 ISNUMBER(SEARCH("MEZCAL",C1184)),"Tequila/Mezcal",
 ISNUMBER(SEARCH("RUM",C1184)),"Rum",
 ISNUMBER(SEARCH("BRAND",C1184)),"Brandy",
 ISNUMBER(SEARCH("COGNAC",C1184)),"Brandy",
 ISNUMBER(SEARCH("LIQUEUR",C1184)),"Liqueurs",
 ISNUMBER(SEARCH("CORDIAL",C1184)),"Liqueurs",
 ISNUMBER(SEARCH("SCHNAPP",C1184)),"Liqueurs",
 ISNUMBER(SEARCH("GIN",C1184)),"Gin",
 TRUE,"Other")</f>
        <v>Liqueurs</v>
      </c>
      <c r="E1184" s="5">
        <v>65790</v>
      </c>
      <c r="F1184" s="5">
        <v>529143.09999999451</v>
      </c>
      <c r="G1184" s="5"/>
      <c r="H1184" s="5">
        <v>6337</v>
      </c>
    </row>
    <row r="1185" spans="1:8">
      <c r="A1185" s="5">
        <v>2022</v>
      </c>
      <c r="B1185" s="6">
        <v>44621</v>
      </c>
      <c r="C1185" s="5" t="s">
        <v>16</v>
      </c>
      <c r="D1185" s="3" t="str" cm="1">
        <f t="array" ref="D1185">_xlfn.IFS(
 ISNUMBER(SEARCH("WHISK",C1185)),"Whiskey",
 ISNUMBER(SEARCH("BOURBON",C1185)),"Whiskey",
 ISNUMBER(SEARCH("SCOTCH",C1185)),"Whiskey",
 ISNUMBER(SEARCH("RYE",C1185)),"Whiskey",
 ISNUMBER(SEARCH("VODKA",C1185)),"Vodka",
 ISNUMBER(SEARCH("TEQUILA",C1185)),"Tequila/Mezcal",
 ISNUMBER(SEARCH("MEZCAL",C1185)),"Tequila/Mezcal",
 ISNUMBER(SEARCH("RUM",C1185)),"Rum",
 ISNUMBER(SEARCH("BRAND",C1185)),"Brandy",
 ISNUMBER(SEARCH("COGNAC",C1185)),"Brandy",
 ISNUMBER(SEARCH("LIQUEUR",C1185)),"Liqueurs",
 ISNUMBER(SEARCH("CORDIAL",C1185)),"Liqueurs",
 ISNUMBER(SEARCH("SCHNAPP",C1185)),"Liqueurs",
 ISNUMBER(SEARCH("GIN",C1185)),"Gin",
 TRUE,"Other")</f>
        <v>Whiskey</v>
      </c>
      <c r="E1185" s="5">
        <v>64857</v>
      </c>
      <c r="F1185" s="5">
        <v>807912.71000000462</v>
      </c>
      <c r="G1185" s="5"/>
      <c r="H1185" s="5">
        <v>7625</v>
      </c>
    </row>
    <row r="1186" spans="1:8">
      <c r="A1186" s="5">
        <v>2022</v>
      </c>
      <c r="B1186" s="6">
        <v>44621</v>
      </c>
      <c r="C1186" s="5" t="s">
        <v>22</v>
      </c>
      <c r="D1186" s="3" t="str" cm="1">
        <f t="array" ref="D1186">_xlfn.IFS(
 ISNUMBER(SEARCH("WHISK",C1186)),"Whiskey",
 ISNUMBER(SEARCH("BOURBON",C1186)),"Whiskey",
 ISNUMBER(SEARCH("SCOTCH",C1186)),"Whiskey",
 ISNUMBER(SEARCH("RYE",C1186)),"Whiskey",
 ISNUMBER(SEARCH("VODKA",C1186)),"Vodka",
 ISNUMBER(SEARCH("TEQUILA",C1186)),"Tequila/Mezcal",
 ISNUMBER(SEARCH("MEZCAL",C1186)),"Tequila/Mezcal",
 ISNUMBER(SEARCH("RUM",C1186)),"Rum",
 ISNUMBER(SEARCH("BRAND",C1186)),"Brandy",
 ISNUMBER(SEARCH("COGNAC",C1186)),"Brandy",
 ISNUMBER(SEARCH("LIQUEUR",C1186)),"Liqueurs",
 ISNUMBER(SEARCH("CORDIAL",C1186)),"Liqueurs",
 ISNUMBER(SEARCH("SCHNAPP",C1186)),"Liqueurs",
 ISNUMBER(SEARCH("GIN",C1186)),"Gin",
 TRUE,"Other")</f>
        <v>Liqueurs</v>
      </c>
      <c r="E1186" s="5">
        <v>24268</v>
      </c>
      <c r="F1186" s="5">
        <v>491298.09999999712</v>
      </c>
      <c r="G1186" s="5"/>
      <c r="H1186" s="5">
        <v>3771</v>
      </c>
    </row>
    <row r="1187" spans="1:8">
      <c r="A1187" s="5">
        <v>2022</v>
      </c>
      <c r="B1187" s="6">
        <v>44621</v>
      </c>
      <c r="C1187" s="5" t="s">
        <v>60</v>
      </c>
      <c r="D1187" s="3" t="str" cm="1">
        <f t="array" ref="D1187">_xlfn.IFS(
 ISNUMBER(SEARCH("WHISK",C1187)),"Whiskey",
 ISNUMBER(SEARCH("BOURBON",C1187)),"Whiskey",
 ISNUMBER(SEARCH("SCOTCH",C1187)),"Whiskey",
 ISNUMBER(SEARCH("RYE",C1187)),"Whiskey",
 ISNUMBER(SEARCH("VODKA",C1187)),"Vodka",
 ISNUMBER(SEARCH("TEQUILA",C1187)),"Tequila/Mezcal",
 ISNUMBER(SEARCH("MEZCAL",C1187)),"Tequila/Mezcal",
 ISNUMBER(SEARCH("RUM",C1187)),"Rum",
 ISNUMBER(SEARCH("BRAND",C1187)),"Brandy",
 ISNUMBER(SEARCH("COGNAC",C1187)),"Brandy",
 ISNUMBER(SEARCH("LIQUEUR",C1187)),"Liqueurs",
 ISNUMBER(SEARCH("CORDIAL",C1187)),"Liqueurs",
 ISNUMBER(SEARCH("SCHNAPP",C1187)),"Liqueurs",
 ISNUMBER(SEARCH("GIN",C1187)),"Gin",
 TRUE,"Other")</f>
        <v>Liqueurs</v>
      </c>
      <c r="E1187" s="5">
        <v>44695</v>
      </c>
      <c r="F1187" s="5">
        <v>970302.6500000013</v>
      </c>
      <c r="G1187" s="5"/>
      <c r="H1187" s="5">
        <v>4527</v>
      </c>
    </row>
    <row r="1188" spans="1:8">
      <c r="A1188" s="5">
        <v>2022</v>
      </c>
      <c r="B1188" s="6">
        <v>44621</v>
      </c>
      <c r="C1188" s="5" t="s">
        <v>29</v>
      </c>
      <c r="D1188" s="3" t="str" cm="1">
        <f t="array" ref="D1188">_xlfn.IFS(
 ISNUMBER(SEARCH("WHISK",C1188)),"Whiskey",
 ISNUMBER(SEARCH("BOURBON",C1188)),"Whiskey",
 ISNUMBER(SEARCH("SCOTCH",C1188)),"Whiskey",
 ISNUMBER(SEARCH("RYE",C1188)),"Whiskey",
 ISNUMBER(SEARCH("VODKA",C1188)),"Vodka",
 ISNUMBER(SEARCH("TEQUILA",C1188)),"Tequila/Mezcal",
 ISNUMBER(SEARCH("MEZCAL",C1188)),"Tequila/Mezcal",
 ISNUMBER(SEARCH("RUM",C1188)),"Rum",
 ISNUMBER(SEARCH("BRAND",C1188)),"Brandy",
 ISNUMBER(SEARCH("COGNAC",C1188)),"Brandy",
 ISNUMBER(SEARCH("LIQUEUR",C1188)),"Liqueurs",
 ISNUMBER(SEARCH("CORDIAL",C1188)),"Liqueurs",
 ISNUMBER(SEARCH("SCHNAPP",C1188)),"Liqueurs",
 ISNUMBER(SEARCH("GIN",C1188)),"Gin",
 TRUE,"Other")</f>
        <v>Gin</v>
      </c>
      <c r="E1188" s="5">
        <v>11776</v>
      </c>
      <c r="F1188" s="5">
        <v>289006.59000000037</v>
      </c>
      <c r="G1188" s="5"/>
      <c r="H1188" s="5">
        <v>1529</v>
      </c>
    </row>
    <row r="1189" spans="1:8">
      <c r="A1189" s="5">
        <v>2022</v>
      </c>
      <c r="B1189" s="6">
        <v>44621</v>
      </c>
      <c r="C1189" s="5" t="s">
        <v>31</v>
      </c>
      <c r="D1189" s="3" t="str" cm="1">
        <f t="array" ref="D1189">_xlfn.IFS(
 ISNUMBER(SEARCH("WHISK",C1189)),"Whiskey",
 ISNUMBER(SEARCH("BOURBON",C1189)),"Whiskey",
 ISNUMBER(SEARCH("SCOTCH",C1189)),"Whiskey",
 ISNUMBER(SEARCH("RYE",C1189)),"Whiskey",
 ISNUMBER(SEARCH("VODKA",C1189)),"Vodka",
 ISNUMBER(SEARCH("TEQUILA",C1189)),"Tequila/Mezcal",
 ISNUMBER(SEARCH("MEZCAL",C1189)),"Tequila/Mezcal",
 ISNUMBER(SEARCH("RUM",C1189)),"Rum",
 ISNUMBER(SEARCH("BRAND",C1189)),"Brandy",
 ISNUMBER(SEARCH("COGNAC",C1189)),"Brandy",
 ISNUMBER(SEARCH("LIQUEUR",C1189)),"Liqueurs",
 ISNUMBER(SEARCH("CORDIAL",C1189)),"Liqueurs",
 ISNUMBER(SEARCH("SCHNAPP",C1189)),"Liqueurs",
 ISNUMBER(SEARCH("GIN",C1189)),"Gin",
 TRUE,"Other")</f>
        <v>Liqueurs</v>
      </c>
      <c r="E1189" s="5">
        <v>28030</v>
      </c>
      <c r="F1189" s="5">
        <v>485730.77999999945</v>
      </c>
      <c r="G1189" s="5"/>
      <c r="H1189" s="5">
        <v>2745</v>
      </c>
    </row>
    <row r="1190" spans="1:8">
      <c r="A1190" s="5">
        <v>2022</v>
      </c>
      <c r="B1190" s="6">
        <v>44621</v>
      </c>
      <c r="C1190" s="5" t="s">
        <v>32</v>
      </c>
      <c r="D1190" s="3" t="str" cm="1">
        <f t="array" ref="D1190">_xlfn.IFS(
 ISNUMBER(SEARCH("WHISK",C1190)),"Whiskey",
 ISNUMBER(SEARCH("BOURBON",C1190)),"Whiskey",
 ISNUMBER(SEARCH("SCOTCH",C1190)),"Whiskey",
 ISNUMBER(SEARCH("RYE",C1190)),"Whiskey",
 ISNUMBER(SEARCH("VODKA",C1190)),"Vodka",
 ISNUMBER(SEARCH("TEQUILA",C1190)),"Tequila/Mezcal",
 ISNUMBER(SEARCH("MEZCAL",C1190)),"Tequila/Mezcal",
 ISNUMBER(SEARCH("RUM",C1190)),"Rum",
 ISNUMBER(SEARCH("BRAND",C1190)),"Brandy",
 ISNUMBER(SEARCH("COGNAC",C1190)),"Brandy",
 ISNUMBER(SEARCH("LIQUEUR",C1190)),"Liqueurs",
 ISNUMBER(SEARCH("CORDIAL",C1190)),"Liqueurs",
 ISNUMBER(SEARCH("SCHNAPP",C1190)),"Liqueurs",
 ISNUMBER(SEARCH("GIN",C1190)),"Gin",
 TRUE,"Other")</f>
        <v>Vodka</v>
      </c>
      <c r="E1190" s="5">
        <v>47209</v>
      </c>
      <c r="F1190" s="5">
        <v>804429.23999998893</v>
      </c>
      <c r="G1190" s="5"/>
      <c r="H1190" s="5">
        <v>4842</v>
      </c>
    </row>
    <row r="1191" spans="1:8">
      <c r="A1191" s="5">
        <v>2022</v>
      </c>
      <c r="B1191" s="6">
        <v>44621</v>
      </c>
      <c r="C1191" s="5" t="s">
        <v>37</v>
      </c>
      <c r="D1191" s="3" t="str" cm="1">
        <f t="array" ref="D1191">_xlfn.IFS(
 ISNUMBER(SEARCH("WHISK",C1191)),"Whiskey",
 ISNUMBER(SEARCH("BOURBON",C1191)),"Whiskey",
 ISNUMBER(SEARCH("SCOTCH",C1191)),"Whiskey",
 ISNUMBER(SEARCH("RYE",C1191)),"Whiskey",
 ISNUMBER(SEARCH("VODKA",C1191)),"Vodka",
 ISNUMBER(SEARCH("TEQUILA",C1191)),"Tequila/Mezcal",
 ISNUMBER(SEARCH("MEZCAL",C1191)),"Tequila/Mezcal",
 ISNUMBER(SEARCH("RUM",C1191)),"Rum",
 ISNUMBER(SEARCH("BRAND",C1191)),"Brandy",
 ISNUMBER(SEARCH("COGNAC",C1191)),"Brandy",
 ISNUMBER(SEARCH("LIQUEUR",C1191)),"Liqueurs",
 ISNUMBER(SEARCH("CORDIAL",C1191)),"Liqueurs",
 ISNUMBER(SEARCH("SCHNAPP",C1191)),"Liqueurs",
 ISNUMBER(SEARCH("GIN",C1191)),"Gin",
 TRUE,"Other")</f>
        <v>Other</v>
      </c>
      <c r="E1191" s="5">
        <v>8382</v>
      </c>
      <c r="F1191" s="5">
        <v>141970.02999999982</v>
      </c>
      <c r="G1191" s="5"/>
      <c r="H1191" s="5">
        <v>1587</v>
      </c>
    </row>
    <row r="1192" spans="1:8">
      <c r="A1192" s="5">
        <v>2022</v>
      </c>
      <c r="B1192" s="6">
        <v>44621</v>
      </c>
      <c r="C1192" s="5" t="s">
        <v>40</v>
      </c>
      <c r="D1192" s="3" t="str" cm="1">
        <f t="array" ref="D1192">_xlfn.IFS(
 ISNUMBER(SEARCH("WHISK",C1192)),"Whiskey",
 ISNUMBER(SEARCH("BOURBON",C1192)),"Whiskey",
 ISNUMBER(SEARCH("SCOTCH",C1192)),"Whiskey",
 ISNUMBER(SEARCH("RYE",C1192)),"Whiskey",
 ISNUMBER(SEARCH("VODKA",C1192)),"Vodka",
 ISNUMBER(SEARCH("TEQUILA",C1192)),"Tequila/Mezcal",
 ISNUMBER(SEARCH("MEZCAL",C1192)),"Tequila/Mezcal",
 ISNUMBER(SEARCH("RUM",C1192)),"Rum",
 ISNUMBER(SEARCH("BRAND",C1192)),"Brandy",
 ISNUMBER(SEARCH("COGNAC",C1192)),"Brandy",
 ISNUMBER(SEARCH("LIQUEUR",C1192)),"Liqueurs",
 ISNUMBER(SEARCH("CORDIAL",C1192)),"Liqueurs",
 ISNUMBER(SEARCH("SCHNAPP",C1192)),"Liqueurs",
 ISNUMBER(SEARCH("GIN",C1192)),"Gin",
 TRUE,"Other")</f>
        <v>Whiskey</v>
      </c>
      <c r="E1192" s="5">
        <v>5686</v>
      </c>
      <c r="F1192" s="5">
        <v>271969.38000000146</v>
      </c>
      <c r="G1192" s="5"/>
      <c r="H1192" s="5">
        <v>1285</v>
      </c>
    </row>
    <row r="1193" spans="1:8">
      <c r="A1193" s="5">
        <v>2022</v>
      </c>
      <c r="B1193" s="6">
        <v>44621</v>
      </c>
      <c r="C1193" s="5" t="s">
        <v>43</v>
      </c>
      <c r="D1193" s="3" t="str" cm="1">
        <f t="array" ref="D1193">_xlfn.IFS(
 ISNUMBER(SEARCH("WHISK",C1193)),"Whiskey",
 ISNUMBER(SEARCH("BOURBON",C1193)),"Whiskey",
 ISNUMBER(SEARCH("SCOTCH",C1193)),"Whiskey",
 ISNUMBER(SEARCH("RYE",C1193)),"Whiskey",
 ISNUMBER(SEARCH("VODKA",C1193)),"Vodka",
 ISNUMBER(SEARCH("TEQUILA",C1193)),"Tequila/Mezcal",
 ISNUMBER(SEARCH("MEZCAL",C1193)),"Tequila/Mezcal",
 ISNUMBER(SEARCH("RUM",C1193)),"Rum",
 ISNUMBER(SEARCH("BRAND",C1193)),"Brandy",
 ISNUMBER(SEARCH("COGNAC",C1193)),"Brandy",
 ISNUMBER(SEARCH("LIQUEUR",C1193)),"Liqueurs",
 ISNUMBER(SEARCH("CORDIAL",C1193)),"Liqueurs",
 ISNUMBER(SEARCH("SCHNAPP",C1193)),"Liqueurs",
 ISNUMBER(SEARCH("GIN",C1193)),"Gin",
 TRUE,"Other")</f>
        <v>Whiskey</v>
      </c>
      <c r="E1193" s="5">
        <v>122644</v>
      </c>
      <c r="F1193" s="5">
        <v>2598771.6599999685</v>
      </c>
      <c r="G1193" s="5"/>
      <c r="H1193" s="5">
        <v>14386</v>
      </c>
    </row>
    <row r="1194" spans="1:8">
      <c r="A1194" s="5">
        <v>2022</v>
      </c>
      <c r="B1194" s="6">
        <v>44621</v>
      </c>
      <c r="C1194" s="5" t="s">
        <v>45</v>
      </c>
      <c r="D1194" s="3" t="str" cm="1">
        <f t="array" ref="D1194">_xlfn.IFS(
 ISNUMBER(SEARCH("WHISK",C1194)),"Whiskey",
 ISNUMBER(SEARCH("BOURBON",C1194)),"Whiskey",
 ISNUMBER(SEARCH("SCOTCH",C1194)),"Whiskey",
 ISNUMBER(SEARCH("RYE",C1194)),"Whiskey",
 ISNUMBER(SEARCH("VODKA",C1194)),"Vodka",
 ISNUMBER(SEARCH("TEQUILA",C1194)),"Tequila/Mezcal",
 ISNUMBER(SEARCH("MEZCAL",C1194)),"Tequila/Mezcal",
 ISNUMBER(SEARCH("RUM",C1194)),"Rum",
 ISNUMBER(SEARCH("BRAND",C1194)),"Brandy",
 ISNUMBER(SEARCH("COGNAC",C1194)),"Brandy",
 ISNUMBER(SEARCH("LIQUEUR",C1194)),"Liqueurs",
 ISNUMBER(SEARCH("CORDIAL",C1194)),"Liqueurs",
 ISNUMBER(SEARCH("SCHNAPP",C1194)),"Liqueurs",
 ISNUMBER(SEARCH("GIN",C1194)),"Gin",
 TRUE,"Other")</f>
        <v>Other</v>
      </c>
      <c r="E1194" s="5">
        <v>36272</v>
      </c>
      <c r="F1194" s="5">
        <v>962230.83999999985</v>
      </c>
      <c r="G1194" s="5"/>
      <c r="H1194" s="5">
        <v>4455</v>
      </c>
    </row>
    <row r="1195" spans="1:8">
      <c r="A1195" s="5">
        <v>2022</v>
      </c>
      <c r="B1195" s="6">
        <v>44621</v>
      </c>
      <c r="C1195" s="5" t="s">
        <v>46</v>
      </c>
      <c r="D1195" s="3" t="str" cm="1">
        <f t="array" ref="D1195">_xlfn.IFS(
 ISNUMBER(SEARCH("WHISK",C1195)),"Whiskey",
 ISNUMBER(SEARCH("BOURBON",C1195)),"Whiskey",
 ISNUMBER(SEARCH("SCOTCH",C1195)),"Whiskey",
 ISNUMBER(SEARCH("RYE",C1195)),"Whiskey",
 ISNUMBER(SEARCH("VODKA",C1195)),"Vodka",
 ISNUMBER(SEARCH("TEQUILA",C1195)),"Tequila/Mezcal",
 ISNUMBER(SEARCH("MEZCAL",C1195)),"Tequila/Mezcal",
 ISNUMBER(SEARCH("RUM",C1195)),"Rum",
 ISNUMBER(SEARCH("BRAND",C1195)),"Brandy",
 ISNUMBER(SEARCH("COGNAC",C1195)),"Brandy",
 ISNUMBER(SEARCH("LIQUEUR",C1195)),"Liqueurs",
 ISNUMBER(SEARCH("CORDIAL",C1195)),"Liqueurs",
 ISNUMBER(SEARCH("SCHNAPP",C1195)),"Liqueurs",
 ISNUMBER(SEARCH("GIN",C1195)),"Gin",
 TRUE,"Other")</f>
        <v>Whiskey</v>
      </c>
      <c r="E1195" s="5">
        <v>61682</v>
      </c>
      <c r="F1195" s="5">
        <v>1438881.8299999963</v>
      </c>
      <c r="G1195" s="5"/>
      <c r="H1195" s="5">
        <v>5773</v>
      </c>
    </row>
    <row r="1196" spans="1:8">
      <c r="A1196" s="5">
        <v>2022</v>
      </c>
      <c r="B1196" s="6">
        <v>44621</v>
      </c>
      <c r="C1196" s="5" t="s">
        <v>47</v>
      </c>
      <c r="D1196" s="3" t="str" cm="1">
        <f t="array" ref="D1196">_xlfn.IFS(
 ISNUMBER(SEARCH("WHISK",C1196)),"Whiskey",
 ISNUMBER(SEARCH("BOURBON",C1196)),"Whiskey",
 ISNUMBER(SEARCH("SCOTCH",C1196)),"Whiskey",
 ISNUMBER(SEARCH("RYE",C1196)),"Whiskey",
 ISNUMBER(SEARCH("VODKA",C1196)),"Vodka",
 ISNUMBER(SEARCH("TEQUILA",C1196)),"Tequila/Mezcal",
 ISNUMBER(SEARCH("MEZCAL",C1196)),"Tequila/Mezcal",
 ISNUMBER(SEARCH("RUM",C1196)),"Rum",
 ISNUMBER(SEARCH("BRAND",C1196)),"Brandy",
 ISNUMBER(SEARCH("COGNAC",C1196)),"Brandy",
 ISNUMBER(SEARCH("LIQUEUR",C1196)),"Liqueurs",
 ISNUMBER(SEARCH("CORDIAL",C1196)),"Liqueurs",
 ISNUMBER(SEARCH("SCHNAPP",C1196)),"Liqueurs",
 ISNUMBER(SEARCH("GIN",C1196)),"Gin",
 TRUE,"Other")</f>
        <v>Other</v>
      </c>
      <c r="E1196" s="5">
        <v>16307</v>
      </c>
      <c r="F1196" s="5">
        <v>65947.580000000031</v>
      </c>
      <c r="G1196" s="5"/>
      <c r="H1196" s="5">
        <v>592</v>
      </c>
    </row>
    <row r="1197" spans="1:8">
      <c r="A1197" s="5">
        <v>2022</v>
      </c>
      <c r="B1197" s="6">
        <v>44621</v>
      </c>
      <c r="C1197" s="5" t="s">
        <v>49</v>
      </c>
      <c r="D1197" s="3" t="str" cm="1">
        <f t="array" ref="D1197">_xlfn.IFS(
 ISNUMBER(SEARCH("WHISK",C1197)),"Whiskey",
 ISNUMBER(SEARCH("BOURBON",C1197)),"Whiskey",
 ISNUMBER(SEARCH("SCOTCH",C1197)),"Whiskey",
 ISNUMBER(SEARCH("RYE",C1197)),"Whiskey",
 ISNUMBER(SEARCH("VODKA",C1197)),"Vodka",
 ISNUMBER(SEARCH("TEQUILA",C1197)),"Tequila/Mezcal",
 ISNUMBER(SEARCH("MEZCAL",C1197)),"Tequila/Mezcal",
 ISNUMBER(SEARCH("RUM",C1197)),"Rum",
 ISNUMBER(SEARCH("BRAND",C1197)),"Brandy",
 ISNUMBER(SEARCH("COGNAC",C1197)),"Brandy",
 ISNUMBER(SEARCH("LIQUEUR",C1197)),"Liqueurs",
 ISNUMBER(SEARCH("CORDIAL",C1197)),"Liqueurs",
 ISNUMBER(SEARCH("SCHNAPP",C1197)),"Liqueurs",
 ISNUMBER(SEARCH("GIN",C1197)),"Gin",
 TRUE,"Other")</f>
        <v>Rum</v>
      </c>
      <c r="E1197" s="5">
        <v>37382</v>
      </c>
      <c r="F1197" s="5">
        <v>418227.56999999634</v>
      </c>
      <c r="G1197" s="5"/>
      <c r="H1197" s="5">
        <v>3627</v>
      </c>
    </row>
    <row r="1198" spans="1:8">
      <c r="A1198" s="5">
        <v>2022</v>
      </c>
      <c r="B1198" s="6">
        <v>44621</v>
      </c>
      <c r="C1198" s="5" t="s">
        <v>21</v>
      </c>
      <c r="D1198" s="3" t="str" cm="1">
        <f t="array" ref="D1198">_xlfn.IFS(
 ISNUMBER(SEARCH("WHISK",C1198)),"Whiskey",
 ISNUMBER(SEARCH("BOURBON",C1198)),"Whiskey",
 ISNUMBER(SEARCH("SCOTCH",C1198)),"Whiskey",
 ISNUMBER(SEARCH("RYE",C1198)),"Whiskey",
 ISNUMBER(SEARCH("VODKA",C1198)),"Vodka",
 ISNUMBER(SEARCH("TEQUILA",C1198)),"Tequila/Mezcal",
 ISNUMBER(SEARCH("MEZCAL",C1198)),"Tequila/Mezcal",
 ISNUMBER(SEARCH("RUM",C1198)),"Rum",
 ISNUMBER(SEARCH("BRAND",C1198)),"Brandy",
 ISNUMBER(SEARCH("COGNAC",C1198)),"Brandy",
 ISNUMBER(SEARCH("LIQUEUR",C1198)),"Liqueurs",
 ISNUMBER(SEARCH("CORDIAL",C1198)),"Liqueurs",
 ISNUMBER(SEARCH("SCHNAPP",C1198)),"Liqueurs",
 ISNUMBER(SEARCH("GIN",C1198)),"Gin",
 TRUE,"Other")</f>
        <v>Whiskey</v>
      </c>
      <c r="E1198" s="5">
        <v>1116</v>
      </c>
      <c r="F1198" s="5">
        <v>44254.62</v>
      </c>
      <c r="G1198" s="5"/>
      <c r="H1198" s="5">
        <v>114</v>
      </c>
    </row>
    <row r="1199" spans="1:8">
      <c r="A1199" s="5">
        <v>2022</v>
      </c>
      <c r="B1199" s="6">
        <v>44621</v>
      </c>
      <c r="C1199" s="5" t="s">
        <v>30</v>
      </c>
      <c r="D1199" s="3" t="str" cm="1">
        <f t="array" ref="D1199">_xlfn.IFS(
 ISNUMBER(SEARCH("WHISK",C1199)),"Whiskey",
 ISNUMBER(SEARCH("BOURBON",C1199)),"Whiskey",
 ISNUMBER(SEARCH("SCOTCH",C1199)),"Whiskey",
 ISNUMBER(SEARCH("RYE",C1199)),"Whiskey",
 ISNUMBER(SEARCH("VODKA",C1199)),"Vodka",
 ISNUMBER(SEARCH("TEQUILA",C1199)),"Tequila/Mezcal",
 ISNUMBER(SEARCH("MEZCAL",C1199)),"Tequila/Mezcal",
 ISNUMBER(SEARCH("RUM",C1199)),"Rum",
 ISNUMBER(SEARCH("BRAND",C1199)),"Brandy",
 ISNUMBER(SEARCH("COGNAC",C1199)),"Brandy",
 ISNUMBER(SEARCH("LIQUEUR",C1199)),"Liqueurs",
 ISNUMBER(SEARCH("CORDIAL",C1199)),"Liqueurs",
 ISNUMBER(SEARCH("SCHNAPP",C1199)),"Liqueurs",
 ISNUMBER(SEARCH("GIN",C1199)),"Gin",
 TRUE,"Other")</f>
        <v>Vodka</v>
      </c>
      <c r="E1199" s="5">
        <v>21211</v>
      </c>
      <c r="F1199" s="5">
        <v>360083.10000000003</v>
      </c>
      <c r="G1199" s="5"/>
      <c r="H1199" s="5">
        <v>2764</v>
      </c>
    </row>
    <row r="1200" spans="1:8">
      <c r="A1200" s="5">
        <v>2022</v>
      </c>
      <c r="B1200" s="6">
        <v>44621</v>
      </c>
      <c r="C1200" s="5" t="s">
        <v>7</v>
      </c>
      <c r="D1200" s="3" t="str" cm="1">
        <f t="array" ref="D1200">_xlfn.IFS(
 ISNUMBER(SEARCH("WHISK",C1200)),"Whiskey",
 ISNUMBER(SEARCH("BOURBON",C1200)),"Whiskey",
 ISNUMBER(SEARCH("SCOTCH",C1200)),"Whiskey",
 ISNUMBER(SEARCH("RYE",C1200)),"Whiskey",
 ISNUMBER(SEARCH("VODKA",C1200)),"Vodka",
 ISNUMBER(SEARCH("TEQUILA",C1200)),"Tequila/Mezcal",
 ISNUMBER(SEARCH("MEZCAL",C1200)),"Tequila/Mezcal",
 ISNUMBER(SEARCH("RUM",C1200)),"Rum",
 ISNUMBER(SEARCH("BRAND",C1200)),"Brandy",
 ISNUMBER(SEARCH("COGNAC",C1200)),"Brandy",
 ISNUMBER(SEARCH("LIQUEUR",C1200)),"Liqueurs",
 ISNUMBER(SEARCH("CORDIAL",C1200)),"Liqueurs",
 ISNUMBER(SEARCH("SCHNAPP",C1200)),"Liqueurs",
 ISNUMBER(SEARCH("GIN",C1200)),"Gin",
 TRUE,"Other")</f>
        <v>Rum</v>
      </c>
      <c r="E1200" s="5">
        <v>3378</v>
      </c>
      <c r="F1200" s="5">
        <v>74772.640000000029</v>
      </c>
      <c r="G1200" s="5"/>
      <c r="H1200" s="5">
        <v>581</v>
      </c>
    </row>
    <row r="1201" spans="1:8">
      <c r="A1201" s="5">
        <v>2022</v>
      </c>
      <c r="B1201" s="6">
        <v>44621</v>
      </c>
      <c r="C1201" s="5" t="s">
        <v>17</v>
      </c>
      <c r="D1201" s="3" t="str" cm="1">
        <f t="array" ref="D1201">_xlfn.IFS(
 ISNUMBER(SEARCH("WHISK",C1201)),"Whiskey",
 ISNUMBER(SEARCH("BOURBON",C1201)),"Whiskey",
 ISNUMBER(SEARCH("SCOTCH",C1201)),"Whiskey",
 ISNUMBER(SEARCH("RYE",C1201)),"Whiskey",
 ISNUMBER(SEARCH("VODKA",C1201)),"Vodka",
 ISNUMBER(SEARCH("TEQUILA",C1201)),"Tequila/Mezcal",
 ISNUMBER(SEARCH("MEZCAL",C1201)),"Tequila/Mezcal",
 ISNUMBER(SEARCH("RUM",C1201)),"Rum",
 ISNUMBER(SEARCH("BRAND",C1201)),"Brandy",
 ISNUMBER(SEARCH("COGNAC",C1201)),"Brandy",
 ISNUMBER(SEARCH("LIQUEUR",C1201)),"Liqueurs",
 ISNUMBER(SEARCH("CORDIAL",C1201)),"Liqueurs",
 ISNUMBER(SEARCH("SCHNAPP",C1201)),"Liqueurs",
 ISNUMBER(SEARCH("GIN",C1201)),"Gin",
 TRUE,"Other")</f>
        <v>Whiskey</v>
      </c>
      <c r="E1201" s="5">
        <v>2133</v>
      </c>
      <c r="F1201" s="5">
        <v>52176.349999999991</v>
      </c>
      <c r="G1201" s="5"/>
      <c r="H1201" s="5">
        <v>435</v>
      </c>
    </row>
    <row r="1202" spans="1:8">
      <c r="A1202" s="5">
        <v>2022</v>
      </c>
      <c r="B1202" s="6">
        <v>44621</v>
      </c>
      <c r="C1202" s="5" t="s">
        <v>19</v>
      </c>
      <c r="D1202" s="3" t="str" cm="1">
        <f t="array" ref="D1202">_xlfn.IFS(
 ISNUMBER(SEARCH("WHISK",C1202)),"Whiskey",
 ISNUMBER(SEARCH("BOURBON",C1202)),"Whiskey",
 ISNUMBER(SEARCH("SCOTCH",C1202)),"Whiskey",
 ISNUMBER(SEARCH("RYE",C1202)),"Whiskey",
 ISNUMBER(SEARCH("VODKA",C1202)),"Vodka",
 ISNUMBER(SEARCH("TEQUILA",C1202)),"Tequila/Mezcal",
 ISNUMBER(SEARCH("MEZCAL",C1202)),"Tequila/Mezcal",
 ISNUMBER(SEARCH("RUM",C1202)),"Rum",
 ISNUMBER(SEARCH("BRAND",C1202)),"Brandy",
 ISNUMBER(SEARCH("COGNAC",C1202)),"Brandy",
 ISNUMBER(SEARCH("LIQUEUR",C1202)),"Liqueurs",
 ISNUMBER(SEARCH("CORDIAL",C1202)),"Liqueurs",
 ISNUMBER(SEARCH("SCHNAPP",C1202)),"Liqueurs",
 ISNUMBER(SEARCH("GIN",C1202)),"Gin",
 TRUE,"Other")</f>
        <v>Other</v>
      </c>
      <c r="E1202" s="5">
        <v>60111</v>
      </c>
      <c r="F1202" s="5">
        <v>720463.52000000176</v>
      </c>
      <c r="G1202" s="5"/>
      <c r="H1202" s="5">
        <v>6085</v>
      </c>
    </row>
    <row r="1203" spans="1:8">
      <c r="A1203" s="5">
        <v>2022</v>
      </c>
      <c r="B1203" s="6">
        <v>44621</v>
      </c>
      <c r="C1203" s="5" t="s">
        <v>20</v>
      </c>
      <c r="D1203" s="3" t="str" cm="1">
        <f t="array" ref="D1203">_xlfn.IFS(
 ISNUMBER(SEARCH("WHISK",C1203)),"Whiskey",
 ISNUMBER(SEARCH("BOURBON",C1203)),"Whiskey",
 ISNUMBER(SEARCH("SCOTCH",C1203)),"Whiskey",
 ISNUMBER(SEARCH("RYE",C1203)),"Whiskey",
 ISNUMBER(SEARCH("VODKA",C1203)),"Vodka",
 ISNUMBER(SEARCH("TEQUILA",C1203)),"Tequila/Mezcal",
 ISNUMBER(SEARCH("MEZCAL",C1203)),"Tequila/Mezcal",
 ISNUMBER(SEARCH("RUM",C1203)),"Rum",
 ISNUMBER(SEARCH("BRAND",C1203)),"Brandy",
 ISNUMBER(SEARCH("COGNAC",C1203)),"Brandy",
 ISNUMBER(SEARCH("LIQUEUR",C1203)),"Liqueurs",
 ISNUMBER(SEARCH("CORDIAL",C1203)),"Liqueurs",
 ISNUMBER(SEARCH("SCHNAPP",C1203)),"Liqueurs",
 ISNUMBER(SEARCH("GIN",C1203)),"Gin",
 TRUE,"Other")</f>
        <v>Liqueurs</v>
      </c>
      <c r="E1203" s="5">
        <v>6492</v>
      </c>
      <c r="F1203" s="5">
        <v>109189.49000000076</v>
      </c>
      <c r="G1203" s="5"/>
      <c r="H1203" s="5">
        <v>848</v>
      </c>
    </row>
    <row r="1204" spans="1:8">
      <c r="A1204" s="5">
        <v>2022</v>
      </c>
      <c r="B1204" s="6">
        <v>44621</v>
      </c>
      <c r="C1204" s="5" t="s">
        <v>25</v>
      </c>
      <c r="D1204" s="3" t="str" cm="1">
        <f t="array" ref="D1204">_xlfn.IFS(
 ISNUMBER(SEARCH("WHISK",C1204)),"Whiskey",
 ISNUMBER(SEARCH("BOURBON",C1204)),"Whiskey",
 ISNUMBER(SEARCH("SCOTCH",C1204)),"Whiskey",
 ISNUMBER(SEARCH("RYE",C1204)),"Whiskey",
 ISNUMBER(SEARCH("VODKA",C1204)),"Vodka",
 ISNUMBER(SEARCH("TEQUILA",C1204)),"Tequila/Mezcal",
 ISNUMBER(SEARCH("MEZCAL",C1204)),"Tequila/Mezcal",
 ISNUMBER(SEARCH("RUM",C1204)),"Rum",
 ISNUMBER(SEARCH("BRAND",C1204)),"Brandy",
 ISNUMBER(SEARCH("COGNAC",C1204)),"Brandy",
 ISNUMBER(SEARCH("LIQUEUR",C1204)),"Liqueurs",
 ISNUMBER(SEARCH("CORDIAL",C1204)),"Liqueurs",
 ISNUMBER(SEARCH("SCHNAPP",C1204)),"Liqueurs",
 ISNUMBER(SEARCH("GIN",C1204)),"Gin",
 TRUE,"Other")</f>
        <v>Rum</v>
      </c>
      <c r="E1204" s="5">
        <v>5616</v>
      </c>
      <c r="F1204" s="5">
        <v>72513.359999999884</v>
      </c>
      <c r="G1204" s="5"/>
      <c r="H1204" s="5">
        <v>851</v>
      </c>
    </row>
    <row r="1205" spans="1:8">
      <c r="A1205" s="5">
        <v>2022</v>
      </c>
      <c r="B1205" s="6">
        <v>44621</v>
      </c>
      <c r="C1205" s="5" t="s">
        <v>26</v>
      </c>
      <c r="D1205" s="3" t="str" cm="1">
        <f t="array" ref="D1205">_xlfn.IFS(
 ISNUMBER(SEARCH("WHISK",C1205)),"Whiskey",
 ISNUMBER(SEARCH("BOURBON",C1205)),"Whiskey",
 ISNUMBER(SEARCH("SCOTCH",C1205)),"Whiskey",
 ISNUMBER(SEARCH("RYE",C1205)),"Whiskey",
 ISNUMBER(SEARCH("VODKA",C1205)),"Vodka",
 ISNUMBER(SEARCH("TEQUILA",C1205)),"Tequila/Mezcal",
 ISNUMBER(SEARCH("MEZCAL",C1205)),"Tequila/Mezcal",
 ISNUMBER(SEARCH("RUM",C1205)),"Rum",
 ISNUMBER(SEARCH("BRAND",C1205)),"Brandy",
 ISNUMBER(SEARCH("COGNAC",C1205)),"Brandy",
 ISNUMBER(SEARCH("LIQUEUR",C1205)),"Liqueurs",
 ISNUMBER(SEARCH("CORDIAL",C1205)),"Liqueurs",
 ISNUMBER(SEARCH("SCHNAPP",C1205)),"Liqueurs",
 ISNUMBER(SEARCH("GIN",C1205)),"Gin",
 TRUE,"Other")</f>
        <v>Brandy</v>
      </c>
      <c r="E1205" s="5">
        <v>23520</v>
      </c>
      <c r="F1205" s="5">
        <v>546418.32000000321</v>
      </c>
      <c r="G1205" s="5"/>
      <c r="H1205" s="5">
        <v>1930</v>
      </c>
    </row>
    <row r="1206" spans="1:8">
      <c r="A1206" s="5">
        <v>2022</v>
      </c>
      <c r="B1206" s="6">
        <v>44621</v>
      </c>
      <c r="C1206" s="5" t="s">
        <v>33</v>
      </c>
      <c r="D1206" s="3" t="str" cm="1">
        <f t="array" ref="D1206">_xlfn.IFS(
 ISNUMBER(SEARCH("WHISK",C1206)),"Whiskey",
 ISNUMBER(SEARCH("BOURBON",C1206)),"Whiskey",
 ISNUMBER(SEARCH("SCOTCH",C1206)),"Whiskey",
 ISNUMBER(SEARCH("RYE",C1206)),"Whiskey",
 ISNUMBER(SEARCH("VODKA",C1206)),"Vodka",
 ISNUMBER(SEARCH("TEQUILA",C1206)),"Tequila/Mezcal",
 ISNUMBER(SEARCH("MEZCAL",C1206)),"Tequila/Mezcal",
 ISNUMBER(SEARCH("RUM",C1206)),"Rum",
 ISNUMBER(SEARCH("BRAND",C1206)),"Brandy",
 ISNUMBER(SEARCH("COGNAC",C1206)),"Brandy",
 ISNUMBER(SEARCH("LIQUEUR",C1206)),"Liqueurs",
 ISNUMBER(SEARCH("CORDIAL",C1206)),"Liqueurs",
 ISNUMBER(SEARCH("SCHNAPP",C1206)),"Liqueurs",
 ISNUMBER(SEARCH("GIN",C1206)),"Gin",
 TRUE,"Other")</f>
        <v>Whiskey</v>
      </c>
      <c r="E1206" s="5">
        <v>25895</v>
      </c>
      <c r="F1206" s="5">
        <v>709980.40999999084</v>
      </c>
      <c r="G1206" s="5"/>
      <c r="H1206" s="5">
        <v>2690</v>
      </c>
    </row>
    <row r="1207" spans="1:8">
      <c r="A1207" s="5">
        <v>2022</v>
      </c>
      <c r="B1207" s="6">
        <v>44621</v>
      </c>
      <c r="C1207" s="5" t="s">
        <v>35</v>
      </c>
      <c r="D1207" s="3" t="str" cm="1">
        <f t="array" ref="D1207">_xlfn.IFS(
 ISNUMBER(SEARCH("WHISK",C1207)),"Whiskey",
 ISNUMBER(SEARCH("BOURBON",C1207)),"Whiskey",
 ISNUMBER(SEARCH("SCOTCH",C1207)),"Whiskey",
 ISNUMBER(SEARCH("RYE",C1207)),"Whiskey",
 ISNUMBER(SEARCH("VODKA",C1207)),"Vodka",
 ISNUMBER(SEARCH("TEQUILA",C1207)),"Tequila/Mezcal",
 ISNUMBER(SEARCH("MEZCAL",C1207)),"Tequila/Mezcal",
 ISNUMBER(SEARCH("RUM",C1207)),"Rum",
 ISNUMBER(SEARCH("BRAND",C1207)),"Brandy",
 ISNUMBER(SEARCH("COGNAC",C1207)),"Brandy",
 ISNUMBER(SEARCH("LIQUEUR",C1207)),"Liqueurs",
 ISNUMBER(SEARCH("CORDIAL",C1207)),"Liqueurs",
 ISNUMBER(SEARCH("SCHNAPP",C1207)),"Liqueurs",
 ISNUMBER(SEARCH("GIN",C1207)),"Gin",
 TRUE,"Other")</f>
        <v>Tequila/Mezcal</v>
      </c>
      <c r="E1207" s="5">
        <v>56257</v>
      </c>
      <c r="F1207" s="5">
        <v>756630.1699999877</v>
      </c>
      <c r="G1207" s="5"/>
      <c r="H1207" s="5">
        <v>4113</v>
      </c>
    </row>
    <row r="1208" spans="1:8">
      <c r="A1208" s="5">
        <v>2022</v>
      </c>
      <c r="B1208" s="6">
        <v>44621</v>
      </c>
      <c r="C1208" s="5" t="s">
        <v>38</v>
      </c>
      <c r="D1208" s="3" t="str" cm="1">
        <f t="array" ref="D1208">_xlfn.IFS(
 ISNUMBER(SEARCH("WHISK",C1208)),"Whiskey",
 ISNUMBER(SEARCH("BOURBON",C1208)),"Whiskey",
 ISNUMBER(SEARCH("SCOTCH",C1208)),"Whiskey",
 ISNUMBER(SEARCH("RYE",C1208)),"Whiskey",
 ISNUMBER(SEARCH("VODKA",C1208)),"Vodka",
 ISNUMBER(SEARCH("TEQUILA",C1208)),"Tequila/Mezcal",
 ISNUMBER(SEARCH("MEZCAL",C1208)),"Tequila/Mezcal",
 ISNUMBER(SEARCH("RUM",C1208)),"Rum",
 ISNUMBER(SEARCH("BRAND",C1208)),"Brandy",
 ISNUMBER(SEARCH("COGNAC",C1208)),"Brandy",
 ISNUMBER(SEARCH("LIQUEUR",C1208)),"Liqueurs",
 ISNUMBER(SEARCH("CORDIAL",C1208)),"Liqueurs",
 ISNUMBER(SEARCH("SCHNAPP",C1208)),"Liqueurs",
 ISNUMBER(SEARCH("GIN",C1208)),"Gin",
 TRUE,"Other")</f>
        <v>Whiskey</v>
      </c>
      <c r="E1208" s="5">
        <v>13590</v>
      </c>
      <c r="F1208" s="5">
        <v>362474.20999999944</v>
      </c>
      <c r="G1208" s="5"/>
      <c r="H1208" s="5">
        <v>2338</v>
      </c>
    </row>
    <row r="1209" spans="1:8">
      <c r="A1209" s="5">
        <v>2022</v>
      </c>
      <c r="B1209" s="6">
        <v>44621</v>
      </c>
      <c r="C1209" s="5" t="s">
        <v>44</v>
      </c>
      <c r="D1209" s="3" t="str" cm="1">
        <f t="array" ref="D1209">_xlfn.IFS(
 ISNUMBER(SEARCH("WHISK",C1209)),"Whiskey",
 ISNUMBER(SEARCH("BOURBON",C1209)),"Whiskey",
 ISNUMBER(SEARCH("SCOTCH",C1209)),"Whiskey",
 ISNUMBER(SEARCH("RYE",C1209)),"Whiskey",
 ISNUMBER(SEARCH("VODKA",C1209)),"Vodka",
 ISNUMBER(SEARCH("TEQUILA",C1209)),"Tequila/Mezcal",
 ISNUMBER(SEARCH("MEZCAL",C1209)),"Tequila/Mezcal",
 ISNUMBER(SEARCH("RUM",C1209)),"Rum",
 ISNUMBER(SEARCH("BRAND",C1209)),"Brandy",
 ISNUMBER(SEARCH("COGNAC",C1209)),"Brandy",
 ISNUMBER(SEARCH("LIQUEUR",C1209)),"Liqueurs",
 ISNUMBER(SEARCH("CORDIAL",C1209)),"Liqueurs",
 ISNUMBER(SEARCH("SCHNAPP",C1209)),"Liqueurs",
 ISNUMBER(SEARCH("GIN",C1209)),"Gin",
 TRUE,"Other")</f>
        <v>Whiskey</v>
      </c>
      <c r="E1209" s="5">
        <v>10996</v>
      </c>
      <c r="F1209" s="5">
        <v>322669.2100000013</v>
      </c>
      <c r="G1209" s="5"/>
      <c r="H1209" s="5">
        <v>1736</v>
      </c>
    </row>
    <row r="1210" spans="1:8">
      <c r="A1210" s="5">
        <v>2022</v>
      </c>
      <c r="B1210" s="6">
        <v>44621</v>
      </c>
      <c r="C1210" s="5" t="s">
        <v>36</v>
      </c>
      <c r="D1210" s="3" t="str" cm="1">
        <f t="array" ref="D1210">_xlfn.IFS(
 ISNUMBER(SEARCH("WHISK",C1210)),"Whiskey",
 ISNUMBER(SEARCH("BOURBON",C1210)),"Whiskey",
 ISNUMBER(SEARCH("SCOTCH",C1210)),"Whiskey",
 ISNUMBER(SEARCH("RYE",C1210)),"Whiskey",
 ISNUMBER(SEARCH("VODKA",C1210)),"Vodka",
 ISNUMBER(SEARCH("TEQUILA",C1210)),"Tequila/Mezcal",
 ISNUMBER(SEARCH("MEZCAL",C1210)),"Tequila/Mezcal",
 ISNUMBER(SEARCH("RUM",C1210)),"Rum",
 ISNUMBER(SEARCH("BRAND",C1210)),"Brandy",
 ISNUMBER(SEARCH("COGNAC",C1210)),"Brandy",
 ISNUMBER(SEARCH("LIQUEUR",C1210)),"Liqueurs",
 ISNUMBER(SEARCH("CORDIAL",C1210)),"Liqueurs",
 ISNUMBER(SEARCH("SCHNAPP",C1210)),"Liqueurs",
 ISNUMBER(SEARCH("GIN",C1210)),"Gin",
 TRUE,"Other")</f>
        <v>Other</v>
      </c>
      <c r="E1210" s="5">
        <v>2860</v>
      </c>
      <c r="F1210" s="5">
        <v>42700.22</v>
      </c>
      <c r="G1210" s="5"/>
      <c r="H1210" s="5">
        <v>325</v>
      </c>
    </row>
    <row r="1211" spans="1:8">
      <c r="A1211" s="5">
        <v>2022</v>
      </c>
      <c r="B1211" s="6">
        <v>44621</v>
      </c>
      <c r="C1211" s="5" t="s">
        <v>28</v>
      </c>
      <c r="D1211" s="3" t="str" cm="1">
        <f t="array" ref="D1211">_xlfn.IFS(
 ISNUMBER(SEARCH("WHISK",C1211)),"Whiskey",
 ISNUMBER(SEARCH("BOURBON",C1211)),"Whiskey",
 ISNUMBER(SEARCH("SCOTCH",C1211)),"Whiskey",
 ISNUMBER(SEARCH("RYE",C1211)),"Whiskey",
 ISNUMBER(SEARCH("VODKA",C1211)),"Vodka",
 ISNUMBER(SEARCH("TEQUILA",C1211)),"Tequila/Mezcal",
 ISNUMBER(SEARCH("MEZCAL",C1211)),"Tequila/Mezcal",
 ISNUMBER(SEARCH("RUM",C1211)),"Rum",
 ISNUMBER(SEARCH("BRAND",C1211)),"Brandy",
 ISNUMBER(SEARCH("COGNAC",C1211)),"Brandy",
 ISNUMBER(SEARCH("LIQUEUR",C1211)),"Liqueurs",
 ISNUMBER(SEARCH("CORDIAL",C1211)),"Liqueurs",
 ISNUMBER(SEARCH("SCHNAPP",C1211)),"Liqueurs",
 ISNUMBER(SEARCH("GIN",C1211)),"Gin",
 TRUE,"Other")</f>
        <v>Other</v>
      </c>
      <c r="E1211" s="5">
        <v>21309</v>
      </c>
      <c r="F1211" s="5">
        <v>171691.71</v>
      </c>
      <c r="G1211" s="5"/>
      <c r="H1211" s="5">
        <v>442</v>
      </c>
    </row>
    <row r="1212" spans="1:8">
      <c r="A1212" s="5">
        <v>2022</v>
      </c>
      <c r="B1212" s="6">
        <v>44621</v>
      </c>
      <c r="C1212" s="5" t="s">
        <v>39</v>
      </c>
      <c r="D1212" s="3" t="str" cm="1">
        <f t="array" ref="D1212">_xlfn.IFS(
 ISNUMBER(SEARCH("WHISK",C1212)),"Whiskey",
 ISNUMBER(SEARCH("BOURBON",C1212)),"Whiskey",
 ISNUMBER(SEARCH("SCOTCH",C1212)),"Whiskey",
 ISNUMBER(SEARCH("RYE",C1212)),"Whiskey",
 ISNUMBER(SEARCH("VODKA",C1212)),"Vodka",
 ISNUMBER(SEARCH("TEQUILA",C1212)),"Tequila/Mezcal",
 ISNUMBER(SEARCH("MEZCAL",C1212)),"Tequila/Mezcal",
 ISNUMBER(SEARCH("RUM",C1212)),"Rum",
 ISNUMBER(SEARCH("BRAND",C1212)),"Brandy",
 ISNUMBER(SEARCH("COGNAC",C1212)),"Brandy",
 ISNUMBER(SEARCH("LIQUEUR",C1212)),"Liqueurs",
 ISNUMBER(SEARCH("CORDIAL",C1212)),"Liqueurs",
 ISNUMBER(SEARCH("SCHNAPP",C1212)),"Liqueurs",
 ISNUMBER(SEARCH("GIN",C1212)),"Gin",
 TRUE,"Other")</f>
        <v>Whiskey</v>
      </c>
      <c r="E1212" s="5">
        <v>2165</v>
      </c>
      <c r="F1212" s="5">
        <v>67390.809999999969</v>
      </c>
      <c r="G1212" s="5"/>
      <c r="H1212" s="5">
        <v>294</v>
      </c>
    </row>
    <row r="1213" spans="1:8">
      <c r="A1213" s="5">
        <v>2022</v>
      </c>
      <c r="B1213" s="6">
        <v>44621</v>
      </c>
      <c r="C1213" s="5" t="s">
        <v>41</v>
      </c>
      <c r="D1213" s="3" t="str" cm="1">
        <f t="array" ref="D1213">_xlfn.IFS(
 ISNUMBER(SEARCH("WHISK",C1213)),"Whiskey",
 ISNUMBER(SEARCH("BOURBON",C1213)),"Whiskey",
 ISNUMBER(SEARCH("SCOTCH",C1213)),"Whiskey",
 ISNUMBER(SEARCH("RYE",C1213)),"Whiskey",
 ISNUMBER(SEARCH("VODKA",C1213)),"Vodka",
 ISNUMBER(SEARCH("TEQUILA",C1213)),"Tequila/Mezcal",
 ISNUMBER(SEARCH("MEZCAL",C1213)),"Tequila/Mezcal",
 ISNUMBER(SEARCH("RUM",C1213)),"Rum",
 ISNUMBER(SEARCH("BRAND",C1213)),"Brandy",
 ISNUMBER(SEARCH("COGNAC",C1213)),"Brandy",
 ISNUMBER(SEARCH("LIQUEUR",C1213)),"Liqueurs",
 ISNUMBER(SEARCH("CORDIAL",C1213)),"Liqueurs",
 ISNUMBER(SEARCH("SCHNAPP",C1213)),"Liqueurs",
 ISNUMBER(SEARCH("GIN",C1213)),"Gin",
 TRUE,"Other")</f>
        <v>Other</v>
      </c>
      <c r="E1213" s="5">
        <v>10011</v>
      </c>
      <c r="F1213" s="5">
        <v>123201.39999999997</v>
      </c>
      <c r="G1213" s="5"/>
      <c r="H1213" s="5">
        <v>130</v>
      </c>
    </row>
    <row r="1214" spans="1:8">
      <c r="A1214" s="5">
        <v>2022</v>
      </c>
      <c r="B1214" s="6">
        <v>44621</v>
      </c>
      <c r="C1214" s="5" t="s">
        <v>34</v>
      </c>
      <c r="D1214" s="3" t="str" cm="1">
        <f t="array" ref="D1214">_xlfn.IFS(
 ISNUMBER(SEARCH("WHISK",C1214)),"Whiskey",
 ISNUMBER(SEARCH("BOURBON",C1214)),"Whiskey",
 ISNUMBER(SEARCH("SCOTCH",C1214)),"Whiskey",
 ISNUMBER(SEARCH("RYE",C1214)),"Whiskey",
 ISNUMBER(SEARCH("VODKA",C1214)),"Vodka",
 ISNUMBER(SEARCH("TEQUILA",C1214)),"Tequila/Mezcal",
 ISNUMBER(SEARCH("MEZCAL",C1214)),"Tequila/Mezcal",
 ISNUMBER(SEARCH("RUM",C1214)),"Rum",
 ISNUMBER(SEARCH("BRAND",C1214)),"Brandy",
 ISNUMBER(SEARCH("COGNAC",C1214)),"Brandy",
 ISNUMBER(SEARCH("LIQUEUR",C1214)),"Liqueurs",
 ISNUMBER(SEARCH("CORDIAL",C1214)),"Liqueurs",
 ISNUMBER(SEARCH("SCHNAPP",C1214)),"Liqueurs",
 ISNUMBER(SEARCH("GIN",C1214)),"Gin",
 TRUE,"Other")</f>
        <v>Tequila/Mezcal</v>
      </c>
      <c r="E1214" s="5">
        <v>1071</v>
      </c>
      <c r="F1214" s="5">
        <v>35663.61</v>
      </c>
      <c r="G1214" s="5"/>
      <c r="H1214" s="5">
        <v>195</v>
      </c>
    </row>
    <row r="1215" spans="1:8">
      <c r="A1215" s="5">
        <v>2022</v>
      </c>
      <c r="B1215" s="6">
        <v>44621</v>
      </c>
      <c r="C1215" s="5" t="s">
        <v>23</v>
      </c>
      <c r="D1215" s="3" t="str" cm="1">
        <f t="array" ref="D1215">_xlfn.IFS(
 ISNUMBER(SEARCH("WHISK",C1215)),"Whiskey",
 ISNUMBER(SEARCH("BOURBON",C1215)),"Whiskey",
 ISNUMBER(SEARCH("SCOTCH",C1215)),"Whiskey",
 ISNUMBER(SEARCH("RYE",C1215)),"Whiskey",
 ISNUMBER(SEARCH("VODKA",C1215)),"Vodka",
 ISNUMBER(SEARCH("TEQUILA",C1215)),"Tequila/Mezcal",
 ISNUMBER(SEARCH("MEZCAL",C1215)),"Tequila/Mezcal",
 ISNUMBER(SEARCH("RUM",C1215)),"Rum",
 ISNUMBER(SEARCH("BRAND",C1215)),"Brandy",
 ISNUMBER(SEARCH("COGNAC",C1215)),"Brandy",
 ISNUMBER(SEARCH("LIQUEUR",C1215)),"Liqueurs",
 ISNUMBER(SEARCH("CORDIAL",C1215)),"Liqueurs",
 ISNUMBER(SEARCH("SCHNAPP",C1215)),"Liqueurs",
 ISNUMBER(SEARCH("GIN",C1215)),"Gin",
 TRUE,"Other")</f>
        <v>Gin</v>
      </c>
      <c r="E1215" s="5">
        <v>1718</v>
      </c>
      <c r="F1215" s="5">
        <v>42643.840000000004</v>
      </c>
      <c r="G1215" s="5"/>
      <c r="H1215" s="5">
        <v>208</v>
      </c>
    </row>
    <row r="1216" spans="1:8">
      <c r="A1216" s="5">
        <v>2022</v>
      </c>
      <c r="B1216" s="6">
        <v>44621</v>
      </c>
      <c r="C1216" s="5" t="s">
        <v>14</v>
      </c>
      <c r="D1216" s="3" t="str" cm="1">
        <f t="array" ref="D1216">_xlfn.IFS(
 ISNUMBER(SEARCH("WHISK",C1216)),"Whiskey",
 ISNUMBER(SEARCH("BOURBON",C1216)),"Whiskey",
 ISNUMBER(SEARCH("SCOTCH",C1216)),"Whiskey",
 ISNUMBER(SEARCH("RYE",C1216)),"Whiskey",
 ISNUMBER(SEARCH("VODKA",C1216)),"Vodka",
 ISNUMBER(SEARCH("TEQUILA",C1216)),"Tequila/Mezcal",
 ISNUMBER(SEARCH("MEZCAL",C1216)),"Tequila/Mezcal",
 ISNUMBER(SEARCH("RUM",C1216)),"Rum",
 ISNUMBER(SEARCH("BRAND",C1216)),"Brandy",
 ISNUMBER(SEARCH("COGNAC",C1216)),"Brandy",
 ISNUMBER(SEARCH("LIQUEUR",C1216)),"Liqueurs",
 ISNUMBER(SEARCH("CORDIAL",C1216)),"Liqueurs",
 ISNUMBER(SEARCH("SCHNAPP",C1216)),"Liqueurs",
 ISNUMBER(SEARCH("GIN",C1216)),"Gin",
 TRUE,"Other")</f>
        <v>Gin</v>
      </c>
      <c r="E1216" s="5">
        <v>268</v>
      </c>
      <c r="F1216" s="5">
        <v>2178.8400000000011</v>
      </c>
      <c r="G1216" s="5"/>
      <c r="H1216" s="5">
        <v>51</v>
      </c>
    </row>
    <row r="1217" spans="1:8">
      <c r="A1217" s="5">
        <v>2022</v>
      </c>
      <c r="B1217" s="6">
        <v>44743</v>
      </c>
      <c r="C1217" s="5" t="s">
        <v>59</v>
      </c>
      <c r="D1217" s="3" t="str" cm="1">
        <f t="array" ref="D1217">_xlfn.IFS(
 ISNUMBER(SEARCH("WHISK",C1217)),"Whiskey",
 ISNUMBER(SEARCH("BOURBON",C1217)),"Whiskey",
 ISNUMBER(SEARCH("SCOTCH",C1217)),"Whiskey",
 ISNUMBER(SEARCH("RYE",C1217)),"Whiskey",
 ISNUMBER(SEARCH("VODKA",C1217)),"Vodka",
 ISNUMBER(SEARCH("TEQUILA",C1217)),"Tequila/Mezcal",
 ISNUMBER(SEARCH("MEZCAL",C1217)),"Tequila/Mezcal",
 ISNUMBER(SEARCH("RUM",C1217)),"Rum",
 ISNUMBER(SEARCH("BRAND",C1217)),"Brandy",
 ISNUMBER(SEARCH("COGNAC",C1217)),"Brandy",
 ISNUMBER(SEARCH("LIQUEUR",C1217)),"Liqueurs",
 ISNUMBER(SEARCH("CORDIAL",C1217)),"Liqueurs",
 ISNUMBER(SEARCH("SCHNAPP",C1217)),"Liqueurs",
 ISNUMBER(SEARCH("GIN",C1217)),"Gin",
 TRUE,"Other")</f>
        <v>Liqueurs</v>
      </c>
      <c r="E1217" s="5">
        <v>38287</v>
      </c>
      <c r="F1217" s="5">
        <v>349467.17000000522</v>
      </c>
      <c r="G1217" s="5"/>
      <c r="H1217" s="5">
        <v>5268</v>
      </c>
    </row>
    <row r="1218" spans="1:8">
      <c r="A1218" s="5">
        <v>2022</v>
      </c>
      <c r="B1218" s="6">
        <v>44743</v>
      </c>
      <c r="C1218" s="5" t="s">
        <v>10</v>
      </c>
      <c r="D1218" s="3" t="str" cm="1">
        <f t="array" ref="D1218">_xlfn.IFS(
 ISNUMBER(SEARCH("WHISK",C1218)),"Whiskey",
 ISNUMBER(SEARCH("BOURBON",C1218)),"Whiskey",
 ISNUMBER(SEARCH("SCOTCH",C1218)),"Whiskey",
 ISNUMBER(SEARCH("RYE",C1218)),"Whiskey",
 ISNUMBER(SEARCH("VODKA",C1218)),"Vodka",
 ISNUMBER(SEARCH("TEQUILA",C1218)),"Tequila/Mezcal",
 ISNUMBER(SEARCH("MEZCAL",C1218)),"Tequila/Mezcal",
 ISNUMBER(SEARCH("RUM",C1218)),"Rum",
 ISNUMBER(SEARCH("BRAND",C1218)),"Brandy",
 ISNUMBER(SEARCH("COGNAC",C1218)),"Brandy",
 ISNUMBER(SEARCH("LIQUEUR",C1218)),"Liqueurs",
 ISNUMBER(SEARCH("CORDIAL",C1218)),"Liqueurs",
 ISNUMBER(SEARCH("SCHNAPP",C1218)),"Liqueurs",
 ISNUMBER(SEARCH("GIN",C1218)),"Gin",
 TRUE,"Other")</f>
        <v>Other</v>
      </c>
      <c r="E1218" s="5">
        <v>5482</v>
      </c>
      <c r="F1218" s="5">
        <v>101147.63999999968</v>
      </c>
      <c r="G1218" s="5"/>
      <c r="H1218" s="5">
        <v>797</v>
      </c>
    </row>
    <row r="1219" spans="1:8">
      <c r="A1219" s="5">
        <v>2022</v>
      </c>
      <c r="B1219" s="6">
        <v>44743</v>
      </c>
      <c r="C1219" s="5" t="s">
        <v>11</v>
      </c>
      <c r="D1219" s="3" t="str" cm="1">
        <f t="array" ref="D1219">_xlfn.IFS(
 ISNUMBER(SEARCH("WHISK",C1219)),"Whiskey",
 ISNUMBER(SEARCH("BOURBON",C1219)),"Whiskey",
 ISNUMBER(SEARCH("SCOTCH",C1219)),"Whiskey",
 ISNUMBER(SEARCH("RYE",C1219)),"Whiskey",
 ISNUMBER(SEARCH("VODKA",C1219)),"Vodka",
 ISNUMBER(SEARCH("TEQUILA",C1219)),"Tequila/Mezcal",
 ISNUMBER(SEARCH("MEZCAL",C1219)),"Tequila/Mezcal",
 ISNUMBER(SEARCH("RUM",C1219)),"Rum",
 ISNUMBER(SEARCH("BRAND",C1219)),"Brandy",
 ISNUMBER(SEARCH("COGNAC",C1219)),"Brandy",
 ISNUMBER(SEARCH("LIQUEUR",C1219)),"Liqueurs",
 ISNUMBER(SEARCH("CORDIAL",C1219)),"Liqueurs",
 ISNUMBER(SEARCH("SCHNAPP",C1219)),"Liqueurs",
 ISNUMBER(SEARCH("GIN",C1219)),"Gin",
 TRUE,"Other")</f>
        <v>Gin</v>
      </c>
      <c r="E1219" s="5">
        <v>31003</v>
      </c>
      <c r="F1219" s="5">
        <v>278041.24000000209</v>
      </c>
      <c r="G1219" s="5"/>
      <c r="H1219" s="5">
        <v>2940</v>
      </c>
    </row>
    <row r="1220" spans="1:8">
      <c r="A1220" s="5">
        <v>2022</v>
      </c>
      <c r="B1220" s="6">
        <v>44743</v>
      </c>
      <c r="C1220" s="5" t="s">
        <v>12</v>
      </c>
      <c r="D1220" s="3" t="str" cm="1">
        <f t="array" ref="D1220">_xlfn.IFS(
 ISNUMBER(SEARCH("WHISK",C1220)),"Whiskey",
 ISNUMBER(SEARCH("BOURBON",C1220)),"Whiskey",
 ISNUMBER(SEARCH("SCOTCH",C1220)),"Whiskey",
 ISNUMBER(SEARCH("RYE",C1220)),"Whiskey",
 ISNUMBER(SEARCH("VODKA",C1220)),"Vodka",
 ISNUMBER(SEARCH("TEQUILA",C1220)),"Tequila/Mezcal",
 ISNUMBER(SEARCH("MEZCAL",C1220)),"Tequila/Mezcal",
 ISNUMBER(SEARCH("RUM",C1220)),"Rum",
 ISNUMBER(SEARCH("BRAND",C1220)),"Brandy",
 ISNUMBER(SEARCH("COGNAC",C1220)),"Brandy",
 ISNUMBER(SEARCH("LIQUEUR",C1220)),"Liqueurs",
 ISNUMBER(SEARCH("CORDIAL",C1220)),"Liqueurs",
 ISNUMBER(SEARCH("SCHNAPP",C1220)),"Liqueurs",
 ISNUMBER(SEARCH("GIN",C1220)),"Gin",
 TRUE,"Other")</f>
        <v>Vodka</v>
      </c>
      <c r="E1220" s="5">
        <v>89306</v>
      </c>
      <c r="F1220" s="5">
        <v>975073.70000004279</v>
      </c>
      <c r="G1220" s="5"/>
      <c r="H1220" s="5">
        <v>11215</v>
      </c>
    </row>
    <row r="1221" spans="1:8">
      <c r="A1221" s="5">
        <v>2022</v>
      </c>
      <c r="B1221" s="6">
        <v>44743</v>
      </c>
      <c r="C1221" s="5" t="s">
        <v>13</v>
      </c>
      <c r="D1221" s="3" t="str" cm="1">
        <f t="array" ref="D1221">_xlfn.IFS(
 ISNUMBER(SEARCH("WHISK",C1221)),"Whiskey",
 ISNUMBER(SEARCH("BOURBON",C1221)),"Whiskey",
 ISNUMBER(SEARCH("SCOTCH",C1221)),"Whiskey",
 ISNUMBER(SEARCH("RYE",C1221)),"Whiskey",
 ISNUMBER(SEARCH("VODKA",C1221)),"Vodka",
 ISNUMBER(SEARCH("TEQUILA",C1221)),"Tequila/Mezcal",
 ISNUMBER(SEARCH("MEZCAL",C1221)),"Tequila/Mezcal",
 ISNUMBER(SEARCH("RUM",C1221)),"Rum",
 ISNUMBER(SEARCH("BRAND",C1221)),"Brandy",
 ISNUMBER(SEARCH("COGNAC",C1221)),"Brandy",
 ISNUMBER(SEARCH("LIQUEUR",C1221)),"Liqueurs",
 ISNUMBER(SEARCH("CORDIAL",C1221)),"Liqueurs",
 ISNUMBER(SEARCH("SCHNAPP",C1221)),"Liqueurs",
 ISNUMBER(SEARCH("GIN",C1221)),"Gin",
 TRUE,"Other")</f>
        <v>Liqueurs</v>
      </c>
      <c r="E1221" s="5">
        <v>62091</v>
      </c>
      <c r="F1221" s="5">
        <v>512917.55999999895</v>
      </c>
      <c r="G1221" s="5"/>
      <c r="H1221" s="5">
        <v>6586</v>
      </c>
    </row>
    <row r="1222" spans="1:8">
      <c r="A1222" s="5">
        <v>2022</v>
      </c>
      <c r="B1222" s="6">
        <v>44743</v>
      </c>
      <c r="C1222" s="5" t="s">
        <v>15</v>
      </c>
      <c r="D1222" s="3" t="str" cm="1">
        <f t="array" ref="D1222">_xlfn.IFS(
 ISNUMBER(SEARCH("WHISK",C1222)),"Whiskey",
 ISNUMBER(SEARCH("BOURBON",C1222)),"Whiskey",
 ISNUMBER(SEARCH("SCOTCH",C1222)),"Whiskey",
 ISNUMBER(SEARCH("RYE",C1222)),"Whiskey",
 ISNUMBER(SEARCH("VODKA",C1222)),"Vodka",
 ISNUMBER(SEARCH("TEQUILA",C1222)),"Tequila/Mezcal",
 ISNUMBER(SEARCH("MEZCAL",C1222)),"Tequila/Mezcal",
 ISNUMBER(SEARCH("RUM",C1222)),"Rum",
 ISNUMBER(SEARCH("BRAND",C1222)),"Brandy",
 ISNUMBER(SEARCH("COGNAC",C1222)),"Brandy",
 ISNUMBER(SEARCH("LIQUEUR",C1222)),"Liqueurs",
 ISNUMBER(SEARCH("CORDIAL",C1222)),"Liqueurs",
 ISNUMBER(SEARCH("SCHNAPP",C1222)),"Liqueurs",
 ISNUMBER(SEARCH("GIN",C1222)),"Gin",
 TRUE,"Other")</f>
        <v>Vodka</v>
      </c>
      <c r="E1222" s="5">
        <v>498329</v>
      </c>
      <c r="F1222" s="5">
        <v>4920390.9299995378</v>
      </c>
      <c r="G1222" s="5"/>
      <c r="H1222" s="5">
        <v>33041</v>
      </c>
    </row>
    <row r="1223" spans="1:8">
      <c r="A1223" s="5">
        <v>2022</v>
      </c>
      <c r="B1223" s="6">
        <v>44743</v>
      </c>
      <c r="C1223" s="5" t="s">
        <v>16</v>
      </c>
      <c r="D1223" s="3" t="str" cm="1">
        <f t="array" ref="D1223">_xlfn.IFS(
 ISNUMBER(SEARCH("WHISK",C1223)),"Whiskey",
 ISNUMBER(SEARCH("BOURBON",C1223)),"Whiskey",
 ISNUMBER(SEARCH("SCOTCH",C1223)),"Whiskey",
 ISNUMBER(SEARCH("RYE",C1223)),"Whiskey",
 ISNUMBER(SEARCH("VODKA",C1223)),"Vodka",
 ISNUMBER(SEARCH("TEQUILA",C1223)),"Tequila/Mezcal",
 ISNUMBER(SEARCH("MEZCAL",C1223)),"Tequila/Mezcal",
 ISNUMBER(SEARCH("RUM",C1223)),"Rum",
 ISNUMBER(SEARCH("BRAND",C1223)),"Brandy",
 ISNUMBER(SEARCH("COGNAC",C1223)),"Brandy",
 ISNUMBER(SEARCH("LIQUEUR",C1223)),"Liqueurs",
 ISNUMBER(SEARCH("CORDIAL",C1223)),"Liqueurs",
 ISNUMBER(SEARCH("SCHNAPP",C1223)),"Liqueurs",
 ISNUMBER(SEARCH("GIN",C1223)),"Gin",
 TRUE,"Other")</f>
        <v>Whiskey</v>
      </c>
      <c r="E1223" s="5">
        <v>65598</v>
      </c>
      <c r="F1223" s="5">
        <v>829853.86999998603</v>
      </c>
      <c r="G1223" s="5"/>
      <c r="H1223" s="5">
        <v>7776</v>
      </c>
    </row>
    <row r="1224" spans="1:8">
      <c r="A1224" s="5">
        <v>2022</v>
      </c>
      <c r="B1224" s="6">
        <v>44743</v>
      </c>
      <c r="C1224" s="5" t="s">
        <v>17</v>
      </c>
      <c r="D1224" s="3" t="str" cm="1">
        <f t="array" ref="D1224">_xlfn.IFS(
 ISNUMBER(SEARCH("WHISK",C1224)),"Whiskey",
 ISNUMBER(SEARCH("BOURBON",C1224)),"Whiskey",
 ISNUMBER(SEARCH("SCOTCH",C1224)),"Whiskey",
 ISNUMBER(SEARCH("RYE",C1224)),"Whiskey",
 ISNUMBER(SEARCH("VODKA",C1224)),"Vodka",
 ISNUMBER(SEARCH("TEQUILA",C1224)),"Tequila/Mezcal",
 ISNUMBER(SEARCH("MEZCAL",C1224)),"Tequila/Mezcal",
 ISNUMBER(SEARCH("RUM",C1224)),"Rum",
 ISNUMBER(SEARCH("BRAND",C1224)),"Brandy",
 ISNUMBER(SEARCH("COGNAC",C1224)),"Brandy",
 ISNUMBER(SEARCH("LIQUEUR",C1224)),"Liqueurs",
 ISNUMBER(SEARCH("CORDIAL",C1224)),"Liqueurs",
 ISNUMBER(SEARCH("SCHNAPP",C1224)),"Liqueurs",
 ISNUMBER(SEARCH("GIN",C1224)),"Gin",
 TRUE,"Other")</f>
        <v>Whiskey</v>
      </c>
      <c r="E1224" s="5">
        <v>2204</v>
      </c>
      <c r="F1224" s="5">
        <v>59615.21</v>
      </c>
      <c r="G1224" s="5"/>
      <c r="H1224" s="5">
        <v>667</v>
      </c>
    </row>
    <row r="1225" spans="1:8">
      <c r="A1225" s="5">
        <v>2022</v>
      </c>
      <c r="B1225" s="6">
        <v>44743</v>
      </c>
      <c r="C1225" s="5" t="s">
        <v>18</v>
      </c>
      <c r="D1225" s="3" t="str" cm="1">
        <f t="array" ref="D1225">_xlfn.IFS(
 ISNUMBER(SEARCH("WHISK",C1225)),"Whiskey",
 ISNUMBER(SEARCH("BOURBON",C1225)),"Whiskey",
 ISNUMBER(SEARCH("SCOTCH",C1225)),"Whiskey",
 ISNUMBER(SEARCH("RYE",C1225)),"Whiskey",
 ISNUMBER(SEARCH("VODKA",C1225)),"Vodka",
 ISNUMBER(SEARCH("TEQUILA",C1225)),"Tequila/Mezcal",
 ISNUMBER(SEARCH("MEZCAL",C1225)),"Tequila/Mezcal",
 ISNUMBER(SEARCH("RUM",C1225)),"Rum",
 ISNUMBER(SEARCH("BRAND",C1225)),"Brandy",
 ISNUMBER(SEARCH("COGNAC",C1225)),"Brandy",
 ISNUMBER(SEARCH("LIQUEUR",C1225)),"Liqueurs",
 ISNUMBER(SEARCH("CORDIAL",C1225)),"Liqueurs",
 ISNUMBER(SEARCH("SCHNAPP",C1225)),"Liqueurs",
 ISNUMBER(SEARCH("GIN",C1225)),"Gin",
 TRUE,"Other")</f>
        <v>Whiskey</v>
      </c>
      <c r="E1225" s="5">
        <v>239524</v>
      </c>
      <c r="F1225" s="5">
        <v>3677821.9999999022</v>
      </c>
      <c r="G1225" s="5"/>
      <c r="H1225" s="5">
        <v>18463</v>
      </c>
    </row>
    <row r="1226" spans="1:8">
      <c r="A1226" s="5">
        <v>2022</v>
      </c>
      <c r="B1226" s="6">
        <v>44743</v>
      </c>
      <c r="C1226" s="5" t="s">
        <v>19</v>
      </c>
      <c r="D1226" s="3" t="str" cm="1">
        <f t="array" ref="D1226">_xlfn.IFS(
 ISNUMBER(SEARCH("WHISK",C1226)),"Whiskey",
 ISNUMBER(SEARCH("BOURBON",C1226)),"Whiskey",
 ISNUMBER(SEARCH("SCOTCH",C1226)),"Whiskey",
 ISNUMBER(SEARCH("RYE",C1226)),"Whiskey",
 ISNUMBER(SEARCH("VODKA",C1226)),"Vodka",
 ISNUMBER(SEARCH("TEQUILA",C1226)),"Tequila/Mezcal",
 ISNUMBER(SEARCH("MEZCAL",C1226)),"Tequila/Mezcal",
 ISNUMBER(SEARCH("RUM",C1226)),"Rum",
 ISNUMBER(SEARCH("BRAND",C1226)),"Brandy",
 ISNUMBER(SEARCH("COGNAC",C1226)),"Brandy",
 ISNUMBER(SEARCH("LIQUEUR",C1226)),"Liqueurs",
 ISNUMBER(SEARCH("CORDIAL",C1226)),"Liqueurs",
 ISNUMBER(SEARCH("SCHNAPP",C1226)),"Liqueurs",
 ISNUMBER(SEARCH("GIN",C1226)),"Gin",
 TRUE,"Other")</f>
        <v>Other</v>
      </c>
      <c r="E1226" s="5">
        <v>47562</v>
      </c>
      <c r="F1226" s="5">
        <v>581406.44999998051</v>
      </c>
      <c r="G1226" s="5"/>
      <c r="H1226" s="5">
        <v>6605</v>
      </c>
    </row>
    <row r="1227" spans="1:8">
      <c r="A1227" s="5">
        <v>2022</v>
      </c>
      <c r="B1227" s="6">
        <v>44743</v>
      </c>
      <c r="C1227" s="5" t="s">
        <v>20</v>
      </c>
      <c r="D1227" s="3" t="str" cm="1">
        <f t="array" ref="D1227">_xlfn.IFS(
 ISNUMBER(SEARCH("WHISK",C1227)),"Whiskey",
 ISNUMBER(SEARCH("BOURBON",C1227)),"Whiskey",
 ISNUMBER(SEARCH("SCOTCH",C1227)),"Whiskey",
 ISNUMBER(SEARCH("RYE",C1227)),"Whiskey",
 ISNUMBER(SEARCH("VODKA",C1227)),"Vodka",
 ISNUMBER(SEARCH("TEQUILA",C1227)),"Tequila/Mezcal",
 ISNUMBER(SEARCH("MEZCAL",C1227)),"Tequila/Mezcal",
 ISNUMBER(SEARCH("RUM",C1227)),"Rum",
 ISNUMBER(SEARCH("BRAND",C1227)),"Brandy",
 ISNUMBER(SEARCH("COGNAC",C1227)),"Brandy",
 ISNUMBER(SEARCH("LIQUEUR",C1227)),"Liqueurs",
 ISNUMBER(SEARCH("CORDIAL",C1227)),"Liqueurs",
 ISNUMBER(SEARCH("SCHNAPP",C1227)),"Liqueurs",
 ISNUMBER(SEARCH("GIN",C1227)),"Gin",
 TRUE,"Other")</f>
        <v>Liqueurs</v>
      </c>
      <c r="E1227" s="5">
        <v>6279</v>
      </c>
      <c r="F1227" s="5">
        <v>117570.83000000085</v>
      </c>
      <c r="G1227" s="5"/>
      <c r="H1227" s="5">
        <v>807</v>
      </c>
    </row>
    <row r="1228" spans="1:8">
      <c r="A1228" s="5">
        <v>2022</v>
      </c>
      <c r="B1228" s="6">
        <v>44743</v>
      </c>
      <c r="C1228" s="5" t="s">
        <v>21</v>
      </c>
      <c r="D1228" s="3" t="str" cm="1">
        <f t="array" ref="D1228">_xlfn.IFS(
 ISNUMBER(SEARCH("WHISK",C1228)),"Whiskey",
 ISNUMBER(SEARCH("BOURBON",C1228)),"Whiskey",
 ISNUMBER(SEARCH("SCOTCH",C1228)),"Whiskey",
 ISNUMBER(SEARCH("RYE",C1228)),"Whiskey",
 ISNUMBER(SEARCH("VODKA",C1228)),"Vodka",
 ISNUMBER(SEARCH("TEQUILA",C1228)),"Tequila/Mezcal",
 ISNUMBER(SEARCH("MEZCAL",C1228)),"Tequila/Mezcal",
 ISNUMBER(SEARCH("RUM",C1228)),"Rum",
 ISNUMBER(SEARCH("BRAND",C1228)),"Brandy",
 ISNUMBER(SEARCH("COGNAC",C1228)),"Brandy",
 ISNUMBER(SEARCH("LIQUEUR",C1228)),"Liqueurs",
 ISNUMBER(SEARCH("CORDIAL",C1228)),"Liqueurs",
 ISNUMBER(SEARCH("SCHNAPP",C1228)),"Liqueurs",
 ISNUMBER(SEARCH("GIN",C1228)),"Gin",
 TRUE,"Other")</f>
        <v>Whiskey</v>
      </c>
      <c r="E1228" s="5">
        <v>898</v>
      </c>
      <c r="F1228" s="5">
        <v>22556.569999999992</v>
      </c>
      <c r="G1228" s="5"/>
      <c r="H1228" s="5">
        <v>117</v>
      </c>
    </row>
    <row r="1229" spans="1:8">
      <c r="A1229" s="5">
        <v>2022</v>
      </c>
      <c r="B1229" s="6">
        <v>44743</v>
      </c>
      <c r="C1229" s="5" t="s">
        <v>22</v>
      </c>
      <c r="D1229" s="3" t="str" cm="1">
        <f t="array" ref="D1229">_xlfn.IFS(
 ISNUMBER(SEARCH("WHISK",C1229)),"Whiskey",
 ISNUMBER(SEARCH("BOURBON",C1229)),"Whiskey",
 ISNUMBER(SEARCH("SCOTCH",C1229)),"Whiskey",
 ISNUMBER(SEARCH("RYE",C1229)),"Whiskey",
 ISNUMBER(SEARCH("VODKA",C1229)),"Vodka",
 ISNUMBER(SEARCH("TEQUILA",C1229)),"Tequila/Mezcal",
 ISNUMBER(SEARCH("MEZCAL",C1229)),"Tequila/Mezcal",
 ISNUMBER(SEARCH("RUM",C1229)),"Rum",
 ISNUMBER(SEARCH("BRAND",C1229)),"Brandy",
 ISNUMBER(SEARCH("COGNAC",C1229)),"Brandy",
 ISNUMBER(SEARCH("LIQUEUR",C1229)),"Liqueurs",
 ISNUMBER(SEARCH("CORDIAL",C1229)),"Liqueurs",
 ISNUMBER(SEARCH("SCHNAPP",C1229)),"Liqueurs",
 ISNUMBER(SEARCH("GIN",C1229)),"Gin",
 TRUE,"Other")</f>
        <v>Liqueurs</v>
      </c>
      <c r="E1229" s="5">
        <v>19828</v>
      </c>
      <c r="F1229" s="5">
        <v>397991.97999999498</v>
      </c>
      <c r="G1229" s="5"/>
      <c r="H1229" s="5">
        <v>3404</v>
      </c>
    </row>
    <row r="1230" spans="1:8">
      <c r="A1230" s="5">
        <v>2022</v>
      </c>
      <c r="B1230" s="6">
        <v>44743</v>
      </c>
      <c r="C1230" s="5" t="s">
        <v>24</v>
      </c>
      <c r="D1230" s="3" t="str" cm="1">
        <f t="array" ref="D1230">_xlfn.IFS(
 ISNUMBER(SEARCH("WHISK",C1230)),"Whiskey",
 ISNUMBER(SEARCH("BOURBON",C1230)),"Whiskey",
 ISNUMBER(SEARCH("SCOTCH",C1230)),"Whiskey",
 ISNUMBER(SEARCH("RYE",C1230)),"Whiskey",
 ISNUMBER(SEARCH("VODKA",C1230)),"Vodka",
 ISNUMBER(SEARCH("TEQUILA",C1230)),"Tequila/Mezcal",
 ISNUMBER(SEARCH("MEZCAL",C1230)),"Tequila/Mezcal",
 ISNUMBER(SEARCH("RUM",C1230)),"Rum",
 ISNUMBER(SEARCH("BRAND",C1230)),"Brandy",
 ISNUMBER(SEARCH("COGNAC",C1230)),"Brandy",
 ISNUMBER(SEARCH("LIQUEUR",C1230)),"Liqueurs",
 ISNUMBER(SEARCH("CORDIAL",C1230)),"Liqueurs",
 ISNUMBER(SEARCH("SCHNAPP",C1230)),"Liqueurs",
 ISNUMBER(SEARCH("GIN",C1230)),"Gin",
 TRUE,"Other")</f>
        <v>Rum</v>
      </c>
      <c r="E1230" s="5">
        <v>56428</v>
      </c>
      <c r="F1230" s="5">
        <v>821428.41999998945</v>
      </c>
      <c r="G1230" s="5"/>
      <c r="H1230" s="5">
        <v>5222</v>
      </c>
    </row>
    <row r="1231" spans="1:8">
      <c r="A1231" s="5">
        <v>2022</v>
      </c>
      <c r="B1231" s="6">
        <v>44743</v>
      </c>
      <c r="C1231" s="5" t="s">
        <v>25</v>
      </c>
      <c r="D1231" s="3" t="str" cm="1">
        <f t="array" ref="D1231">_xlfn.IFS(
 ISNUMBER(SEARCH("WHISK",C1231)),"Whiskey",
 ISNUMBER(SEARCH("BOURBON",C1231)),"Whiskey",
 ISNUMBER(SEARCH("SCOTCH",C1231)),"Whiskey",
 ISNUMBER(SEARCH("RYE",C1231)),"Whiskey",
 ISNUMBER(SEARCH("VODKA",C1231)),"Vodka",
 ISNUMBER(SEARCH("TEQUILA",C1231)),"Tequila/Mezcal",
 ISNUMBER(SEARCH("MEZCAL",C1231)),"Tequila/Mezcal",
 ISNUMBER(SEARCH("RUM",C1231)),"Rum",
 ISNUMBER(SEARCH("BRAND",C1231)),"Brandy",
 ISNUMBER(SEARCH("COGNAC",C1231)),"Brandy",
 ISNUMBER(SEARCH("LIQUEUR",C1231)),"Liqueurs",
 ISNUMBER(SEARCH("CORDIAL",C1231)),"Liqueurs",
 ISNUMBER(SEARCH("SCHNAPP",C1231)),"Liqueurs",
 ISNUMBER(SEARCH("GIN",C1231)),"Gin",
 TRUE,"Other")</f>
        <v>Rum</v>
      </c>
      <c r="E1231" s="5">
        <v>5872</v>
      </c>
      <c r="F1231" s="5">
        <v>76788.08999999988</v>
      </c>
      <c r="G1231" s="5"/>
      <c r="H1231" s="5">
        <v>914</v>
      </c>
    </row>
    <row r="1232" spans="1:8">
      <c r="A1232" s="5">
        <v>2022</v>
      </c>
      <c r="B1232" s="6">
        <v>44743</v>
      </c>
      <c r="C1232" s="5" t="s">
        <v>26</v>
      </c>
      <c r="D1232" s="3" t="str" cm="1">
        <f t="array" ref="D1232">_xlfn.IFS(
 ISNUMBER(SEARCH("WHISK",C1232)),"Whiskey",
 ISNUMBER(SEARCH("BOURBON",C1232)),"Whiskey",
 ISNUMBER(SEARCH("SCOTCH",C1232)),"Whiskey",
 ISNUMBER(SEARCH("RYE",C1232)),"Whiskey",
 ISNUMBER(SEARCH("VODKA",C1232)),"Vodka",
 ISNUMBER(SEARCH("TEQUILA",C1232)),"Tequila/Mezcal",
 ISNUMBER(SEARCH("MEZCAL",C1232)),"Tequila/Mezcal",
 ISNUMBER(SEARCH("RUM",C1232)),"Rum",
 ISNUMBER(SEARCH("BRAND",C1232)),"Brandy",
 ISNUMBER(SEARCH("COGNAC",C1232)),"Brandy",
 ISNUMBER(SEARCH("LIQUEUR",C1232)),"Liqueurs",
 ISNUMBER(SEARCH("CORDIAL",C1232)),"Liqueurs",
 ISNUMBER(SEARCH("SCHNAPP",C1232)),"Liqueurs",
 ISNUMBER(SEARCH("GIN",C1232)),"Gin",
 TRUE,"Other")</f>
        <v>Brandy</v>
      </c>
      <c r="E1232" s="5">
        <v>60501</v>
      </c>
      <c r="F1232" s="5">
        <v>1397550.6399999696</v>
      </c>
      <c r="G1232" s="5"/>
      <c r="H1232" s="5">
        <v>4586</v>
      </c>
    </row>
    <row r="1233" spans="1:8">
      <c r="A1233" s="5">
        <v>2022</v>
      </c>
      <c r="B1233" s="6">
        <v>44743</v>
      </c>
      <c r="C1233" s="5" t="s">
        <v>60</v>
      </c>
      <c r="D1233" s="3" t="str" cm="1">
        <f t="array" ref="D1233">_xlfn.IFS(
 ISNUMBER(SEARCH("WHISK",C1233)),"Whiskey",
 ISNUMBER(SEARCH("BOURBON",C1233)),"Whiskey",
 ISNUMBER(SEARCH("SCOTCH",C1233)),"Whiskey",
 ISNUMBER(SEARCH("RYE",C1233)),"Whiskey",
 ISNUMBER(SEARCH("VODKA",C1233)),"Vodka",
 ISNUMBER(SEARCH("TEQUILA",C1233)),"Tequila/Mezcal",
 ISNUMBER(SEARCH("MEZCAL",C1233)),"Tequila/Mezcal",
 ISNUMBER(SEARCH("RUM",C1233)),"Rum",
 ISNUMBER(SEARCH("BRAND",C1233)),"Brandy",
 ISNUMBER(SEARCH("COGNAC",C1233)),"Brandy",
 ISNUMBER(SEARCH("LIQUEUR",C1233)),"Liqueurs",
 ISNUMBER(SEARCH("CORDIAL",C1233)),"Liqueurs",
 ISNUMBER(SEARCH("SCHNAPP",C1233)),"Liqueurs",
 ISNUMBER(SEARCH("GIN",C1233)),"Gin",
 TRUE,"Other")</f>
        <v>Liqueurs</v>
      </c>
      <c r="E1233" s="5">
        <v>45616</v>
      </c>
      <c r="F1233" s="5">
        <v>1079218.4000000071</v>
      </c>
      <c r="G1233" s="5"/>
      <c r="H1233" s="5">
        <v>4734</v>
      </c>
    </row>
    <row r="1234" spans="1:8">
      <c r="A1234" s="5">
        <v>2022</v>
      </c>
      <c r="B1234" s="6">
        <v>44743</v>
      </c>
      <c r="C1234" s="5" t="s">
        <v>29</v>
      </c>
      <c r="D1234" s="3" t="str" cm="1">
        <f t="array" ref="D1234">_xlfn.IFS(
 ISNUMBER(SEARCH("WHISK",C1234)),"Whiskey",
 ISNUMBER(SEARCH("BOURBON",C1234)),"Whiskey",
 ISNUMBER(SEARCH("SCOTCH",C1234)),"Whiskey",
 ISNUMBER(SEARCH("RYE",C1234)),"Whiskey",
 ISNUMBER(SEARCH("VODKA",C1234)),"Vodka",
 ISNUMBER(SEARCH("TEQUILA",C1234)),"Tequila/Mezcal",
 ISNUMBER(SEARCH("MEZCAL",C1234)),"Tequila/Mezcal",
 ISNUMBER(SEARCH("RUM",C1234)),"Rum",
 ISNUMBER(SEARCH("BRAND",C1234)),"Brandy",
 ISNUMBER(SEARCH("COGNAC",C1234)),"Brandy",
 ISNUMBER(SEARCH("LIQUEUR",C1234)),"Liqueurs",
 ISNUMBER(SEARCH("CORDIAL",C1234)),"Liqueurs",
 ISNUMBER(SEARCH("SCHNAPP",C1234)),"Liqueurs",
 ISNUMBER(SEARCH("GIN",C1234)),"Gin",
 TRUE,"Other")</f>
        <v>Gin</v>
      </c>
      <c r="E1234" s="5">
        <v>21847</v>
      </c>
      <c r="F1234" s="5">
        <v>537879.52999999886</v>
      </c>
      <c r="G1234" s="5"/>
      <c r="H1234" s="5">
        <v>2683</v>
      </c>
    </row>
    <row r="1235" spans="1:8">
      <c r="A1235" s="5">
        <v>2022</v>
      </c>
      <c r="B1235" s="6">
        <v>44743</v>
      </c>
      <c r="C1235" s="5" t="s">
        <v>30</v>
      </c>
      <c r="D1235" s="3" t="str" cm="1">
        <f t="array" ref="D1235">_xlfn.IFS(
 ISNUMBER(SEARCH("WHISK",C1235)),"Whiskey",
 ISNUMBER(SEARCH("BOURBON",C1235)),"Whiskey",
 ISNUMBER(SEARCH("SCOTCH",C1235)),"Whiskey",
 ISNUMBER(SEARCH("RYE",C1235)),"Whiskey",
 ISNUMBER(SEARCH("VODKA",C1235)),"Vodka",
 ISNUMBER(SEARCH("TEQUILA",C1235)),"Tequila/Mezcal",
 ISNUMBER(SEARCH("MEZCAL",C1235)),"Tequila/Mezcal",
 ISNUMBER(SEARCH("RUM",C1235)),"Rum",
 ISNUMBER(SEARCH("BRAND",C1235)),"Brandy",
 ISNUMBER(SEARCH("COGNAC",C1235)),"Brandy",
 ISNUMBER(SEARCH("LIQUEUR",C1235)),"Liqueurs",
 ISNUMBER(SEARCH("CORDIAL",C1235)),"Liqueurs",
 ISNUMBER(SEARCH("SCHNAPP",C1235)),"Liqueurs",
 ISNUMBER(SEARCH("GIN",C1235)),"Gin",
 TRUE,"Other")</f>
        <v>Vodka</v>
      </c>
      <c r="E1235" s="5">
        <v>29690</v>
      </c>
      <c r="F1235" s="5">
        <v>501471.63000000187</v>
      </c>
      <c r="G1235" s="5"/>
      <c r="H1235" s="5">
        <v>3580</v>
      </c>
    </row>
    <row r="1236" spans="1:8">
      <c r="A1236" s="5">
        <v>2022</v>
      </c>
      <c r="B1236" s="6">
        <v>44743</v>
      </c>
      <c r="C1236" s="5" t="s">
        <v>31</v>
      </c>
      <c r="D1236" s="3" t="str" cm="1">
        <f t="array" ref="D1236">_xlfn.IFS(
 ISNUMBER(SEARCH("WHISK",C1236)),"Whiskey",
 ISNUMBER(SEARCH("BOURBON",C1236)),"Whiskey",
 ISNUMBER(SEARCH("SCOTCH",C1236)),"Whiskey",
 ISNUMBER(SEARCH("RYE",C1236)),"Whiskey",
 ISNUMBER(SEARCH("VODKA",C1236)),"Vodka",
 ISNUMBER(SEARCH("TEQUILA",C1236)),"Tequila/Mezcal",
 ISNUMBER(SEARCH("MEZCAL",C1236)),"Tequila/Mezcal",
 ISNUMBER(SEARCH("RUM",C1236)),"Rum",
 ISNUMBER(SEARCH("BRAND",C1236)),"Brandy",
 ISNUMBER(SEARCH("COGNAC",C1236)),"Brandy",
 ISNUMBER(SEARCH("LIQUEUR",C1236)),"Liqueurs",
 ISNUMBER(SEARCH("CORDIAL",C1236)),"Liqueurs",
 ISNUMBER(SEARCH("SCHNAPP",C1236)),"Liqueurs",
 ISNUMBER(SEARCH("GIN",C1236)),"Gin",
 TRUE,"Other")</f>
        <v>Liqueurs</v>
      </c>
      <c r="E1236" s="5">
        <v>28374</v>
      </c>
      <c r="F1236" s="5">
        <v>481038.84000000096</v>
      </c>
      <c r="G1236" s="5"/>
      <c r="H1236" s="5">
        <v>2994</v>
      </c>
    </row>
    <row r="1237" spans="1:8">
      <c r="A1237" s="5">
        <v>2022</v>
      </c>
      <c r="B1237" s="6">
        <v>44743</v>
      </c>
      <c r="C1237" s="5" t="s">
        <v>32</v>
      </c>
      <c r="D1237" s="3" t="str" cm="1">
        <f t="array" ref="D1237">_xlfn.IFS(
 ISNUMBER(SEARCH("WHISK",C1237)),"Whiskey",
 ISNUMBER(SEARCH("BOURBON",C1237)),"Whiskey",
 ISNUMBER(SEARCH("SCOTCH",C1237)),"Whiskey",
 ISNUMBER(SEARCH("RYE",C1237)),"Whiskey",
 ISNUMBER(SEARCH("VODKA",C1237)),"Vodka",
 ISNUMBER(SEARCH("TEQUILA",C1237)),"Tequila/Mezcal",
 ISNUMBER(SEARCH("MEZCAL",C1237)),"Tequila/Mezcal",
 ISNUMBER(SEARCH("RUM",C1237)),"Rum",
 ISNUMBER(SEARCH("BRAND",C1237)),"Brandy",
 ISNUMBER(SEARCH("COGNAC",C1237)),"Brandy",
 ISNUMBER(SEARCH("LIQUEUR",C1237)),"Liqueurs",
 ISNUMBER(SEARCH("CORDIAL",C1237)),"Liqueurs",
 ISNUMBER(SEARCH("SCHNAPP",C1237)),"Liqueurs",
 ISNUMBER(SEARCH("GIN",C1237)),"Gin",
 TRUE,"Other")</f>
        <v>Vodka</v>
      </c>
      <c r="E1237" s="5">
        <v>59867</v>
      </c>
      <c r="F1237" s="5">
        <v>1020908.1299999838</v>
      </c>
      <c r="G1237" s="5"/>
      <c r="H1237" s="5">
        <v>5761</v>
      </c>
    </row>
    <row r="1238" spans="1:8">
      <c r="A1238" s="5">
        <v>2022</v>
      </c>
      <c r="B1238" s="6">
        <v>44743</v>
      </c>
      <c r="C1238" s="5" t="s">
        <v>33</v>
      </c>
      <c r="D1238" s="3" t="str" cm="1">
        <f t="array" ref="D1238">_xlfn.IFS(
 ISNUMBER(SEARCH("WHISK",C1238)),"Whiskey",
 ISNUMBER(SEARCH("BOURBON",C1238)),"Whiskey",
 ISNUMBER(SEARCH("SCOTCH",C1238)),"Whiskey",
 ISNUMBER(SEARCH("RYE",C1238)),"Whiskey",
 ISNUMBER(SEARCH("VODKA",C1238)),"Vodka",
 ISNUMBER(SEARCH("TEQUILA",C1238)),"Tequila/Mezcal",
 ISNUMBER(SEARCH("MEZCAL",C1238)),"Tequila/Mezcal",
 ISNUMBER(SEARCH("RUM",C1238)),"Rum",
 ISNUMBER(SEARCH("BRAND",C1238)),"Brandy",
 ISNUMBER(SEARCH("COGNAC",C1238)),"Brandy",
 ISNUMBER(SEARCH("LIQUEUR",C1238)),"Liqueurs",
 ISNUMBER(SEARCH("CORDIAL",C1238)),"Liqueurs",
 ISNUMBER(SEARCH("SCHNAPP",C1238)),"Liqueurs",
 ISNUMBER(SEARCH("GIN",C1238)),"Gin",
 TRUE,"Other")</f>
        <v>Whiskey</v>
      </c>
      <c r="E1238" s="5">
        <v>27836</v>
      </c>
      <c r="F1238" s="5">
        <v>749527.40999999142</v>
      </c>
      <c r="G1238" s="5"/>
      <c r="H1238" s="5">
        <v>2513</v>
      </c>
    </row>
    <row r="1239" spans="1:8">
      <c r="A1239" s="5">
        <v>2022</v>
      </c>
      <c r="B1239" s="6">
        <v>44743</v>
      </c>
      <c r="C1239" s="5" t="s">
        <v>34</v>
      </c>
      <c r="D1239" s="3" t="str" cm="1">
        <f t="array" ref="D1239">_xlfn.IFS(
 ISNUMBER(SEARCH("WHISK",C1239)),"Whiskey",
 ISNUMBER(SEARCH("BOURBON",C1239)),"Whiskey",
 ISNUMBER(SEARCH("SCOTCH",C1239)),"Whiskey",
 ISNUMBER(SEARCH("RYE",C1239)),"Whiskey",
 ISNUMBER(SEARCH("VODKA",C1239)),"Vodka",
 ISNUMBER(SEARCH("TEQUILA",C1239)),"Tequila/Mezcal",
 ISNUMBER(SEARCH("MEZCAL",C1239)),"Tequila/Mezcal",
 ISNUMBER(SEARCH("RUM",C1239)),"Rum",
 ISNUMBER(SEARCH("BRAND",C1239)),"Brandy",
 ISNUMBER(SEARCH("COGNAC",C1239)),"Brandy",
 ISNUMBER(SEARCH("LIQUEUR",C1239)),"Liqueurs",
 ISNUMBER(SEARCH("CORDIAL",C1239)),"Liqueurs",
 ISNUMBER(SEARCH("SCHNAPP",C1239)),"Liqueurs",
 ISNUMBER(SEARCH("GIN",C1239)),"Gin",
 TRUE,"Other")</f>
        <v>Tequila/Mezcal</v>
      </c>
      <c r="E1239" s="5">
        <v>1524</v>
      </c>
      <c r="F1239" s="5">
        <v>48256.35000000002</v>
      </c>
      <c r="G1239" s="5"/>
      <c r="H1239" s="5">
        <v>262</v>
      </c>
    </row>
    <row r="1240" spans="1:8">
      <c r="A1240" s="5">
        <v>2022</v>
      </c>
      <c r="B1240" s="6">
        <v>44743</v>
      </c>
      <c r="C1240" s="5" t="s">
        <v>35</v>
      </c>
      <c r="D1240" s="3" t="str" cm="1">
        <f t="array" ref="D1240">_xlfn.IFS(
 ISNUMBER(SEARCH("WHISK",C1240)),"Whiskey",
 ISNUMBER(SEARCH("BOURBON",C1240)),"Whiskey",
 ISNUMBER(SEARCH("SCOTCH",C1240)),"Whiskey",
 ISNUMBER(SEARCH("RYE",C1240)),"Whiskey",
 ISNUMBER(SEARCH("VODKA",C1240)),"Vodka",
 ISNUMBER(SEARCH("TEQUILA",C1240)),"Tequila/Mezcal",
 ISNUMBER(SEARCH("MEZCAL",C1240)),"Tequila/Mezcal",
 ISNUMBER(SEARCH("RUM",C1240)),"Rum",
 ISNUMBER(SEARCH("BRAND",C1240)),"Brandy",
 ISNUMBER(SEARCH("COGNAC",C1240)),"Brandy",
 ISNUMBER(SEARCH("LIQUEUR",C1240)),"Liqueurs",
 ISNUMBER(SEARCH("CORDIAL",C1240)),"Liqueurs",
 ISNUMBER(SEARCH("SCHNAPP",C1240)),"Liqueurs",
 ISNUMBER(SEARCH("GIN",C1240)),"Gin",
 TRUE,"Other")</f>
        <v>Tequila/Mezcal</v>
      </c>
      <c r="E1240" s="5">
        <v>68021</v>
      </c>
      <c r="F1240" s="5">
        <v>920070.89000000746</v>
      </c>
      <c r="G1240" s="5"/>
      <c r="H1240" s="5">
        <v>4955</v>
      </c>
    </row>
    <row r="1241" spans="1:8">
      <c r="A1241" s="5">
        <v>2022</v>
      </c>
      <c r="B1241" s="6">
        <v>44743</v>
      </c>
      <c r="C1241" s="5" t="s">
        <v>36</v>
      </c>
      <c r="D1241" s="3" t="str" cm="1">
        <f t="array" ref="D1241">_xlfn.IFS(
 ISNUMBER(SEARCH("WHISK",C1241)),"Whiskey",
 ISNUMBER(SEARCH("BOURBON",C1241)),"Whiskey",
 ISNUMBER(SEARCH("SCOTCH",C1241)),"Whiskey",
 ISNUMBER(SEARCH("RYE",C1241)),"Whiskey",
 ISNUMBER(SEARCH("VODKA",C1241)),"Vodka",
 ISNUMBER(SEARCH("TEQUILA",C1241)),"Tequila/Mezcal",
 ISNUMBER(SEARCH("MEZCAL",C1241)),"Tequila/Mezcal",
 ISNUMBER(SEARCH("RUM",C1241)),"Rum",
 ISNUMBER(SEARCH("BRAND",C1241)),"Brandy",
 ISNUMBER(SEARCH("COGNAC",C1241)),"Brandy",
 ISNUMBER(SEARCH("LIQUEUR",C1241)),"Liqueurs",
 ISNUMBER(SEARCH("CORDIAL",C1241)),"Liqueurs",
 ISNUMBER(SEARCH("SCHNAPP",C1241)),"Liqueurs",
 ISNUMBER(SEARCH("GIN",C1241)),"Gin",
 TRUE,"Other")</f>
        <v>Other</v>
      </c>
      <c r="E1241" s="5">
        <v>3857</v>
      </c>
      <c r="F1241" s="5">
        <v>56647.259999999995</v>
      </c>
      <c r="G1241" s="5"/>
      <c r="H1241" s="5">
        <v>387</v>
      </c>
    </row>
    <row r="1242" spans="1:8">
      <c r="A1242" s="5">
        <v>2022</v>
      </c>
      <c r="B1242" s="6">
        <v>44743</v>
      </c>
      <c r="C1242" s="5" t="s">
        <v>37</v>
      </c>
      <c r="D1242" s="3" t="str" cm="1">
        <f t="array" ref="D1242">_xlfn.IFS(
 ISNUMBER(SEARCH("WHISK",C1242)),"Whiskey",
 ISNUMBER(SEARCH("BOURBON",C1242)),"Whiskey",
 ISNUMBER(SEARCH("SCOTCH",C1242)),"Whiskey",
 ISNUMBER(SEARCH("RYE",C1242)),"Whiskey",
 ISNUMBER(SEARCH("VODKA",C1242)),"Vodka",
 ISNUMBER(SEARCH("TEQUILA",C1242)),"Tequila/Mezcal",
 ISNUMBER(SEARCH("MEZCAL",C1242)),"Tequila/Mezcal",
 ISNUMBER(SEARCH("RUM",C1242)),"Rum",
 ISNUMBER(SEARCH("BRAND",C1242)),"Brandy",
 ISNUMBER(SEARCH("COGNAC",C1242)),"Brandy",
 ISNUMBER(SEARCH("LIQUEUR",C1242)),"Liqueurs",
 ISNUMBER(SEARCH("CORDIAL",C1242)),"Liqueurs",
 ISNUMBER(SEARCH("SCHNAPP",C1242)),"Liqueurs",
 ISNUMBER(SEARCH("GIN",C1242)),"Gin",
 TRUE,"Other")</f>
        <v>Other</v>
      </c>
      <c r="E1242" s="5">
        <v>13855</v>
      </c>
      <c r="F1242" s="5">
        <v>233144.33000000191</v>
      </c>
      <c r="G1242" s="5"/>
      <c r="H1242" s="5">
        <v>2817</v>
      </c>
    </row>
    <row r="1243" spans="1:8">
      <c r="A1243" s="5">
        <v>2022</v>
      </c>
      <c r="B1243" s="6">
        <v>44743</v>
      </c>
      <c r="C1243" s="5" t="s">
        <v>38</v>
      </c>
      <c r="D1243" s="3" t="str" cm="1">
        <f t="array" ref="D1243">_xlfn.IFS(
 ISNUMBER(SEARCH("WHISK",C1243)),"Whiskey",
 ISNUMBER(SEARCH("BOURBON",C1243)),"Whiskey",
 ISNUMBER(SEARCH("SCOTCH",C1243)),"Whiskey",
 ISNUMBER(SEARCH("RYE",C1243)),"Whiskey",
 ISNUMBER(SEARCH("VODKA",C1243)),"Vodka",
 ISNUMBER(SEARCH("TEQUILA",C1243)),"Tequila/Mezcal",
 ISNUMBER(SEARCH("MEZCAL",C1243)),"Tequila/Mezcal",
 ISNUMBER(SEARCH("RUM",C1243)),"Rum",
 ISNUMBER(SEARCH("BRAND",C1243)),"Brandy",
 ISNUMBER(SEARCH("COGNAC",C1243)),"Brandy",
 ISNUMBER(SEARCH("LIQUEUR",C1243)),"Liqueurs",
 ISNUMBER(SEARCH("CORDIAL",C1243)),"Liqueurs",
 ISNUMBER(SEARCH("SCHNAPP",C1243)),"Liqueurs",
 ISNUMBER(SEARCH("GIN",C1243)),"Gin",
 TRUE,"Other")</f>
        <v>Whiskey</v>
      </c>
      <c r="E1243" s="5">
        <v>13561</v>
      </c>
      <c r="F1243" s="5">
        <v>371681.41999999952</v>
      </c>
      <c r="G1243" s="5"/>
      <c r="H1243" s="5">
        <v>2443</v>
      </c>
    </row>
    <row r="1244" spans="1:8">
      <c r="A1244" s="5">
        <v>2022</v>
      </c>
      <c r="B1244" s="6">
        <v>44743</v>
      </c>
      <c r="C1244" s="5" t="s">
        <v>40</v>
      </c>
      <c r="D1244" s="3" t="str" cm="1">
        <f t="array" ref="D1244">_xlfn.IFS(
 ISNUMBER(SEARCH("WHISK",C1244)),"Whiskey",
 ISNUMBER(SEARCH("BOURBON",C1244)),"Whiskey",
 ISNUMBER(SEARCH("SCOTCH",C1244)),"Whiskey",
 ISNUMBER(SEARCH("RYE",C1244)),"Whiskey",
 ISNUMBER(SEARCH("VODKA",C1244)),"Vodka",
 ISNUMBER(SEARCH("TEQUILA",C1244)),"Tequila/Mezcal",
 ISNUMBER(SEARCH("MEZCAL",C1244)),"Tequila/Mezcal",
 ISNUMBER(SEARCH("RUM",C1244)),"Rum",
 ISNUMBER(SEARCH("BRAND",C1244)),"Brandy",
 ISNUMBER(SEARCH("COGNAC",C1244)),"Brandy",
 ISNUMBER(SEARCH("LIQUEUR",C1244)),"Liqueurs",
 ISNUMBER(SEARCH("CORDIAL",C1244)),"Liqueurs",
 ISNUMBER(SEARCH("SCHNAPP",C1244)),"Liqueurs",
 ISNUMBER(SEARCH("GIN",C1244)),"Gin",
 TRUE,"Other")</f>
        <v>Whiskey</v>
      </c>
      <c r="E1244" s="5">
        <v>4833</v>
      </c>
      <c r="F1244" s="5">
        <v>238266.03000000067</v>
      </c>
      <c r="G1244" s="5"/>
      <c r="H1244" s="5">
        <v>1122</v>
      </c>
    </row>
    <row r="1245" spans="1:8">
      <c r="A1245" s="5">
        <v>2022</v>
      </c>
      <c r="B1245" s="6">
        <v>44743</v>
      </c>
      <c r="C1245" s="5" t="s">
        <v>42</v>
      </c>
      <c r="D1245" s="3" t="str" cm="1">
        <f t="array" ref="D1245">_xlfn.IFS(
 ISNUMBER(SEARCH("WHISK",C1245)),"Whiskey",
 ISNUMBER(SEARCH("BOURBON",C1245)),"Whiskey",
 ISNUMBER(SEARCH("SCOTCH",C1245)),"Whiskey",
 ISNUMBER(SEARCH("RYE",C1245)),"Whiskey",
 ISNUMBER(SEARCH("VODKA",C1245)),"Vodka",
 ISNUMBER(SEARCH("TEQUILA",C1245)),"Tequila/Mezcal",
 ISNUMBER(SEARCH("MEZCAL",C1245)),"Tequila/Mezcal",
 ISNUMBER(SEARCH("RUM",C1245)),"Rum",
 ISNUMBER(SEARCH("BRAND",C1245)),"Brandy",
 ISNUMBER(SEARCH("COGNAC",C1245)),"Brandy",
 ISNUMBER(SEARCH("LIQUEUR",C1245)),"Liqueurs",
 ISNUMBER(SEARCH("CORDIAL",C1245)),"Liqueurs",
 ISNUMBER(SEARCH("SCHNAPP",C1245)),"Liqueurs",
 ISNUMBER(SEARCH("GIN",C1245)),"Gin",
 TRUE,"Other")</f>
        <v>Rum</v>
      </c>
      <c r="E1245" s="5">
        <v>103972</v>
      </c>
      <c r="F1245" s="5">
        <v>1540578.2499999718</v>
      </c>
      <c r="G1245" s="5"/>
      <c r="H1245" s="5">
        <v>8542</v>
      </c>
    </row>
    <row r="1246" spans="1:8">
      <c r="A1246" s="5">
        <v>2022</v>
      </c>
      <c r="B1246" s="6">
        <v>44743</v>
      </c>
      <c r="C1246" s="5" t="s">
        <v>43</v>
      </c>
      <c r="D1246" s="3" t="str" cm="1">
        <f t="array" ref="D1246">_xlfn.IFS(
 ISNUMBER(SEARCH("WHISK",C1246)),"Whiskey",
 ISNUMBER(SEARCH("BOURBON",C1246)),"Whiskey",
 ISNUMBER(SEARCH("SCOTCH",C1246)),"Whiskey",
 ISNUMBER(SEARCH("RYE",C1246)),"Whiskey",
 ISNUMBER(SEARCH("VODKA",C1246)),"Vodka",
 ISNUMBER(SEARCH("TEQUILA",C1246)),"Tequila/Mezcal",
 ISNUMBER(SEARCH("MEZCAL",C1246)),"Tequila/Mezcal",
 ISNUMBER(SEARCH("RUM",C1246)),"Rum",
 ISNUMBER(SEARCH("BRAND",C1246)),"Brandy",
 ISNUMBER(SEARCH("COGNAC",C1246)),"Brandy",
 ISNUMBER(SEARCH("LIQUEUR",C1246)),"Liqueurs",
 ISNUMBER(SEARCH("CORDIAL",C1246)),"Liqueurs",
 ISNUMBER(SEARCH("SCHNAPP",C1246)),"Liqueurs",
 ISNUMBER(SEARCH("GIN",C1246)),"Gin",
 TRUE,"Other")</f>
        <v>Whiskey</v>
      </c>
      <c r="E1246" s="5">
        <v>119400</v>
      </c>
      <c r="F1246" s="5">
        <v>2505587.399999992</v>
      </c>
      <c r="G1246" s="5"/>
      <c r="H1246" s="5">
        <v>14227</v>
      </c>
    </row>
    <row r="1247" spans="1:8">
      <c r="A1247" s="5">
        <v>2022</v>
      </c>
      <c r="B1247" s="6">
        <v>44743</v>
      </c>
      <c r="C1247" s="5" t="s">
        <v>44</v>
      </c>
      <c r="D1247" s="3" t="str" cm="1">
        <f t="array" ref="D1247">_xlfn.IFS(
 ISNUMBER(SEARCH("WHISK",C1247)),"Whiskey",
 ISNUMBER(SEARCH("BOURBON",C1247)),"Whiskey",
 ISNUMBER(SEARCH("SCOTCH",C1247)),"Whiskey",
 ISNUMBER(SEARCH("RYE",C1247)),"Whiskey",
 ISNUMBER(SEARCH("VODKA",C1247)),"Vodka",
 ISNUMBER(SEARCH("TEQUILA",C1247)),"Tequila/Mezcal",
 ISNUMBER(SEARCH("MEZCAL",C1247)),"Tequila/Mezcal",
 ISNUMBER(SEARCH("RUM",C1247)),"Rum",
 ISNUMBER(SEARCH("BRAND",C1247)),"Brandy",
 ISNUMBER(SEARCH("COGNAC",C1247)),"Brandy",
 ISNUMBER(SEARCH("LIQUEUR",C1247)),"Liqueurs",
 ISNUMBER(SEARCH("CORDIAL",C1247)),"Liqueurs",
 ISNUMBER(SEARCH("SCHNAPP",C1247)),"Liqueurs",
 ISNUMBER(SEARCH("GIN",C1247)),"Gin",
 TRUE,"Other")</f>
        <v>Whiskey</v>
      </c>
      <c r="E1247" s="5">
        <v>9106</v>
      </c>
      <c r="F1247" s="5">
        <v>299203.07000000129</v>
      </c>
      <c r="G1247" s="5"/>
      <c r="H1247" s="5">
        <v>1479</v>
      </c>
    </row>
    <row r="1248" spans="1:8">
      <c r="A1248" s="5">
        <v>2022</v>
      </c>
      <c r="B1248" s="6">
        <v>44743</v>
      </c>
      <c r="C1248" s="5" t="s">
        <v>45</v>
      </c>
      <c r="D1248" s="3" t="str" cm="1">
        <f t="array" ref="D1248">_xlfn.IFS(
 ISNUMBER(SEARCH("WHISK",C1248)),"Whiskey",
 ISNUMBER(SEARCH("BOURBON",C1248)),"Whiskey",
 ISNUMBER(SEARCH("SCOTCH",C1248)),"Whiskey",
 ISNUMBER(SEARCH("RYE",C1248)),"Whiskey",
 ISNUMBER(SEARCH("VODKA",C1248)),"Vodka",
 ISNUMBER(SEARCH("TEQUILA",C1248)),"Tequila/Mezcal",
 ISNUMBER(SEARCH("MEZCAL",C1248)),"Tequila/Mezcal",
 ISNUMBER(SEARCH("RUM",C1248)),"Rum",
 ISNUMBER(SEARCH("BRAND",C1248)),"Brandy",
 ISNUMBER(SEARCH("COGNAC",C1248)),"Brandy",
 ISNUMBER(SEARCH("LIQUEUR",C1248)),"Liqueurs",
 ISNUMBER(SEARCH("CORDIAL",C1248)),"Liqueurs",
 ISNUMBER(SEARCH("SCHNAPP",C1248)),"Liqueurs",
 ISNUMBER(SEARCH("GIN",C1248)),"Gin",
 TRUE,"Other")</f>
        <v>Other</v>
      </c>
      <c r="E1248" s="5">
        <v>49706</v>
      </c>
      <c r="F1248" s="5">
        <v>1329612.9199999366</v>
      </c>
      <c r="G1248" s="5"/>
      <c r="H1248" s="5">
        <v>5763</v>
      </c>
    </row>
    <row r="1249" spans="1:8">
      <c r="A1249" s="5">
        <v>2022</v>
      </c>
      <c r="B1249" s="6">
        <v>44743</v>
      </c>
      <c r="C1249" s="5" t="s">
        <v>46</v>
      </c>
      <c r="D1249" s="3" t="str" cm="1">
        <f t="array" ref="D1249">_xlfn.IFS(
 ISNUMBER(SEARCH("WHISK",C1249)),"Whiskey",
 ISNUMBER(SEARCH("BOURBON",C1249)),"Whiskey",
 ISNUMBER(SEARCH("SCOTCH",C1249)),"Whiskey",
 ISNUMBER(SEARCH("RYE",C1249)),"Whiskey",
 ISNUMBER(SEARCH("VODKA",C1249)),"Vodka",
 ISNUMBER(SEARCH("TEQUILA",C1249)),"Tequila/Mezcal",
 ISNUMBER(SEARCH("MEZCAL",C1249)),"Tequila/Mezcal",
 ISNUMBER(SEARCH("RUM",C1249)),"Rum",
 ISNUMBER(SEARCH("BRAND",C1249)),"Brandy",
 ISNUMBER(SEARCH("COGNAC",C1249)),"Brandy",
 ISNUMBER(SEARCH("LIQUEUR",C1249)),"Liqueurs",
 ISNUMBER(SEARCH("CORDIAL",C1249)),"Liqueurs",
 ISNUMBER(SEARCH("SCHNAPP",C1249)),"Liqueurs",
 ISNUMBER(SEARCH("GIN",C1249)),"Gin",
 TRUE,"Other")</f>
        <v>Whiskey</v>
      </c>
      <c r="E1249" s="5">
        <v>52772</v>
      </c>
      <c r="F1249" s="5">
        <v>1225793.8999999769</v>
      </c>
      <c r="G1249" s="5"/>
      <c r="H1249" s="5">
        <v>5194</v>
      </c>
    </row>
    <row r="1250" spans="1:8">
      <c r="A1250" s="5">
        <v>2022</v>
      </c>
      <c r="B1250" s="6">
        <v>44743</v>
      </c>
      <c r="C1250" s="5" t="s">
        <v>47</v>
      </c>
      <c r="D1250" s="3" t="str" cm="1">
        <f t="array" ref="D1250">_xlfn.IFS(
 ISNUMBER(SEARCH("WHISK",C1250)),"Whiskey",
 ISNUMBER(SEARCH("BOURBON",C1250)),"Whiskey",
 ISNUMBER(SEARCH("SCOTCH",C1250)),"Whiskey",
 ISNUMBER(SEARCH("RYE",C1250)),"Whiskey",
 ISNUMBER(SEARCH("VODKA",C1250)),"Vodka",
 ISNUMBER(SEARCH("TEQUILA",C1250)),"Tequila/Mezcal",
 ISNUMBER(SEARCH("MEZCAL",C1250)),"Tequila/Mezcal",
 ISNUMBER(SEARCH("RUM",C1250)),"Rum",
 ISNUMBER(SEARCH("BRAND",C1250)),"Brandy",
 ISNUMBER(SEARCH("COGNAC",C1250)),"Brandy",
 ISNUMBER(SEARCH("LIQUEUR",C1250)),"Liqueurs",
 ISNUMBER(SEARCH("CORDIAL",C1250)),"Liqueurs",
 ISNUMBER(SEARCH("SCHNAPP",C1250)),"Liqueurs",
 ISNUMBER(SEARCH("GIN",C1250)),"Gin",
 TRUE,"Other")</f>
        <v>Other</v>
      </c>
      <c r="E1250" s="5">
        <v>17249</v>
      </c>
      <c r="F1250" s="5">
        <v>69376.599999999919</v>
      </c>
      <c r="G1250" s="5"/>
      <c r="H1250" s="5">
        <v>753</v>
      </c>
    </row>
    <row r="1251" spans="1:8">
      <c r="A1251" s="5">
        <v>2022</v>
      </c>
      <c r="B1251" s="6">
        <v>44743</v>
      </c>
      <c r="C1251" s="5" t="s">
        <v>48</v>
      </c>
      <c r="D1251" s="3" t="str" cm="1">
        <f t="array" ref="D1251">_xlfn.IFS(
 ISNUMBER(SEARCH("WHISK",C1251)),"Whiskey",
 ISNUMBER(SEARCH("BOURBON",C1251)),"Whiskey",
 ISNUMBER(SEARCH("SCOTCH",C1251)),"Whiskey",
 ISNUMBER(SEARCH("RYE",C1251)),"Whiskey",
 ISNUMBER(SEARCH("VODKA",C1251)),"Vodka",
 ISNUMBER(SEARCH("TEQUILA",C1251)),"Tequila/Mezcal",
 ISNUMBER(SEARCH("MEZCAL",C1251)),"Tequila/Mezcal",
 ISNUMBER(SEARCH("RUM",C1251)),"Rum",
 ISNUMBER(SEARCH("BRAND",C1251)),"Brandy",
 ISNUMBER(SEARCH("COGNAC",C1251)),"Brandy",
 ISNUMBER(SEARCH("LIQUEUR",C1251)),"Liqueurs",
 ISNUMBER(SEARCH("CORDIAL",C1251)),"Liqueurs",
 ISNUMBER(SEARCH("SCHNAPP",C1251)),"Liqueurs",
 ISNUMBER(SEARCH("GIN",C1251)),"Gin",
 TRUE,"Other")</f>
        <v>Whiskey</v>
      </c>
      <c r="E1251" s="5">
        <v>301333</v>
      </c>
      <c r="F1251" s="5">
        <v>1870681.7699999979</v>
      </c>
      <c r="G1251" s="5"/>
      <c r="H1251" s="5">
        <v>11540</v>
      </c>
    </row>
    <row r="1252" spans="1:8">
      <c r="A1252" s="5">
        <v>2022</v>
      </c>
      <c r="B1252" s="6">
        <v>44743</v>
      </c>
      <c r="C1252" s="5" t="s">
        <v>49</v>
      </c>
      <c r="D1252" s="3" t="str" cm="1">
        <f t="array" ref="D1252">_xlfn.IFS(
 ISNUMBER(SEARCH("WHISK",C1252)),"Whiskey",
 ISNUMBER(SEARCH("BOURBON",C1252)),"Whiskey",
 ISNUMBER(SEARCH("SCOTCH",C1252)),"Whiskey",
 ISNUMBER(SEARCH("RYE",C1252)),"Whiskey",
 ISNUMBER(SEARCH("VODKA",C1252)),"Vodka",
 ISNUMBER(SEARCH("TEQUILA",C1252)),"Tequila/Mezcal",
 ISNUMBER(SEARCH("MEZCAL",C1252)),"Tequila/Mezcal",
 ISNUMBER(SEARCH("RUM",C1252)),"Rum",
 ISNUMBER(SEARCH("BRAND",C1252)),"Brandy",
 ISNUMBER(SEARCH("COGNAC",C1252)),"Brandy",
 ISNUMBER(SEARCH("LIQUEUR",C1252)),"Liqueurs",
 ISNUMBER(SEARCH("CORDIAL",C1252)),"Liqueurs",
 ISNUMBER(SEARCH("SCHNAPP",C1252)),"Liqueurs",
 ISNUMBER(SEARCH("GIN",C1252)),"Gin",
 TRUE,"Other")</f>
        <v>Rum</v>
      </c>
      <c r="E1252" s="5">
        <v>42653</v>
      </c>
      <c r="F1252" s="5">
        <v>498757.07999999524</v>
      </c>
      <c r="G1252" s="5"/>
      <c r="H1252" s="5">
        <v>4352</v>
      </c>
    </row>
    <row r="1253" spans="1:8">
      <c r="A1253" s="5">
        <v>2022</v>
      </c>
      <c r="B1253" s="6">
        <v>44743</v>
      </c>
      <c r="C1253" s="5" t="s">
        <v>8</v>
      </c>
      <c r="D1253" s="3" t="str" cm="1">
        <f t="array" ref="D1253">_xlfn.IFS(
 ISNUMBER(SEARCH("WHISK",C1253)),"Whiskey",
 ISNUMBER(SEARCH("BOURBON",C1253)),"Whiskey",
 ISNUMBER(SEARCH("SCOTCH",C1253)),"Whiskey",
 ISNUMBER(SEARCH("RYE",C1253)),"Whiskey",
 ISNUMBER(SEARCH("VODKA",C1253)),"Vodka",
 ISNUMBER(SEARCH("TEQUILA",C1253)),"Tequila/Mezcal",
 ISNUMBER(SEARCH("MEZCAL",C1253)),"Tequila/Mezcal",
 ISNUMBER(SEARCH("RUM",C1253)),"Rum",
 ISNUMBER(SEARCH("BRAND",C1253)),"Brandy",
 ISNUMBER(SEARCH("COGNAC",C1253)),"Brandy",
 ISNUMBER(SEARCH("LIQUEUR",C1253)),"Liqueurs",
 ISNUMBER(SEARCH("CORDIAL",C1253)),"Liqueurs",
 ISNUMBER(SEARCH("SCHNAPP",C1253)),"Liqueurs",
 ISNUMBER(SEARCH("GIN",C1253)),"Gin",
 TRUE,"Other")</f>
        <v>Brandy</v>
      </c>
      <c r="E1253" s="5">
        <v>47177</v>
      </c>
      <c r="F1253" s="5">
        <v>313327.48000000051</v>
      </c>
      <c r="G1253" s="5"/>
      <c r="H1253" s="5">
        <v>4278</v>
      </c>
    </row>
    <row r="1254" spans="1:8">
      <c r="A1254" s="5">
        <v>2022</v>
      </c>
      <c r="B1254" s="6">
        <v>44743</v>
      </c>
      <c r="C1254" s="5" t="s">
        <v>50</v>
      </c>
      <c r="D1254" s="3" t="str" cm="1">
        <f t="array" ref="D1254">_xlfn.IFS(
 ISNUMBER(SEARCH("WHISK",C1254)),"Whiskey",
 ISNUMBER(SEARCH("BOURBON",C1254)),"Whiskey",
 ISNUMBER(SEARCH("SCOTCH",C1254)),"Whiskey",
 ISNUMBER(SEARCH("RYE",C1254)),"Whiskey",
 ISNUMBER(SEARCH("VODKA",C1254)),"Vodka",
 ISNUMBER(SEARCH("TEQUILA",C1254)),"Tequila/Mezcal",
 ISNUMBER(SEARCH("MEZCAL",C1254)),"Tequila/Mezcal",
 ISNUMBER(SEARCH("RUM",C1254)),"Rum",
 ISNUMBER(SEARCH("BRAND",C1254)),"Brandy",
 ISNUMBER(SEARCH("COGNAC",C1254)),"Brandy",
 ISNUMBER(SEARCH("LIQUEUR",C1254)),"Liqueurs",
 ISNUMBER(SEARCH("CORDIAL",C1254)),"Liqueurs",
 ISNUMBER(SEARCH("SCHNAPP",C1254)),"Liqueurs",
 ISNUMBER(SEARCH("GIN",C1254)),"Gin",
 TRUE,"Other")</f>
        <v>Tequila/Mezcal</v>
      </c>
      <c r="E1254" s="5">
        <v>73221</v>
      </c>
      <c r="F1254" s="5">
        <v>2243807.1599999499</v>
      </c>
      <c r="G1254" s="5"/>
      <c r="H1254" s="5">
        <v>8715</v>
      </c>
    </row>
    <row r="1255" spans="1:8">
      <c r="A1255" s="5">
        <v>2022</v>
      </c>
      <c r="B1255" s="6">
        <v>44743</v>
      </c>
      <c r="C1255" s="5" t="s">
        <v>7</v>
      </c>
      <c r="D1255" s="3" t="str" cm="1">
        <f t="array" ref="D1255">_xlfn.IFS(
 ISNUMBER(SEARCH("WHISK",C1255)),"Whiskey",
 ISNUMBER(SEARCH("BOURBON",C1255)),"Whiskey",
 ISNUMBER(SEARCH("SCOTCH",C1255)),"Whiskey",
 ISNUMBER(SEARCH("RYE",C1255)),"Whiskey",
 ISNUMBER(SEARCH("VODKA",C1255)),"Vodka",
 ISNUMBER(SEARCH("TEQUILA",C1255)),"Tequila/Mezcal",
 ISNUMBER(SEARCH("MEZCAL",C1255)),"Tequila/Mezcal",
 ISNUMBER(SEARCH("RUM",C1255)),"Rum",
 ISNUMBER(SEARCH("BRAND",C1255)),"Brandy",
 ISNUMBER(SEARCH("COGNAC",C1255)),"Brandy",
 ISNUMBER(SEARCH("LIQUEUR",C1255)),"Liqueurs",
 ISNUMBER(SEARCH("CORDIAL",C1255)),"Liqueurs",
 ISNUMBER(SEARCH("SCHNAPP",C1255)),"Liqueurs",
 ISNUMBER(SEARCH("GIN",C1255)),"Gin",
 TRUE,"Other")</f>
        <v>Rum</v>
      </c>
      <c r="E1255" s="5">
        <v>3617</v>
      </c>
      <c r="F1255" s="5">
        <v>80216.000000000073</v>
      </c>
      <c r="G1255" s="5"/>
      <c r="H1255" s="5">
        <v>660</v>
      </c>
    </row>
    <row r="1256" spans="1:8">
      <c r="A1256" s="5">
        <v>2022</v>
      </c>
      <c r="B1256" s="6">
        <v>44743</v>
      </c>
      <c r="C1256" s="5" t="s">
        <v>28</v>
      </c>
      <c r="D1256" s="3" t="str" cm="1">
        <f t="array" ref="D1256">_xlfn.IFS(
 ISNUMBER(SEARCH("WHISK",C1256)),"Whiskey",
 ISNUMBER(SEARCH("BOURBON",C1256)),"Whiskey",
 ISNUMBER(SEARCH("SCOTCH",C1256)),"Whiskey",
 ISNUMBER(SEARCH("RYE",C1256)),"Whiskey",
 ISNUMBER(SEARCH("VODKA",C1256)),"Vodka",
 ISNUMBER(SEARCH("TEQUILA",C1256)),"Tequila/Mezcal",
 ISNUMBER(SEARCH("MEZCAL",C1256)),"Tequila/Mezcal",
 ISNUMBER(SEARCH("RUM",C1256)),"Rum",
 ISNUMBER(SEARCH("BRAND",C1256)),"Brandy",
 ISNUMBER(SEARCH("COGNAC",C1256)),"Brandy",
 ISNUMBER(SEARCH("LIQUEUR",C1256)),"Liqueurs",
 ISNUMBER(SEARCH("CORDIAL",C1256)),"Liqueurs",
 ISNUMBER(SEARCH("SCHNAPP",C1256)),"Liqueurs",
 ISNUMBER(SEARCH("GIN",C1256)),"Gin",
 TRUE,"Other")</f>
        <v>Other</v>
      </c>
      <c r="E1256" s="5">
        <v>25917</v>
      </c>
      <c r="F1256" s="5">
        <v>211149.91999999998</v>
      </c>
      <c r="G1256" s="5"/>
      <c r="H1256" s="5">
        <v>332</v>
      </c>
    </row>
    <row r="1257" spans="1:8">
      <c r="A1257" s="5">
        <v>2022</v>
      </c>
      <c r="B1257" s="6">
        <v>44743</v>
      </c>
      <c r="C1257" s="5" t="s">
        <v>39</v>
      </c>
      <c r="D1257" s="3" t="str" cm="1">
        <f t="array" ref="D1257">_xlfn.IFS(
 ISNUMBER(SEARCH("WHISK",C1257)),"Whiskey",
 ISNUMBER(SEARCH("BOURBON",C1257)),"Whiskey",
 ISNUMBER(SEARCH("SCOTCH",C1257)),"Whiskey",
 ISNUMBER(SEARCH("RYE",C1257)),"Whiskey",
 ISNUMBER(SEARCH("VODKA",C1257)),"Vodka",
 ISNUMBER(SEARCH("TEQUILA",C1257)),"Tequila/Mezcal",
 ISNUMBER(SEARCH("MEZCAL",C1257)),"Tequila/Mezcal",
 ISNUMBER(SEARCH("RUM",C1257)),"Rum",
 ISNUMBER(SEARCH("BRAND",C1257)),"Brandy",
 ISNUMBER(SEARCH("COGNAC",C1257)),"Brandy",
 ISNUMBER(SEARCH("LIQUEUR",C1257)),"Liqueurs",
 ISNUMBER(SEARCH("CORDIAL",C1257)),"Liqueurs",
 ISNUMBER(SEARCH("SCHNAPP",C1257)),"Liqueurs",
 ISNUMBER(SEARCH("GIN",C1257)),"Gin",
 TRUE,"Other")</f>
        <v>Whiskey</v>
      </c>
      <c r="E1257" s="5">
        <v>2729</v>
      </c>
      <c r="F1257" s="5">
        <v>83280.21000000037</v>
      </c>
      <c r="G1257" s="5"/>
      <c r="H1257" s="5">
        <v>421</v>
      </c>
    </row>
    <row r="1258" spans="1:8">
      <c r="A1258" s="5">
        <v>2022</v>
      </c>
      <c r="B1258" s="6">
        <v>44743</v>
      </c>
      <c r="C1258" s="5" t="s">
        <v>23</v>
      </c>
      <c r="D1258" s="3" t="str" cm="1">
        <f t="array" ref="D1258">_xlfn.IFS(
 ISNUMBER(SEARCH("WHISK",C1258)),"Whiskey",
 ISNUMBER(SEARCH("BOURBON",C1258)),"Whiskey",
 ISNUMBER(SEARCH("SCOTCH",C1258)),"Whiskey",
 ISNUMBER(SEARCH("RYE",C1258)),"Whiskey",
 ISNUMBER(SEARCH("VODKA",C1258)),"Vodka",
 ISNUMBER(SEARCH("TEQUILA",C1258)),"Tequila/Mezcal",
 ISNUMBER(SEARCH("MEZCAL",C1258)),"Tequila/Mezcal",
 ISNUMBER(SEARCH("RUM",C1258)),"Rum",
 ISNUMBER(SEARCH("BRAND",C1258)),"Brandy",
 ISNUMBER(SEARCH("COGNAC",C1258)),"Brandy",
 ISNUMBER(SEARCH("LIQUEUR",C1258)),"Liqueurs",
 ISNUMBER(SEARCH("CORDIAL",C1258)),"Liqueurs",
 ISNUMBER(SEARCH("SCHNAPP",C1258)),"Liqueurs",
 ISNUMBER(SEARCH("GIN",C1258)),"Gin",
 TRUE,"Other")</f>
        <v>Gin</v>
      </c>
      <c r="E1258" s="5">
        <v>2578</v>
      </c>
      <c r="F1258" s="5">
        <v>53461.569999999971</v>
      </c>
      <c r="G1258" s="5"/>
      <c r="H1258" s="5">
        <v>338</v>
      </c>
    </row>
    <row r="1259" spans="1:8">
      <c r="A1259" s="5">
        <v>2022</v>
      </c>
      <c r="B1259" s="6">
        <v>44743</v>
      </c>
      <c r="C1259" s="5" t="s">
        <v>14</v>
      </c>
      <c r="D1259" s="3" t="str" cm="1">
        <f t="array" ref="D1259">_xlfn.IFS(
 ISNUMBER(SEARCH("WHISK",C1259)),"Whiskey",
 ISNUMBER(SEARCH("BOURBON",C1259)),"Whiskey",
 ISNUMBER(SEARCH("SCOTCH",C1259)),"Whiskey",
 ISNUMBER(SEARCH("RYE",C1259)),"Whiskey",
 ISNUMBER(SEARCH("VODKA",C1259)),"Vodka",
 ISNUMBER(SEARCH("TEQUILA",C1259)),"Tequila/Mezcal",
 ISNUMBER(SEARCH("MEZCAL",C1259)),"Tequila/Mezcal",
 ISNUMBER(SEARCH("RUM",C1259)),"Rum",
 ISNUMBER(SEARCH("BRAND",C1259)),"Brandy",
 ISNUMBER(SEARCH("COGNAC",C1259)),"Brandy",
 ISNUMBER(SEARCH("LIQUEUR",C1259)),"Liqueurs",
 ISNUMBER(SEARCH("CORDIAL",C1259)),"Liqueurs",
 ISNUMBER(SEARCH("SCHNAPP",C1259)),"Liqueurs",
 ISNUMBER(SEARCH("GIN",C1259)),"Gin",
 TRUE,"Other")</f>
        <v>Gin</v>
      </c>
      <c r="E1259" s="5">
        <v>234</v>
      </c>
      <c r="F1259" s="5">
        <v>1902.4200000000012</v>
      </c>
      <c r="G1259" s="5"/>
      <c r="H1259" s="5">
        <v>60</v>
      </c>
    </row>
    <row r="1260" spans="1:8">
      <c r="A1260" s="5">
        <v>2022</v>
      </c>
      <c r="B1260" s="6">
        <v>44743</v>
      </c>
      <c r="C1260" s="5" t="s">
        <v>41</v>
      </c>
      <c r="D1260" s="3" t="str" cm="1">
        <f t="array" ref="D1260">_xlfn.IFS(
 ISNUMBER(SEARCH("WHISK",C1260)),"Whiskey",
 ISNUMBER(SEARCH("BOURBON",C1260)),"Whiskey",
 ISNUMBER(SEARCH("SCOTCH",C1260)),"Whiskey",
 ISNUMBER(SEARCH("RYE",C1260)),"Whiskey",
 ISNUMBER(SEARCH("VODKA",C1260)),"Vodka",
 ISNUMBER(SEARCH("TEQUILA",C1260)),"Tequila/Mezcal",
 ISNUMBER(SEARCH("MEZCAL",C1260)),"Tequila/Mezcal",
 ISNUMBER(SEARCH("RUM",C1260)),"Rum",
 ISNUMBER(SEARCH("BRAND",C1260)),"Brandy",
 ISNUMBER(SEARCH("COGNAC",C1260)),"Brandy",
 ISNUMBER(SEARCH("LIQUEUR",C1260)),"Liqueurs",
 ISNUMBER(SEARCH("CORDIAL",C1260)),"Liqueurs",
 ISNUMBER(SEARCH("SCHNAPP",C1260)),"Liqueurs",
 ISNUMBER(SEARCH("GIN",C1260)),"Gin",
 TRUE,"Other")</f>
        <v>Other</v>
      </c>
      <c r="E1260" s="5">
        <v>8341</v>
      </c>
      <c r="F1260" s="5">
        <v>108424.87000000001</v>
      </c>
      <c r="G1260" s="5"/>
      <c r="H1260" s="5">
        <v>221</v>
      </c>
    </row>
    <row r="1261" spans="1:8">
      <c r="A1261" s="5">
        <v>2022</v>
      </c>
      <c r="B1261" s="6">
        <v>44774</v>
      </c>
      <c r="C1261" s="5" t="s">
        <v>50</v>
      </c>
      <c r="D1261" s="3" t="str" cm="1">
        <f t="array" ref="D1261">_xlfn.IFS(
 ISNUMBER(SEARCH("WHISK",C1261)),"Whiskey",
 ISNUMBER(SEARCH("BOURBON",C1261)),"Whiskey",
 ISNUMBER(SEARCH("SCOTCH",C1261)),"Whiskey",
 ISNUMBER(SEARCH("RYE",C1261)),"Whiskey",
 ISNUMBER(SEARCH("VODKA",C1261)),"Vodka",
 ISNUMBER(SEARCH("TEQUILA",C1261)),"Tequila/Mezcal",
 ISNUMBER(SEARCH("MEZCAL",C1261)),"Tequila/Mezcal",
 ISNUMBER(SEARCH("RUM",C1261)),"Rum",
 ISNUMBER(SEARCH("BRAND",C1261)),"Brandy",
 ISNUMBER(SEARCH("COGNAC",C1261)),"Brandy",
 ISNUMBER(SEARCH("LIQUEUR",C1261)),"Liqueurs",
 ISNUMBER(SEARCH("CORDIAL",C1261)),"Liqueurs",
 ISNUMBER(SEARCH("SCHNAPP",C1261)),"Liqueurs",
 ISNUMBER(SEARCH("GIN",C1261)),"Gin",
 TRUE,"Other")</f>
        <v>Tequila/Mezcal</v>
      </c>
      <c r="E1261" s="5">
        <v>97696</v>
      </c>
      <c r="F1261" s="5">
        <v>2897324.5899999361</v>
      </c>
      <c r="G1261" s="5"/>
      <c r="H1261" s="5">
        <v>10370</v>
      </c>
    </row>
    <row r="1262" spans="1:8">
      <c r="A1262" s="5">
        <v>2022</v>
      </c>
      <c r="B1262" s="6">
        <v>44774</v>
      </c>
      <c r="C1262" s="5" t="s">
        <v>8</v>
      </c>
      <c r="D1262" s="3" t="str" cm="1">
        <f t="array" ref="D1262">_xlfn.IFS(
 ISNUMBER(SEARCH("WHISK",C1262)),"Whiskey",
 ISNUMBER(SEARCH("BOURBON",C1262)),"Whiskey",
 ISNUMBER(SEARCH("SCOTCH",C1262)),"Whiskey",
 ISNUMBER(SEARCH("RYE",C1262)),"Whiskey",
 ISNUMBER(SEARCH("VODKA",C1262)),"Vodka",
 ISNUMBER(SEARCH("TEQUILA",C1262)),"Tequila/Mezcal",
 ISNUMBER(SEARCH("MEZCAL",C1262)),"Tequila/Mezcal",
 ISNUMBER(SEARCH("RUM",C1262)),"Rum",
 ISNUMBER(SEARCH("BRAND",C1262)),"Brandy",
 ISNUMBER(SEARCH("COGNAC",C1262)),"Brandy",
 ISNUMBER(SEARCH("LIQUEUR",C1262)),"Liqueurs",
 ISNUMBER(SEARCH("CORDIAL",C1262)),"Liqueurs",
 ISNUMBER(SEARCH("SCHNAPP",C1262)),"Liqueurs",
 ISNUMBER(SEARCH("GIN",C1262)),"Gin",
 TRUE,"Other")</f>
        <v>Brandy</v>
      </c>
      <c r="E1262" s="5">
        <v>69595</v>
      </c>
      <c r="F1262" s="5">
        <v>443698.07000000187</v>
      </c>
      <c r="G1262" s="5"/>
      <c r="H1262" s="5">
        <v>5318</v>
      </c>
    </row>
    <row r="1263" spans="1:8">
      <c r="A1263" s="5">
        <v>2022</v>
      </c>
      <c r="B1263" s="6">
        <v>44774</v>
      </c>
      <c r="C1263" s="5" t="s">
        <v>59</v>
      </c>
      <c r="D1263" s="3" t="str" cm="1">
        <f t="array" ref="D1263">_xlfn.IFS(
 ISNUMBER(SEARCH("WHISK",C1263)),"Whiskey",
 ISNUMBER(SEARCH("BOURBON",C1263)),"Whiskey",
 ISNUMBER(SEARCH("SCOTCH",C1263)),"Whiskey",
 ISNUMBER(SEARCH("RYE",C1263)),"Whiskey",
 ISNUMBER(SEARCH("VODKA",C1263)),"Vodka",
 ISNUMBER(SEARCH("TEQUILA",C1263)),"Tequila/Mezcal",
 ISNUMBER(SEARCH("MEZCAL",C1263)),"Tequila/Mezcal",
 ISNUMBER(SEARCH("RUM",C1263)),"Rum",
 ISNUMBER(SEARCH("BRAND",C1263)),"Brandy",
 ISNUMBER(SEARCH("COGNAC",C1263)),"Brandy",
 ISNUMBER(SEARCH("LIQUEUR",C1263)),"Liqueurs",
 ISNUMBER(SEARCH("CORDIAL",C1263)),"Liqueurs",
 ISNUMBER(SEARCH("SCHNAPP",C1263)),"Liqueurs",
 ISNUMBER(SEARCH("GIN",C1263)),"Gin",
 TRUE,"Other")</f>
        <v>Liqueurs</v>
      </c>
      <c r="E1263" s="5">
        <v>49941</v>
      </c>
      <c r="F1263" s="5">
        <v>429724.63000001071</v>
      </c>
      <c r="G1263" s="5"/>
      <c r="H1263" s="5">
        <v>6602</v>
      </c>
    </row>
    <row r="1264" spans="1:8">
      <c r="A1264" s="5">
        <v>2022</v>
      </c>
      <c r="B1264" s="6">
        <v>44774</v>
      </c>
      <c r="C1264" s="5" t="s">
        <v>11</v>
      </c>
      <c r="D1264" s="3" t="str" cm="1">
        <f t="array" ref="D1264">_xlfn.IFS(
 ISNUMBER(SEARCH("WHISK",C1264)),"Whiskey",
 ISNUMBER(SEARCH("BOURBON",C1264)),"Whiskey",
 ISNUMBER(SEARCH("SCOTCH",C1264)),"Whiskey",
 ISNUMBER(SEARCH("RYE",C1264)),"Whiskey",
 ISNUMBER(SEARCH("VODKA",C1264)),"Vodka",
 ISNUMBER(SEARCH("TEQUILA",C1264)),"Tequila/Mezcal",
 ISNUMBER(SEARCH("MEZCAL",C1264)),"Tequila/Mezcal",
 ISNUMBER(SEARCH("RUM",C1264)),"Rum",
 ISNUMBER(SEARCH("BRAND",C1264)),"Brandy",
 ISNUMBER(SEARCH("COGNAC",C1264)),"Brandy",
 ISNUMBER(SEARCH("LIQUEUR",C1264)),"Liqueurs",
 ISNUMBER(SEARCH("CORDIAL",C1264)),"Liqueurs",
 ISNUMBER(SEARCH("SCHNAPP",C1264)),"Liqueurs",
 ISNUMBER(SEARCH("GIN",C1264)),"Gin",
 TRUE,"Other")</f>
        <v>Gin</v>
      </c>
      <c r="E1264" s="5">
        <v>41654</v>
      </c>
      <c r="F1264" s="5">
        <v>347201.66000000318</v>
      </c>
      <c r="G1264" s="5"/>
      <c r="H1264" s="5">
        <v>3455</v>
      </c>
    </row>
    <row r="1265" spans="1:8">
      <c r="A1265" s="5">
        <v>2022</v>
      </c>
      <c r="B1265" s="6">
        <v>44774</v>
      </c>
      <c r="C1265" s="5" t="s">
        <v>12</v>
      </c>
      <c r="D1265" s="3" t="str" cm="1">
        <f t="array" ref="D1265">_xlfn.IFS(
 ISNUMBER(SEARCH("WHISK",C1265)),"Whiskey",
 ISNUMBER(SEARCH("BOURBON",C1265)),"Whiskey",
 ISNUMBER(SEARCH("SCOTCH",C1265)),"Whiskey",
 ISNUMBER(SEARCH("RYE",C1265)),"Whiskey",
 ISNUMBER(SEARCH("VODKA",C1265)),"Vodka",
 ISNUMBER(SEARCH("TEQUILA",C1265)),"Tequila/Mezcal",
 ISNUMBER(SEARCH("MEZCAL",C1265)),"Tequila/Mezcal",
 ISNUMBER(SEARCH("RUM",C1265)),"Rum",
 ISNUMBER(SEARCH("BRAND",C1265)),"Brandy",
 ISNUMBER(SEARCH("COGNAC",C1265)),"Brandy",
 ISNUMBER(SEARCH("LIQUEUR",C1265)),"Liqueurs",
 ISNUMBER(SEARCH("CORDIAL",C1265)),"Liqueurs",
 ISNUMBER(SEARCH("SCHNAPP",C1265)),"Liqueurs",
 ISNUMBER(SEARCH("GIN",C1265)),"Gin",
 TRUE,"Other")</f>
        <v>Vodka</v>
      </c>
      <c r="E1265" s="5">
        <v>98428</v>
      </c>
      <c r="F1265" s="5">
        <v>1048855.9400000433</v>
      </c>
      <c r="G1265" s="5"/>
      <c r="H1265" s="5">
        <v>12030</v>
      </c>
    </row>
    <row r="1266" spans="1:8">
      <c r="A1266" s="5">
        <v>2022</v>
      </c>
      <c r="B1266" s="6">
        <v>44774</v>
      </c>
      <c r="C1266" s="5" t="s">
        <v>13</v>
      </c>
      <c r="D1266" s="3" t="str" cm="1">
        <f t="array" ref="D1266">_xlfn.IFS(
 ISNUMBER(SEARCH("WHISK",C1266)),"Whiskey",
 ISNUMBER(SEARCH("BOURBON",C1266)),"Whiskey",
 ISNUMBER(SEARCH("SCOTCH",C1266)),"Whiskey",
 ISNUMBER(SEARCH("RYE",C1266)),"Whiskey",
 ISNUMBER(SEARCH("VODKA",C1266)),"Vodka",
 ISNUMBER(SEARCH("TEQUILA",C1266)),"Tequila/Mezcal",
 ISNUMBER(SEARCH("MEZCAL",C1266)),"Tequila/Mezcal",
 ISNUMBER(SEARCH("RUM",C1266)),"Rum",
 ISNUMBER(SEARCH("BRAND",C1266)),"Brandy",
 ISNUMBER(SEARCH("COGNAC",C1266)),"Brandy",
 ISNUMBER(SEARCH("LIQUEUR",C1266)),"Liqueurs",
 ISNUMBER(SEARCH("CORDIAL",C1266)),"Liqueurs",
 ISNUMBER(SEARCH("SCHNAPP",C1266)),"Liqueurs",
 ISNUMBER(SEARCH("GIN",C1266)),"Gin",
 TRUE,"Other")</f>
        <v>Liqueurs</v>
      </c>
      <c r="E1266" s="5">
        <v>70801</v>
      </c>
      <c r="F1266" s="5">
        <v>567630.53000000305</v>
      </c>
      <c r="G1266" s="5"/>
      <c r="H1266" s="5">
        <v>7162</v>
      </c>
    </row>
    <row r="1267" spans="1:8">
      <c r="A1267" s="5">
        <v>2022</v>
      </c>
      <c r="B1267" s="6">
        <v>44774</v>
      </c>
      <c r="C1267" s="5" t="s">
        <v>15</v>
      </c>
      <c r="D1267" s="3" t="str" cm="1">
        <f t="array" ref="D1267">_xlfn.IFS(
 ISNUMBER(SEARCH("WHISK",C1267)),"Whiskey",
 ISNUMBER(SEARCH("BOURBON",C1267)),"Whiskey",
 ISNUMBER(SEARCH("SCOTCH",C1267)),"Whiskey",
 ISNUMBER(SEARCH("RYE",C1267)),"Whiskey",
 ISNUMBER(SEARCH("VODKA",C1267)),"Vodka",
 ISNUMBER(SEARCH("TEQUILA",C1267)),"Tequila/Mezcal",
 ISNUMBER(SEARCH("MEZCAL",C1267)),"Tequila/Mezcal",
 ISNUMBER(SEARCH("RUM",C1267)),"Rum",
 ISNUMBER(SEARCH("BRAND",C1267)),"Brandy",
 ISNUMBER(SEARCH("COGNAC",C1267)),"Brandy",
 ISNUMBER(SEARCH("LIQUEUR",C1267)),"Liqueurs",
 ISNUMBER(SEARCH("CORDIAL",C1267)),"Liqueurs",
 ISNUMBER(SEARCH("SCHNAPP",C1267)),"Liqueurs",
 ISNUMBER(SEARCH("GIN",C1267)),"Gin",
 TRUE,"Other")</f>
        <v>Vodka</v>
      </c>
      <c r="E1267" s="5">
        <v>632688</v>
      </c>
      <c r="F1267" s="5">
        <v>6971393.6999990363</v>
      </c>
      <c r="G1267" s="5"/>
      <c r="H1267" s="5">
        <v>37389</v>
      </c>
    </row>
    <row r="1268" spans="1:8">
      <c r="A1268" s="5">
        <v>2022</v>
      </c>
      <c r="B1268" s="6">
        <v>44774</v>
      </c>
      <c r="C1268" s="5" t="s">
        <v>16</v>
      </c>
      <c r="D1268" s="3" t="str" cm="1">
        <f t="array" ref="D1268">_xlfn.IFS(
 ISNUMBER(SEARCH("WHISK",C1268)),"Whiskey",
 ISNUMBER(SEARCH("BOURBON",C1268)),"Whiskey",
 ISNUMBER(SEARCH("SCOTCH",C1268)),"Whiskey",
 ISNUMBER(SEARCH("RYE",C1268)),"Whiskey",
 ISNUMBER(SEARCH("VODKA",C1268)),"Vodka",
 ISNUMBER(SEARCH("TEQUILA",C1268)),"Tequila/Mezcal",
 ISNUMBER(SEARCH("MEZCAL",C1268)),"Tequila/Mezcal",
 ISNUMBER(SEARCH("RUM",C1268)),"Rum",
 ISNUMBER(SEARCH("BRAND",C1268)),"Brandy",
 ISNUMBER(SEARCH("COGNAC",C1268)),"Brandy",
 ISNUMBER(SEARCH("LIQUEUR",C1268)),"Liqueurs",
 ISNUMBER(SEARCH("CORDIAL",C1268)),"Liqueurs",
 ISNUMBER(SEARCH("SCHNAPP",C1268)),"Liqueurs",
 ISNUMBER(SEARCH("GIN",C1268)),"Gin",
 TRUE,"Other")</f>
        <v>Whiskey</v>
      </c>
      <c r="E1268" s="5">
        <v>83559</v>
      </c>
      <c r="F1268" s="5">
        <v>1143057.7099999997</v>
      </c>
      <c r="G1268" s="5"/>
      <c r="H1268" s="5">
        <v>8931</v>
      </c>
    </row>
    <row r="1269" spans="1:8">
      <c r="A1269" s="5">
        <v>2022</v>
      </c>
      <c r="B1269" s="6">
        <v>44774</v>
      </c>
      <c r="C1269" s="5" t="s">
        <v>17</v>
      </c>
      <c r="D1269" s="3" t="str" cm="1">
        <f t="array" ref="D1269">_xlfn.IFS(
 ISNUMBER(SEARCH("WHISK",C1269)),"Whiskey",
 ISNUMBER(SEARCH("BOURBON",C1269)),"Whiskey",
 ISNUMBER(SEARCH("SCOTCH",C1269)),"Whiskey",
 ISNUMBER(SEARCH("RYE",C1269)),"Whiskey",
 ISNUMBER(SEARCH("VODKA",C1269)),"Vodka",
 ISNUMBER(SEARCH("TEQUILA",C1269)),"Tequila/Mezcal",
 ISNUMBER(SEARCH("MEZCAL",C1269)),"Tequila/Mezcal",
 ISNUMBER(SEARCH("RUM",C1269)),"Rum",
 ISNUMBER(SEARCH("BRAND",C1269)),"Brandy",
 ISNUMBER(SEARCH("COGNAC",C1269)),"Brandy",
 ISNUMBER(SEARCH("LIQUEUR",C1269)),"Liqueurs",
 ISNUMBER(SEARCH("CORDIAL",C1269)),"Liqueurs",
 ISNUMBER(SEARCH("SCHNAPP",C1269)),"Liqueurs",
 ISNUMBER(SEARCH("GIN",C1269)),"Gin",
 TRUE,"Other")</f>
        <v>Whiskey</v>
      </c>
      <c r="E1269" s="5">
        <v>3064</v>
      </c>
      <c r="F1269" s="5">
        <v>91339.000000000015</v>
      </c>
      <c r="G1269" s="5"/>
      <c r="H1269" s="5">
        <v>775</v>
      </c>
    </row>
    <row r="1270" spans="1:8">
      <c r="A1270" s="5">
        <v>2022</v>
      </c>
      <c r="B1270" s="6">
        <v>44774</v>
      </c>
      <c r="C1270" s="5" t="s">
        <v>18</v>
      </c>
      <c r="D1270" s="3" t="str" cm="1">
        <f t="array" ref="D1270">_xlfn.IFS(
 ISNUMBER(SEARCH("WHISK",C1270)),"Whiskey",
 ISNUMBER(SEARCH("BOURBON",C1270)),"Whiskey",
 ISNUMBER(SEARCH("SCOTCH",C1270)),"Whiskey",
 ISNUMBER(SEARCH("RYE",C1270)),"Whiskey",
 ISNUMBER(SEARCH("VODKA",C1270)),"Vodka",
 ISNUMBER(SEARCH("TEQUILA",C1270)),"Tequila/Mezcal",
 ISNUMBER(SEARCH("MEZCAL",C1270)),"Tequila/Mezcal",
 ISNUMBER(SEARCH("RUM",C1270)),"Rum",
 ISNUMBER(SEARCH("BRAND",C1270)),"Brandy",
 ISNUMBER(SEARCH("COGNAC",C1270)),"Brandy",
 ISNUMBER(SEARCH("LIQUEUR",C1270)),"Liqueurs",
 ISNUMBER(SEARCH("CORDIAL",C1270)),"Liqueurs",
 ISNUMBER(SEARCH("SCHNAPP",C1270)),"Liqueurs",
 ISNUMBER(SEARCH("GIN",C1270)),"Gin",
 TRUE,"Other")</f>
        <v>Whiskey</v>
      </c>
      <c r="E1270" s="5">
        <v>239038</v>
      </c>
      <c r="F1270" s="5">
        <v>3703341.279999976</v>
      </c>
      <c r="G1270" s="5"/>
      <c r="H1270" s="5">
        <v>20387</v>
      </c>
    </row>
    <row r="1271" spans="1:8">
      <c r="A1271" s="5">
        <v>2022</v>
      </c>
      <c r="B1271" s="6">
        <v>44774</v>
      </c>
      <c r="C1271" s="5" t="s">
        <v>19</v>
      </c>
      <c r="D1271" s="3" t="str" cm="1">
        <f t="array" ref="D1271">_xlfn.IFS(
 ISNUMBER(SEARCH("WHISK",C1271)),"Whiskey",
 ISNUMBER(SEARCH("BOURBON",C1271)),"Whiskey",
 ISNUMBER(SEARCH("SCOTCH",C1271)),"Whiskey",
 ISNUMBER(SEARCH("RYE",C1271)),"Whiskey",
 ISNUMBER(SEARCH("VODKA",C1271)),"Vodka",
 ISNUMBER(SEARCH("TEQUILA",C1271)),"Tequila/Mezcal",
 ISNUMBER(SEARCH("MEZCAL",C1271)),"Tequila/Mezcal",
 ISNUMBER(SEARCH("RUM",C1271)),"Rum",
 ISNUMBER(SEARCH("BRAND",C1271)),"Brandy",
 ISNUMBER(SEARCH("COGNAC",C1271)),"Brandy",
 ISNUMBER(SEARCH("LIQUEUR",C1271)),"Liqueurs",
 ISNUMBER(SEARCH("CORDIAL",C1271)),"Liqueurs",
 ISNUMBER(SEARCH("SCHNAPP",C1271)),"Liqueurs",
 ISNUMBER(SEARCH("GIN",C1271)),"Gin",
 TRUE,"Other")</f>
        <v>Other</v>
      </c>
      <c r="E1271" s="5">
        <v>55088</v>
      </c>
      <c r="F1271" s="5">
        <v>665030.68999998982</v>
      </c>
      <c r="G1271" s="5"/>
      <c r="H1271" s="5">
        <v>7138</v>
      </c>
    </row>
    <row r="1272" spans="1:8">
      <c r="A1272" s="5">
        <v>2022</v>
      </c>
      <c r="B1272" s="6">
        <v>44774</v>
      </c>
      <c r="C1272" s="5" t="s">
        <v>60</v>
      </c>
      <c r="D1272" s="3" t="str" cm="1">
        <f t="array" ref="D1272">_xlfn.IFS(
 ISNUMBER(SEARCH("WHISK",C1272)),"Whiskey",
 ISNUMBER(SEARCH("BOURBON",C1272)),"Whiskey",
 ISNUMBER(SEARCH("SCOTCH",C1272)),"Whiskey",
 ISNUMBER(SEARCH("RYE",C1272)),"Whiskey",
 ISNUMBER(SEARCH("VODKA",C1272)),"Vodka",
 ISNUMBER(SEARCH("TEQUILA",C1272)),"Tequila/Mezcal",
 ISNUMBER(SEARCH("MEZCAL",C1272)),"Tequila/Mezcal",
 ISNUMBER(SEARCH("RUM",C1272)),"Rum",
 ISNUMBER(SEARCH("BRAND",C1272)),"Brandy",
 ISNUMBER(SEARCH("COGNAC",C1272)),"Brandy",
 ISNUMBER(SEARCH("LIQUEUR",C1272)),"Liqueurs",
 ISNUMBER(SEARCH("CORDIAL",C1272)),"Liqueurs",
 ISNUMBER(SEARCH("SCHNAPP",C1272)),"Liqueurs",
 ISNUMBER(SEARCH("GIN",C1272)),"Gin",
 TRUE,"Other")</f>
        <v>Liqueurs</v>
      </c>
      <c r="E1272" s="5">
        <v>44491</v>
      </c>
      <c r="F1272" s="5">
        <v>1029161.220000006</v>
      </c>
      <c r="G1272" s="5"/>
      <c r="H1272" s="5">
        <v>4883</v>
      </c>
    </row>
    <row r="1273" spans="1:8">
      <c r="A1273" s="5">
        <v>2022</v>
      </c>
      <c r="B1273" s="6">
        <v>44774</v>
      </c>
      <c r="C1273" s="5" t="s">
        <v>29</v>
      </c>
      <c r="D1273" s="3" t="str" cm="1">
        <f t="array" ref="D1273">_xlfn.IFS(
 ISNUMBER(SEARCH("WHISK",C1273)),"Whiskey",
 ISNUMBER(SEARCH("BOURBON",C1273)),"Whiskey",
 ISNUMBER(SEARCH("SCOTCH",C1273)),"Whiskey",
 ISNUMBER(SEARCH("RYE",C1273)),"Whiskey",
 ISNUMBER(SEARCH("VODKA",C1273)),"Vodka",
 ISNUMBER(SEARCH("TEQUILA",C1273)),"Tequila/Mezcal",
 ISNUMBER(SEARCH("MEZCAL",C1273)),"Tequila/Mezcal",
 ISNUMBER(SEARCH("RUM",C1273)),"Rum",
 ISNUMBER(SEARCH("BRAND",C1273)),"Brandy",
 ISNUMBER(SEARCH("COGNAC",C1273)),"Brandy",
 ISNUMBER(SEARCH("LIQUEUR",C1273)),"Liqueurs",
 ISNUMBER(SEARCH("CORDIAL",C1273)),"Liqueurs",
 ISNUMBER(SEARCH("SCHNAPP",C1273)),"Liqueurs",
 ISNUMBER(SEARCH("GIN",C1273)),"Gin",
 TRUE,"Other")</f>
        <v>Gin</v>
      </c>
      <c r="E1273" s="5">
        <v>23296</v>
      </c>
      <c r="F1273" s="5">
        <v>585312.63999999699</v>
      </c>
      <c r="G1273" s="5"/>
      <c r="H1273" s="5">
        <v>2535</v>
      </c>
    </row>
    <row r="1274" spans="1:8">
      <c r="A1274" s="5">
        <v>2022</v>
      </c>
      <c r="B1274" s="6">
        <v>44774</v>
      </c>
      <c r="C1274" s="5" t="s">
        <v>31</v>
      </c>
      <c r="D1274" s="3" t="str" cm="1">
        <f t="array" ref="D1274">_xlfn.IFS(
 ISNUMBER(SEARCH("WHISK",C1274)),"Whiskey",
 ISNUMBER(SEARCH("BOURBON",C1274)),"Whiskey",
 ISNUMBER(SEARCH("SCOTCH",C1274)),"Whiskey",
 ISNUMBER(SEARCH("RYE",C1274)),"Whiskey",
 ISNUMBER(SEARCH("VODKA",C1274)),"Vodka",
 ISNUMBER(SEARCH("TEQUILA",C1274)),"Tequila/Mezcal",
 ISNUMBER(SEARCH("MEZCAL",C1274)),"Tequila/Mezcal",
 ISNUMBER(SEARCH("RUM",C1274)),"Rum",
 ISNUMBER(SEARCH("BRAND",C1274)),"Brandy",
 ISNUMBER(SEARCH("COGNAC",C1274)),"Brandy",
 ISNUMBER(SEARCH("LIQUEUR",C1274)),"Liqueurs",
 ISNUMBER(SEARCH("CORDIAL",C1274)),"Liqueurs",
 ISNUMBER(SEARCH("SCHNAPP",C1274)),"Liqueurs",
 ISNUMBER(SEARCH("GIN",C1274)),"Gin",
 TRUE,"Other")</f>
        <v>Liqueurs</v>
      </c>
      <c r="E1274" s="5">
        <v>34031</v>
      </c>
      <c r="F1274" s="5">
        <v>582799.21999999683</v>
      </c>
      <c r="G1274" s="5"/>
      <c r="H1274" s="5">
        <v>3366</v>
      </c>
    </row>
    <row r="1275" spans="1:8">
      <c r="A1275" s="5">
        <v>2022</v>
      </c>
      <c r="B1275" s="6">
        <v>44774</v>
      </c>
      <c r="C1275" s="5" t="s">
        <v>32</v>
      </c>
      <c r="D1275" s="3" t="str" cm="1">
        <f t="array" ref="D1275">_xlfn.IFS(
 ISNUMBER(SEARCH("WHISK",C1275)),"Whiskey",
 ISNUMBER(SEARCH("BOURBON",C1275)),"Whiskey",
 ISNUMBER(SEARCH("SCOTCH",C1275)),"Whiskey",
 ISNUMBER(SEARCH("RYE",C1275)),"Whiskey",
 ISNUMBER(SEARCH("VODKA",C1275)),"Vodka",
 ISNUMBER(SEARCH("TEQUILA",C1275)),"Tequila/Mezcal",
 ISNUMBER(SEARCH("MEZCAL",C1275)),"Tequila/Mezcal",
 ISNUMBER(SEARCH("RUM",C1275)),"Rum",
 ISNUMBER(SEARCH("BRAND",C1275)),"Brandy",
 ISNUMBER(SEARCH("COGNAC",C1275)),"Brandy",
 ISNUMBER(SEARCH("LIQUEUR",C1275)),"Liqueurs",
 ISNUMBER(SEARCH("CORDIAL",C1275)),"Liqueurs",
 ISNUMBER(SEARCH("SCHNAPP",C1275)),"Liqueurs",
 ISNUMBER(SEARCH("GIN",C1275)),"Gin",
 TRUE,"Other")</f>
        <v>Vodka</v>
      </c>
      <c r="E1275" s="5">
        <v>68177</v>
      </c>
      <c r="F1275" s="5">
        <v>1170821.4499999597</v>
      </c>
      <c r="G1275" s="5"/>
      <c r="H1275" s="5">
        <v>5779</v>
      </c>
    </row>
    <row r="1276" spans="1:8">
      <c r="A1276" s="5">
        <v>2022</v>
      </c>
      <c r="B1276" s="6">
        <v>44774</v>
      </c>
      <c r="C1276" s="5" t="s">
        <v>33</v>
      </c>
      <c r="D1276" s="3" t="str" cm="1">
        <f t="array" ref="D1276">_xlfn.IFS(
 ISNUMBER(SEARCH("WHISK",C1276)),"Whiskey",
 ISNUMBER(SEARCH("BOURBON",C1276)),"Whiskey",
 ISNUMBER(SEARCH("SCOTCH",C1276)),"Whiskey",
 ISNUMBER(SEARCH("RYE",C1276)),"Whiskey",
 ISNUMBER(SEARCH("VODKA",C1276)),"Vodka",
 ISNUMBER(SEARCH("TEQUILA",C1276)),"Tequila/Mezcal",
 ISNUMBER(SEARCH("MEZCAL",C1276)),"Tequila/Mezcal",
 ISNUMBER(SEARCH("RUM",C1276)),"Rum",
 ISNUMBER(SEARCH("BRAND",C1276)),"Brandy",
 ISNUMBER(SEARCH("COGNAC",C1276)),"Brandy",
 ISNUMBER(SEARCH("LIQUEUR",C1276)),"Liqueurs",
 ISNUMBER(SEARCH("CORDIAL",C1276)),"Liqueurs",
 ISNUMBER(SEARCH("SCHNAPP",C1276)),"Liqueurs",
 ISNUMBER(SEARCH("GIN",C1276)),"Gin",
 TRUE,"Other")</f>
        <v>Whiskey</v>
      </c>
      <c r="E1276" s="5">
        <v>31534</v>
      </c>
      <c r="F1276" s="5">
        <v>876003.77999998885</v>
      </c>
      <c r="G1276" s="5"/>
      <c r="H1276" s="5">
        <v>2866</v>
      </c>
    </row>
    <row r="1277" spans="1:8">
      <c r="A1277" s="5">
        <v>2022</v>
      </c>
      <c r="B1277" s="6">
        <v>44774</v>
      </c>
      <c r="C1277" s="5" t="s">
        <v>38</v>
      </c>
      <c r="D1277" s="3" t="str" cm="1">
        <f t="array" ref="D1277">_xlfn.IFS(
 ISNUMBER(SEARCH("WHISK",C1277)),"Whiskey",
 ISNUMBER(SEARCH("BOURBON",C1277)),"Whiskey",
 ISNUMBER(SEARCH("SCOTCH",C1277)),"Whiskey",
 ISNUMBER(SEARCH("RYE",C1277)),"Whiskey",
 ISNUMBER(SEARCH("VODKA",C1277)),"Vodka",
 ISNUMBER(SEARCH("TEQUILA",C1277)),"Tequila/Mezcal",
 ISNUMBER(SEARCH("MEZCAL",C1277)),"Tequila/Mezcal",
 ISNUMBER(SEARCH("RUM",C1277)),"Rum",
 ISNUMBER(SEARCH("BRAND",C1277)),"Brandy",
 ISNUMBER(SEARCH("COGNAC",C1277)),"Brandy",
 ISNUMBER(SEARCH("LIQUEUR",C1277)),"Liqueurs",
 ISNUMBER(SEARCH("CORDIAL",C1277)),"Liqueurs",
 ISNUMBER(SEARCH("SCHNAPP",C1277)),"Liqueurs",
 ISNUMBER(SEARCH("GIN",C1277)),"Gin",
 TRUE,"Other")</f>
        <v>Whiskey</v>
      </c>
      <c r="E1277" s="5">
        <v>17586</v>
      </c>
      <c r="F1277" s="5">
        <v>468528.63999999751</v>
      </c>
      <c r="G1277" s="5"/>
      <c r="H1277" s="5">
        <v>2832</v>
      </c>
    </row>
    <row r="1278" spans="1:8">
      <c r="A1278" s="5">
        <v>2022</v>
      </c>
      <c r="B1278" s="6">
        <v>44774</v>
      </c>
      <c r="C1278" s="5" t="s">
        <v>42</v>
      </c>
      <c r="D1278" s="3" t="str" cm="1">
        <f t="array" ref="D1278">_xlfn.IFS(
 ISNUMBER(SEARCH("WHISK",C1278)),"Whiskey",
 ISNUMBER(SEARCH("BOURBON",C1278)),"Whiskey",
 ISNUMBER(SEARCH("SCOTCH",C1278)),"Whiskey",
 ISNUMBER(SEARCH("RYE",C1278)),"Whiskey",
 ISNUMBER(SEARCH("VODKA",C1278)),"Vodka",
 ISNUMBER(SEARCH("TEQUILA",C1278)),"Tequila/Mezcal",
 ISNUMBER(SEARCH("MEZCAL",C1278)),"Tequila/Mezcal",
 ISNUMBER(SEARCH("RUM",C1278)),"Rum",
 ISNUMBER(SEARCH("BRAND",C1278)),"Brandy",
 ISNUMBER(SEARCH("COGNAC",C1278)),"Brandy",
 ISNUMBER(SEARCH("LIQUEUR",C1278)),"Liqueurs",
 ISNUMBER(SEARCH("CORDIAL",C1278)),"Liqueurs",
 ISNUMBER(SEARCH("SCHNAPP",C1278)),"Liqueurs",
 ISNUMBER(SEARCH("GIN",C1278)),"Gin",
 TRUE,"Other")</f>
        <v>Rum</v>
      </c>
      <c r="E1278" s="5">
        <v>113621</v>
      </c>
      <c r="F1278" s="5">
        <v>1620430.9699999543</v>
      </c>
      <c r="G1278" s="5"/>
      <c r="H1278" s="5">
        <v>9494</v>
      </c>
    </row>
    <row r="1279" spans="1:8">
      <c r="A1279" s="5">
        <v>2022</v>
      </c>
      <c r="B1279" s="6">
        <v>44774</v>
      </c>
      <c r="C1279" s="5" t="s">
        <v>43</v>
      </c>
      <c r="D1279" s="3" t="str" cm="1">
        <f t="array" ref="D1279">_xlfn.IFS(
 ISNUMBER(SEARCH("WHISK",C1279)),"Whiskey",
 ISNUMBER(SEARCH("BOURBON",C1279)),"Whiskey",
 ISNUMBER(SEARCH("SCOTCH",C1279)),"Whiskey",
 ISNUMBER(SEARCH("RYE",C1279)),"Whiskey",
 ISNUMBER(SEARCH("VODKA",C1279)),"Vodka",
 ISNUMBER(SEARCH("TEQUILA",C1279)),"Tequila/Mezcal",
 ISNUMBER(SEARCH("MEZCAL",C1279)),"Tequila/Mezcal",
 ISNUMBER(SEARCH("RUM",C1279)),"Rum",
 ISNUMBER(SEARCH("BRAND",C1279)),"Brandy",
 ISNUMBER(SEARCH("COGNAC",C1279)),"Brandy",
 ISNUMBER(SEARCH("LIQUEUR",C1279)),"Liqueurs",
 ISNUMBER(SEARCH("CORDIAL",C1279)),"Liqueurs",
 ISNUMBER(SEARCH("SCHNAPP",C1279)),"Liqueurs",
 ISNUMBER(SEARCH("GIN",C1279)),"Gin",
 TRUE,"Other")</f>
        <v>Whiskey</v>
      </c>
      <c r="E1279" s="5">
        <v>155430</v>
      </c>
      <c r="F1279" s="5">
        <v>3515085.799999956</v>
      </c>
      <c r="G1279" s="5"/>
      <c r="H1279" s="5">
        <v>16907</v>
      </c>
    </row>
    <row r="1280" spans="1:8">
      <c r="A1280" s="5">
        <v>2022</v>
      </c>
      <c r="B1280" s="6">
        <v>44774</v>
      </c>
      <c r="C1280" s="5" t="s">
        <v>44</v>
      </c>
      <c r="D1280" s="3" t="str" cm="1">
        <f t="array" ref="D1280">_xlfn.IFS(
 ISNUMBER(SEARCH("WHISK",C1280)),"Whiskey",
 ISNUMBER(SEARCH("BOURBON",C1280)),"Whiskey",
 ISNUMBER(SEARCH("SCOTCH",C1280)),"Whiskey",
 ISNUMBER(SEARCH("RYE",C1280)),"Whiskey",
 ISNUMBER(SEARCH("VODKA",C1280)),"Vodka",
 ISNUMBER(SEARCH("TEQUILA",C1280)),"Tequila/Mezcal",
 ISNUMBER(SEARCH("MEZCAL",C1280)),"Tequila/Mezcal",
 ISNUMBER(SEARCH("RUM",C1280)),"Rum",
 ISNUMBER(SEARCH("BRAND",C1280)),"Brandy",
 ISNUMBER(SEARCH("COGNAC",C1280)),"Brandy",
 ISNUMBER(SEARCH("LIQUEUR",C1280)),"Liqueurs",
 ISNUMBER(SEARCH("CORDIAL",C1280)),"Liqueurs",
 ISNUMBER(SEARCH("SCHNAPP",C1280)),"Liqueurs",
 ISNUMBER(SEARCH("GIN",C1280)),"Gin",
 TRUE,"Other")</f>
        <v>Whiskey</v>
      </c>
      <c r="E1280" s="5">
        <v>15489</v>
      </c>
      <c r="F1280" s="5">
        <v>519963.12000000721</v>
      </c>
      <c r="G1280" s="5"/>
      <c r="H1280" s="5">
        <v>1995</v>
      </c>
    </row>
    <row r="1281" spans="1:8">
      <c r="A1281" s="5">
        <v>2022</v>
      </c>
      <c r="B1281" s="6">
        <v>44774</v>
      </c>
      <c r="C1281" s="5" t="s">
        <v>45</v>
      </c>
      <c r="D1281" s="3" t="str" cm="1">
        <f t="array" ref="D1281">_xlfn.IFS(
 ISNUMBER(SEARCH("WHISK",C1281)),"Whiskey",
 ISNUMBER(SEARCH("BOURBON",C1281)),"Whiskey",
 ISNUMBER(SEARCH("SCOTCH",C1281)),"Whiskey",
 ISNUMBER(SEARCH("RYE",C1281)),"Whiskey",
 ISNUMBER(SEARCH("VODKA",C1281)),"Vodka",
 ISNUMBER(SEARCH("TEQUILA",C1281)),"Tequila/Mezcal",
 ISNUMBER(SEARCH("MEZCAL",C1281)),"Tequila/Mezcal",
 ISNUMBER(SEARCH("RUM",C1281)),"Rum",
 ISNUMBER(SEARCH("BRAND",C1281)),"Brandy",
 ISNUMBER(SEARCH("COGNAC",C1281)),"Brandy",
 ISNUMBER(SEARCH("LIQUEUR",C1281)),"Liqueurs",
 ISNUMBER(SEARCH("CORDIAL",C1281)),"Liqueurs",
 ISNUMBER(SEARCH("SCHNAPP",C1281)),"Liqueurs",
 ISNUMBER(SEARCH("GIN",C1281)),"Gin",
 TRUE,"Other")</f>
        <v>Other</v>
      </c>
      <c r="E1281" s="5">
        <v>51152</v>
      </c>
      <c r="F1281" s="5">
        <v>1433239.5599999472</v>
      </c>
      <c r="G1281" s="5"/>
      <c r="H1281" s="5">
        <v>6872</v>
      </c>
    </row>
    <row r="1282" spans="1:8">
      <c r="A1282" s="5">
        <v>2022</v>
      </c>
      <c r="B1282" s="6">
        <v>44774</v>
      </c>
      <c r="C1282" s="5" t="s">
        <v>46</v>
      </c>
      <c r="D1282" s="3" t="str" cm="1">
        <f t="array" ref="D1282">_xlfn.IFS(
 ISNUMBER(SEARCH("WHISK",C1282)),"Whiskey",
 ISNUMBER(SEARCH("BOURBON",C1282)),"Whiskey",
 ISNUMBER(SEARCH("SCOTCH",C1282)),"Whiskey",
 ISNUMBER(SEARCH("RYE",C1282)),"Whiskey",
 ISNUMBER(SEARCH("VODKA",C1282)),"Vodka",
 ISNUMBER(SEARCH("TEQUILA",C1282)),"Tequila/Mezcal",
 ISNUMBER(SEARCH("MEZCAL",C1282)),"Tequila/Mezcal",
 ISNUMBER(SEARCH("RUM",C1282)),"Rum",
 ISNUMBER(SEARCH("BRAND",C1282)),"Brandy",
 ISNUMBER(SEARCH("COGNAC",C1282)),"Brandy",
 ISNUMBER(SEARCH("LIQUEUR",C1282)),"Liqueurs",
 ISNUMBER(SEARCH("CORDIAL",C1282)),"Liqueurs",
 ISNUMBER(SEARCH("SCHNAPP",C1282)),"Liqueurs",
 ISNUMBER(SEARCH("GIN",C1282)),"Gin",
 TRUE,"Other")</f>
        <v>Whiskey</v>
      </c>
      <c r="E1282" s="5">
        <v>70651</v>
      </c>
      <c r="F1282" s="5">
        <v>1691812.6599999671</v>
      </c>
      <c r="G1282" s="5"/>
      <c r="H1282" s="5">
        <v>6350</v>
      </c>
    </row>
    <row r="1283" spans="1:8">
      <c r="A1283" s="5">
        <v>2022</v>
      </c>
      <c r="B1283" s="6">
        <v>44774</v>
      </c>
      <c r="C1283" s="5" t="s">
        <v>48</v>
      </c>
      <c r="D1283" s="3" t="str" cm="1">
        <f t="array" ref="D1283">_xlfn.IFS(
 ISNUMBER(SEARCH("WHISK",C1283)),"Whiskey",
 ISNUMBER(SEARCH("BOURBON",C1283)),"Whiskey",
 ISNUMBER(SEARCH("SCOTCH",C1283)),"Whiskey",
 ISNUMBER(SEARCH("RYE",C1283)),"Whiskey",
 ISNUMBER(SEARCH("VODKA",C1283)),"Vodka",
 ISNUMBER(SEARCH("TEQUILA",C1283)),"Tequila/Mezcal",
 ISNUMBER(SEARCH("MEZCAL",C1283)),"Tequila/Mezcal",
 ISNUMBER(SEARCH("RUM",C1283)),"Rum",
 ISNUMBER(SEARCH("BRAND",C1283)),"Brandy",
 ISNUMBER(SEARCH("COGNAC",C1283)),"Brandy",
 ISNUMBER(SEARCH("LIQUEUR",C1283)),"Liqueurs",
 ISNUMBER(SEARCH("CORDIAL",C1283)),"Liqueurs",
 ISNUMBER(SEARCH("SCHNAPP",C1283)),"Liqueurs",
 ISNUMBER(SEARCH("GIN",C1283)),"Gin",
 TRUE,"Other")</f>
        <v>Whiskey</v>
      </c>
      <c r="E1283" s="5">
        <v>378563</v>
      </c>
      <c r="F1283" s="5">
        <v>2300317.1099999673</v>
      </c>
      <c r="G1283" s="5"/>
      <c r="H1283" s="5">
        <v>13883</v>
      </c>
    </row>
    <row r="1284" spans="1:8">
      <c r="A1284" s="5">
        <v>2022</v>
      </c>
      <c r="B1284" s="6">
        <v>44774</v>
      </c>
      <c r="C1284" s="5" t="s">
        <v>49</v>
      </c>
      <c r="D1284" s="3" t="str" cm="1">
        <f t="array" ref="D1284">_xlfn.IFS(
 ISNUMBER(SEARCH("WHISK",C1284)),"Whiskey",
 ISNUMBER(SEARCH("BOURBON",C1284)),"Whiskey",
 ISNUMBER(SEARCH("SCOTCH",C1284)),"Whiskey",
 ISNUMBER(SEARCH("RYE",C1284)),"Whiskey",
 ISNUMBER(SEARCH("VODKA",C1284)),"Vodka",
 ISNUMBER(SEARCH("TEQUILA",C1284)),"Tequila/Mezcal",
 ISNUMBER(SEARCH("MEZCAL",C1284)),"Tequila/Mezcal",
 ISNUMBER(SEARCH("RUM",C1284)),"Rum",
 ISNUMBER(SEARCH("BRAND",C1284)),"Brandy",
 ISNUMBER(SEARCH("COGNAC",C1284)),"Brandy",
 ISNUMBER(SEARCH("LIQUEUR",C1284)),"Liqueurs",
 ISNUMBER(SEARCH("CORDIAL",C1284)),"Liqueurs",
 ISNUMBER(SEARCH("SCHNAPP",C1284)),"Liqueurs",
 ISNUMBER(SEARCH("GIN",C1284)),"Gin",
 TRUE,"Other")</f>
        <v>Rum</v>
      </c>
      <c r="E1284" s="5">
        <v>55148</v>
      </c>
      <c r="F1284" s="5">
        <v>653166.90000000736</v>
      </c>
      <c r="G1284" s="5"/>
      <c r="H1284" s="5">
        <v>4565</v>
      </c>
    </row>
    <row r="1285" spans="1:8">
      <c r="A1285" s="5">
        <v>2022</v>
      </c>
      <c r="B1285" s="6">
        <v>44774</v>
      </c>
      <c r="C1285" s="5" t="s">
        <v>24</v>
      </c>
      <c r="D1285" s="3" t="str" cm="1">
        <f t="array" ref="D1285">_xlfn.IFS(
 ISNUMBER(SEARCH("WHISK",C1285)),"Whiskey",
 ISNUMBER(SEARCH("BOURBON",C1285)),"Whiskey",
 ISNUMBER(SEARCH("SCOTCH",C1285)),"Whiskey",
 ISNUMBER(SEARCH("RYE",C1285)),"Whiskey",
 ISNUMBER(SEARCH("VODKA",C1285)),"Vodka",
 ISNUMBER(SEARCH("TEQUILA",C1285)),"Tequila/Mezcal",
 ISNUMBER(SEARCH("MEZCAL",C1285)),"Tequila/Mezcal",
 ISNUMBER(SEARCH("RUM",C1285)),"Rum",
 ISNUMBER(SEARCH("BRAND",C1285)),"Brandy",
 ISNUMBER(SEARCH("COGNAC",C1285)),"Brandy",
 ISNUMBER(SEARCH("LIQUEUR",C1285)),"Liqueurs",
 ISNUMBER(SEARCH("CORDIAL",C1285)),"Liqueurs",
 ISNUMBER(SEARCH("SCHNAPP",C1285)),"Liqueurs",
 ISNUMBER(SEARCH("GIN",C1285)),"Gin",
 TRUE,"Other")</f>
        <v>Rum</v>
      </c>
      <c r="E1285" s="5">
        <v>65389</v>
      </c>
      <c r="F1285" s="5">
        <v>977898.91999999434</v>
      </c>
      <c r="G1285" s="5"/>
      <c r="H1285" s="5">
        <v>5689</v>
      </c>
    </row>
    <row r="1286" spans="1:8">
      <c r="A1286" s="5">
        <v>2022</v>
      </c>
      <c r="B1286" s="6">
        <v>44774</v>
      </c>
      <c r="C1286" s="5" t="s">
        <v>35</v>
      </c>
      <c r="D1286" s="3" t="str" cm="1">
        <f t="array" ref="D1286">_xlfn.IFS(
 ISNUMBER(SEARCH("WHISK",C1286)),"Whiskey",
 ISNUMBER(SEARCH("BOURBON",C1286)),"Whiskey",
 ISNUMBER(SEARCH("SCOTCH",C1286)),"Whiskey",
 ISNUMBER(SEARCH("RYE",C1286)),"Whiskey",
 ISNUMBER(SEARCH("VODKA",C1286)),"Vodka",
 ISNUMBER(SEARCH("TEQUILA",C1286)),"Tequila/Mezcal",
 ISNUMBER(SEARCH("MEZCAL",C1286)),"Tequila/Mezcal",
 ISNUMBER(SEARCH("RUM",C1286)),"Rum",
 ISNUMBER(SEARCH("BRAND",C1286)),"Brandy",
 ISNUMBER(SEARCH("COGNAC",C1286)),"Brandy",
 ISNUMBER(SEARCH("LIQUEUR",C1286)),"Liqueurs",
 ISNUMBER(SEARCH("CORDIAL",C1286)),"Liqueurs",
 ISNUMBER(SEARCH("SCHNAPP",C1286)),"Liqueurs",
 ISNUMBER(SEARCH("GIN",C1286)),"Gin",
 TRUE,"Other")</f>
        <v>Tequila/Mezcal</v>
      </c>
      <c r="E1286" s="5">
        <v>79872</v>
      </c>
      <c r="F1286" s="5">
        <v>1114833.1400000115</v>
      </c>
      <c r="G1286" s="5"/>
      <c r="H1286" s="5">
        <v>5555</v>
      </c>
    </row>
    <row r="1287" spans="1:8">
      <c r="A1287" s="5">
        <v>2022</v>
      </c>
      <c r="B1287" s="6">
        <v>44774</v>
      </c>
      <c r="C1287" s="5" t="s">
        <v>37</v>
      </c>
      <c r="D1287" s="3" t="str" cm="1">
        <f t="array" ref="D1287">_xlfn.IFS(
 ISNUMBER(SEARCH("WHISK",C1287)),"Whiskey",
 ISNUMBER(SEARCH("BOURBON",C1287)),"Whiskey",
 ISNUMBER(SEARCH("SCOTCH",C1287)),"Whiskey",
 ISNUMBER(SEARCH("RYE",C1287)),"Whiskey",
 ISNUMBER(SEARCH("VODKA",C1287)),"Vodka",
 ISNUMBER(SEARCH("TEQUILA",C1287)),"Tequila/Mezcal",
 ISNUMBER(SEARCH("MEZCAL",C1287)),"Tequila/Mezcal",
 ISNUMBER(SEARCH("RUM",C1287)),"Rum",
 ISNUMBER(SEARCH("BRAND",C1287)),"Brandy",
 ISNUMBER(SEARCH("COGNAC",C1287)),"Brandy",
 ISNUMBER(SEARCH("LIQUEUR",C1287)),"Liqueurs",
 ISNUMBER(SEARCH("CORDIAL",C1287)),"Liqueurs",
 ISNUMBER(SEARCH("SCHNAPP",C1287)),"Liqueurs",
 ISNUMBER(SEARCH("GIN",C1287)),"Gin",
 TRUE,"Other")</f>
        <v>Other</v>
      </c>
      <c r="E1287" s="5">
        <v>17031</v>
      </c>
      <c r="F1287" s="5">
        <v>283064.86000000295</v>
      </c>
      <c r="G1287" s="5"/>
      <c r="H1287" s="5">
        <v>3558</v>
      </c>
    </row>
    <row r="1288" spans="1:8">
      <c r="A1288" s="5">
        <v>2022</v>
      </c>
      <c r="B1288" s="6">
        <v>44774</v>
      </c>
      <c r="C1288" s="5" t="s">
        <v>41</v>
      </c>
      <c r="D1288" s="3" t="str" cm="1">
        <f t="array" ref="D1288">_xlfn.IFS(
 ISNUMBER(SEARCH("WHISK",C1288)),"Whiskey",
 ISNUMBER(SEARCH("BOURBON",C1288)),"Whiskey",
 ISNUMBER(SEARCH("SCOTCH",C1288)),"Whiskey",
 ISNUMBER(SEARCH("RYE",C1288)),"Whiskey",
 ISNUMBER(SEARCH("VODKA",C1288)),"Vodka",
 ISNUMBER(SEARCH("TEQUILA",C1288)),"Tequila/Mezcal",
 ISNUMBER(SEARCH("MEZCAL",C1288)),"Tequila/Mezcal",
 ISNUMBER(SEARCH("RUM",C1288)),"Rum",
 ISNUMBER(SEARCH("BRAND",C1288)),"Brandy",
 ISNUMBER(SEARCH("COGNAC",C1288)),"Brandy",
 ISNUMBER(SEARCH("LIQUEUR",C1288)),"Liqueurs",
 ISNUMBER(SEARCH("CORDIAL",C1288)),"Liqueurs",
 ISNUMBER(SEARCH("SCHNAPP",C1288)),"Liqueurs",
 ISNUMBER(SEARCH("GIN",C1288)),"Gin",
 TRUE,"Other")</f>
        <v>Other</v>
      </c>
      <c r="E1288" s="5">
        <v>1538</v>
      </c>
      <c r="F1288" s="5">
        <v>39840.569999999971</v>
      </c>
      <c r="G1288" s="5"/>
      <c r="H1288" s="5">
        <v>170</v>
      </c>
    </row>
    <row r="1289" spans="1:8">
      <c r="A1289" s="5">
        <v>2022</v>
      </c>
      <c r="B1289" s="6">
        <v>44774</v>
      </c>
      <c r="C1289" s="5" t="s">
        <v>26</v>
      </c>
      <c r="D1289" s="3" t="str" cm="1">
        <f t="array" ref="D1289">_xlfn.IFS(
 ISNUMBER(SEARCH("WHISK",C1289)),"Whiskey",
 ISNUMBER(SEARCH("BOURBON",C1289)),"Whiskey",
 ISNUMBER(SEARCH("SCOTCH",C1289)),"Whiskey",
 ISNUMBER(SEARCH("RYE",C1289)),"Whiskey",
 ISNUMBER(SEARCH("VODKA",C1289)),"Vodka",
 ISNUMBER(SEARCH("TEQUILA",C1289)),"Tequila/Mezcal",
 ISNUMBER(SEARCH("MEZCAL",C1289)),"Tequila/Mezcal",
 ISNUMBER(SEARCH("RUM",C1289)),"Rum",
 ISNUMBER(SEARCH("BRAND",C1289)),"Brandy",
 ISNUMBER(SEARCH("COGNAC",C1289)),"Brandy",
 ISNUMBER(SEARCH("LIQUEUR",C1289)),"Liqueurs",
 ISNUMBER(SEARCH("CORDIAL",C1289)),"Liqueurs",
 ISNUMBER(SEARCH("SCHNAPP",C1289)),"Liqueurs",
 ISNUMBER(SEARCH("GIN",C1289)),"Gin",
 TRUE,"Other")</f>
        <v>Brandy</v>
      </c>
      <c r="E1289" s="5">
        <v>75662</v>
      </c>
      <c r="F1289" s="5">
        <v>1696956.2799999185</v>
      </c>
      <c r="G1289" s="5"/>
      <c r="H1289" s="5">
        <v>5340</v>
      </c>
    </row>
    <row r="1290" spans="1:8">
      <c r="A1290" s="5">
        <v>2022</v>
      </c>
      <c r="B1290" s="6">
        <v>44774</v>
      </c>
      <c r="C1290" s="5" t="s">
        <v>30</v>
      </c>
      <c r="D1290" s="3" t="str" cm="1">
        <f t="array" ref="D1290">_xlfn.IFS(
 ISNUMBER(SEARCH("WHISK",C1290)),"Whiskey",
 ISNUMBER(SEARCH("BOURBON",C1290)),"Whiskey",
 ISNUMBER(SEARCH("SCOTCH",C1290)),"Whiskey",
 ISNUMBER(SEARCH("RYE",C1290)),"Whiskey",
 ISNUMBER(SEARCH("VODKA",C1290)),"Vodka",
 ISNUMBER(SEARCH("TEQUILA",C1290)),"Tequila/Mezcal",
 ISNUMBER(SEARCH("MEZCAL",C1290)),"Tequila/Mezcal",
 ISNUMBER(SEARCH("RUM",C1290)),"Rum",
 ISNUMBER(SEARCH("BRAND",C1290)),"Brandy",
 ISNUMBER(SEARCH("COGNAC",C1290)),"Brandy",
 ISNUMBER(SEARCH("LIQUEUR",C1290)),"Liqueurs",
 ISNUMBER(SEARCH("CORDIAL",C1290)),"Liqueurs",
 ISNUMBER(SEARCH("SCHNAPP",C1290)),"Liqueurs",
 ISNUMBER(SEARCH("GIN",C1290)),"Gin",
 TRUE,"Other")</f>
        <v>Vodka</v>
      </c>
      <c r="E1290" s="5">
        <v>33697</v>
      </c>
      <c r="F1290" s="5">
        <v>566533.41999999795</v>
      </c>
      <c r="G1290" s="5"/>
      <c r="H1290" s="5">
        <v>3743</v>
      </c>
    </row>
    <row r="1291" spans="1:8">
      <c r="A1291" s="5">
        <v>2022</v>
      </c>
      <c r="B1291" s="6">
        <v>44774</v>
      </c>
      <c r="C1291" s="5" t="s">
        <v>36</v>
      </c>
      <c r="D1291" s="3" t="str" cm="1">
        <f t="array" ref="D1291">_xlfn.IFS(
 ISNUMBER(SEARCH("WHISK",C1291)),"Whiskey",
 ISNUMBER(SEARCH("BOURBON",C1291)),"Whiskey",
 ISNUMBER(SEARCH("SCOTCH",C1291)),"Whiskey",
 ISNUMBER(SEARCH("RYE",C1291)),"Whiskey",
 ISNUMBER(SEARCH("VODKA",C1291)),"Vodka",
 ISNUMBER(SEARCH("TEQUILA",C1291)),"Tequila/Mezcal",
 ISNUMBER(SEARCH("MEZCAL",C1291)),"Tequila/Mezcal",
 ISNUMBER(SEARCH("RUM",C1291)),"Rum",
 ISNUMBER(SEARCH("BRAND",C1291)),"Brandy",
 ISNUMBER(SEARCH("COGNAC",C1291)),"Brandy",
 ISNUMBER(SEARCH("LIQUEUR",C1291)),"Liqueurs",
 ISNUMBER(SEARCH("CORDIAL",C1291)),"Liqueurs",
 ISNUMBER(SEARCH("SCHNAPP",C1291)),"Liqueurs",
 ISNUMBER(SEARCH("GIN",C1291)),"Gin",
 TRUE,"Other")</f>
        <v>Other</v>
      </c>
      <c r="E1291" s="5">
        <v>3932</v>
      </c>
      <c r="F1291" s="5">
        <v>57811.250000000007</v>
      </c>
      <c r="G1291" s="5"/>
      <c r="H1291" s="5">
        <v>452</v>
      </c>
    </row>
    <row r="1292" spans="1:8">
      <c r="A1292" s="5">
        <v>2022</v>
      </c>
      <c r="B1292" s="6">
        <v>44774</v>
      </c>
      <c r="C1292" s="5" t="s">
        <v>10</v>
      </c>
      <c r="D1292" s="3" t="str" cm="1">
        <f t="array" ref="D1292">_xlfn.IFS(
 ISNUMBER(SEARCH("WHISK",C1292)),"Whiskey",
 ISNUMBER(SEARCH("BOURBON",C1292)),"Whiskey",
 ISNUMBER(SEARCH("SCOTCH",C1292)),"Whiskey",
 ISNUMBER(SEARCH("RYE",C1292)),"Whiskey",
 ISNUMBER(SEARCH("VODKA",C1292)),"Vodka",
 ISNUMBER(SEARCH("TEQUILA",C1292)),"Tequila/Mezcal",
 ISNUMBER(SEARCH("MEZCAL",C1292)),"Tequila/Mezcal",
 ISNUMBER(SEARCH("RUM",C1292)),"Rum",
 ISNUMBER(SEARCH("BRAND",C1292)),"Brandy",
 ISNUMBER(SEARCH("COGNAC",C1292)),"Brandy",
 ISNUMBER(SEARCH("LIQUEUR",C1292)),"Liqueurs",
 ISNUMBER(SEARCH("CORDIAL",C1292)),"Liqueurs",
 ISNUMBER(SEARCH("SCHNAPP",C1292)),"Liqueurs",
 ISNUMBER(SEARCH("GIN",C1292)),"Gin",
 TRUE,"Other")</f>
        <v>Other</v>
      </c>
      <c r="E1292" s="5">
        <v>5471</v>
      </c>
      <c r="F1292" s="5">
        <v>94704.449999999735</v>
      </c>
      <c r="G1292" s="5"/>
      <c r="H1292" s="5">
        <v>742</v>
      </c>
    </row>
    <row r="1293" spans="1:8">
      <c r="A1293" s="5">
        <v>2022</v>
      </c>
      <c r="B1293" s="6">
        <v>44774</v>
      </c>
      <c r="C1293" s="5" t="s">
        <v>25</v>
      </c>
      <c r="D1293" s="3" t="str" cm="1">
        <f t="array" ref="D1293">_xlfn.IFS(
 ISNUMBER(SEARCH("WHISK",C1293)),"Whiskey",
 ISNUMBER(SEARCH("BOURBON",C1293)),"Whiskey",
 ISNUMBER(SEARCH("SCOTCH",C1293)),"Whiskey",
 ISNUMBER(SEARCH("RYE",C1293)),"Whiskey",
 ISNUMBER(SEARCH("VODKA",C1293)),"Vodka",
 ISNUMBER(SEARCH("TEQUILA",C1293)),"Tequila/Mezcal",
 ISNUMBER(SEARCH("MEZCAL",C1293)),"Tequila/Mezcal",
 ISNUMBER(SEARCH("RUM",C1293)),"Rum",
 ISNUMBER(SEARCH("BRAND",C1293)),"Brandy",
 ISNUMBER(SEARCH("COGNAC",C1293)),"Brandy",
 ISNUMBER(SEARCH("LIQUEUR",C1293)),"Liqueurs",
 ISNUMBER(SEARCH("CORDIAL",C1293)),"Liqueurs",
 ISNUMBER(SEARCH("SCHNAPP",C1293)),"Liqueurs",
 ISNUMBER(SEARCH("GIN",C1293)),"Gin",
 TRUE,"Other")</f>
        <v>Rum</v>
      </c>
      <c r="E1293" s="5">
        <v>7066</v>
      </c>
      <c r="F1293" s="5">
        <v>91206.579999999769</v>
      </c>
      <c r="G1293" s="5"/>
      <c r="H1293" s="5">
        <v>1035</v>
      </c>
    </row>
    <row r="1294" spans="1:8">
      <c r="A1294" s="5">
        <v>2022</v>
      </c>
      <c r="B1294" s="6">
        <v>44774</v>
      </c>
      <c r="C1294" s="5" t="s">
        <v>28</v>
      </c>
      <c r="D1294" s="3" t="str" cm="1">
        <f t="array" ref="D1294">_xlfn.IFS(
 ISNUMBER(SEARCH("WHISK",C1294)),"Whiskey",
 ISNUMBER(SEARCH("BOURBON",C1294)),"Whiskey",
 ISNUMBER(SEARCH("SCOTCH",C1294)),"Whiskey",
 ISNUMBER(SEARCH("RYE",C1294)),"Whiskey",
 ISNUMBER(SEARCH("VODKA",C1294)),"Vodka",
 ISNUMBER(SEARCH("TEQUILA",C1294)),"Tequila/Mezcal",
 ISNUMBER(SEARCH("MEZCAL",C1294)),"Tequila/Mezcal",
 ISNUMBER(SEARCH("RUM",C1294)),"Rum",
 ISNUMBER(SEARCH("BRAND",C1294)),"Brandy",
 ISNUMBER(SEARCH("COGNAC",C1294)),"Brandy",
 ISNUMBER(SEARCH("LIQUEUR",C1294)),"Liqueurs",
 ISNUMBER(SEARCH("CORDIAL",C1294)),"Liqueurs",
 ISNUMBER(SEARCH("SCHNAPP",C1294)),"Liqueurs",
 ISNUMBER(SEARCH("GIN",C1294)),"Gin",
 TRUE,"Other")</f>
        <v>Other</v>
      </c>
      <c r="E1294" s="5">
        <v>20360</v>
      </c>
      <c r="F1294" s="5">
        <v>163440.71000000014</v>
      </c>
      <c r="G1294" s="5"/>
      <c r="H1294" s="5">
        <v>446</v>
      </c>
    </row>
    <row r="1295" spans="1:8">
      <c r="A1295" s="5">
        <v>2022</v>
      </c>
      <c r="B1295" s="6">
        <v>44774</v>
      </c>
      <c r="C1295" s="5" t="s">
        <v>20</v>
      </c>
      <c r="D1295" s="3" t="str" cm="1">
        <f t="array" ref="D1295">_xlfn.IFS(
 ISNUMBER(SEARCH("WHISK",C1295)),"Whiskey",
 ISNUMBER(SEARCH("BOURBON",C1295)),"Whiskey",
 ISNUMBER(SEARCH("SCOTCH",C1295)),"Whiskey",
 ISNUMBER(SEARCH("RYE",C1295)),"Whiskey",
 ISNUMBER(SEARCH("VODKA",C1295)),"Vodka",
 ISNUMBER(SEARCH("TEQUILA",C1295)),"Tequila/Mezcal",
 ISNUMBER(SEARCH("MEZCAL",C1295)),"Tequila/Mezcal",
 ISNUMBER(SEARCH("RUM",C1295)),"Rum",
 ISNUMBER(SEARCH("BRAND",C1295)),"Brandy",
 ISNUMBER(SEARCH("COGNAC",C1295)),"Brandy",
 ISNUMBER(SEARCH("LIQUEUR",C1295)),"Liqueurs",
 ISNUMBER(SEARCH("CORDIAL",C1295)),"Liqueurs",
 ISNUMBER(SEARCH("SCHNAPP",C1295)),"Liqueurs",
 ISNUMBER(SEARCH("GIN",C1295)),"Gin",
 TRUE,"Other")</f>
        <v>Liqueurs</v>
      </c>
      <c r="E1295" s="5">
        <v>8239</v>
      </c>
      <c r="F1295" s="5">
        <v>164773.82000000129</v>
      </c>
      <c r="G1295" s="5"/>
      <c r="H1295" s="5">
        <v>939</v>
      </c>
    </row>
    <row r="1296" spans="1:8">
      <c r="A1296" s="5">
        <v>2022</v>
      </c>
      <c r="B1296" s="6">
        <v>44774</v>
      </c>
      <c r="C1296" s="5" t="s">
        <v>22</v>
      </c>
      <c r="D1296" s="3" t="str" cm="1">
        <f t="array" ref="D1296">_xlfn.IFS(
 ISNUMBER(SEARCH("WHISK",C1296)),"Whiskey",
 ISNUMBER(SEARCH("BOURBON",C1296)),"Whiskey",
 ISNUMBER(SEARCH("SCOTCH",C1296)),"Whiskey",
 ISNUMBER(SEARCH("RYE",C1296)),"Whiskey",
 ISNUMBER(SEARCH("VODKA",C1296)),"Vodka",
 ISNUMBER(SEARCH("TEQUILA",C1296)),"Tequila/Mezcal",
 ISNUMBER(SEARCH("MEZCAL",C1296)),"Tequila/Mezcal",
 ISNUMBER(SEARCH("RUM",C1296)),"Rum",
 ISNUMBER(SEARCH("BRAND",C1296)),"Brandy",
 ISNUMBER(SEARCH("COGNAC",C1296)),"Brandy",
 ISNUMBER(SEARCH("LIQUEUR",C1296)),"Liqueurs",
 ISNUMBER(SEARCH("CORDIAL",C1296)),"Liqueurs",
 ISNUMBER(SEARCH("SCHNAPP",C1296)),"Liqueurs",
 ISNUMBER(SEARCH("GIN",C1296)),"Gin",
 TRUE,"Other")</f>
        <v>Liqueurs</v>
      </c>
      <c r="E1296" s="5">
        <v>24780</v>
      </c>
      <c r="F1296" s="5">
        <v>491313.30999999394</v>
      </c>
      <c r="G1296" s="5"/>
      <c r="H1296" s="5">
        <v>3716</v>
      </c>
    </row>
    <row r="1297" spans="1:8">
      <c r="A1297" s="5">
        <v>2022</v>
      </c>
      <c r="B1297" s="6">
        <v>44774</v>
      </c>
      <c r="C1297" s="5" t="s">
        <v>47</v>
      </c>
      <c r="D1297" s="3" t="str" cm="1">
        <f t="array" ref="D1297">_xlfn.IFS(
 ISNUMBER(SEARCH("WHISK",C1297)),"Whiskey",
 ISNUMBER(SEARCH("BOURBON",C1297)),"Whiskey",
 ISNUMBER(SEARCH("SCOTCH",C1297)),"Whiskey",
 ISNUMBER(SEARCH("RYE",C1297)),"Whiskey",
 ISNUMBER(SEARCH("VODKA",C1297)),"Vodka",
 ISNUMBER(SEARCH("TEQUILA",C1297)),"Tequila/Mezcal",
 ISNUMBER(SEARCH("MEZCAL",C1297)),"Tequila/Mezcal",
 ISNUMBER(SEARCH("RUM",C1297)),"Rum",
 ISNUMBER(SEARCH("BRAND",C1297)),"Brandy",
 ISNUMBER(SEARCH("COGNAC",C1297)),"Brandy",
 ISNUMBER(SEARCH("LIQUEUR",C1297)),"Liqueurs",
 ISNUMBER(SEARCH("CORDIAL",C1297)),"Liqueurs",
 ISNUMBER(SEARCH("SCHNAPP",C1297)),"Liqueurs",
 ISNUMBER(SEARCH("GIN",C1297)),"Gin",
 TRUE,"Other")</f>
        <v>Other</v>
      </c>
      <c r="E1297" s="5">
        <v>18752</v>
      </c>
      <c r="F1297" s="5">
        <v>74792.109999999797</v>
      </c>
      <c r="G1297" s="5"/>
      <c r="H1297" s="5">
        <v>790</v>
      </c>
    </row>
    <row r="1298" spans="1:8">
      <c r="A1298" s="5">
        <v>2022</v>
      </c>
      <c r="B1298" s="6">
        <v>44774</v>
      </c>
      <c r="C1298" s="5" t="s">
        <v>7</v>
      </c>
      <c r="D1298" s="3" t="str" cm="1">
        <f t="array" ref="D1298">_xlfn.IFS(
 ISNUMBER(SEARCH("WHISK",C1298)),"Whiskey",
 ISNUMBER(SEARCH("BOURBON",C1298)),"Whiskey",
 ISNUMBER(SEARCH("SCOTCH",C1298)),"Whiskey",
 ISNUMBER(SEARCH("RYE",C1298)),"Whiskey",
 ISNUMBER(SEARCH("VODKA",C1298)),"Vodka",
 ISNUMBER(SEARCH("TEQUILA",C1298)),"Tequila/Mezcal",
 ISNUMBER(SEARCH("MEZCAL",C1298)),"Tequila/Mezcal",
 ISNUMBER(SEARCH("RUM",C1298)),"Rum",
 ISNUMBER(SEARCH("BRAND",C1298)),"Brandy",
 ISNUMBER(SEARCH("COGNAC",C1298)),"Brandy",
 ISNUMBER(SEARCH("LIQUEUR",C1298)),"Liqueurs",
 ISNUMBER(SEARCH("CORDIAL",C1298)),"Liqueurs",
 ISNUMBER(SEARCH("SCHNAPP",C1298)),"Liqueurs",
 ISNUMBER(SEARCH("GIN",C1298)),"Gin",
 TRUE,"Other")</f>
        <v>Rum</v>
      </c>
      <c r="E1298" s="5">
        <v>3930</v>
      </c>
      <c r="F1298" s="5">
        <v>88854.040000000066</v>
      </c>
      <c r="G1298" s="5"/>
      <c r="H1298" s="5">
        <v>712</v>
      </c>
    </row>
    <row r="1299" spans="1:8">
      <c r="A1299" s="5">
        <v>2022</v>
      </c>
      <c r="B1299" s="6">
        <v>44774</v>
      </c>
      <c r="C1299" s="5" t="s">
        <v>21</v>
      </c>
      <c r="D1299" s="3" t="str" cm="1">
        <f t="array" ref="D1299">_xlfn.IFS(
 ISNUMBER(SEARCH("WHISK",C1299)),"Whiskey",
 ISNUMBER(SEARCH("BOURBON",C1299)),"Whiskey",
 ISNUMBER(SEARCH("SCOTCH",C1299)),"Whiskey",
 ISNUMBER(SEARCH("RYE",C1299)),"Whiskey",
 ISNUMBER(SEARCH("VODKA",C1299)),"Vodka",
 ISNUMBER(SEARCH("TEQUILA",C1299)),"Tequila/Mezcal",
 ISNUMBER(SEARCH("MEZCAL",C1299)),"Tequila/Mezcal",
 ISNUMBER(SEARCH("RUM",C1299)),"Rum",
 ISNUMBER(SEARCH("BRAND",C1299)),"Brandy",
 ISNUMBER(SEARCH("COGNAC",C1299)),"Brandy",
 ISNUMBER(SEARCH("LIQUEUR",C1299)),"Liqueurs",
 ISNUMBER(SEARCH("CORDIAL",C1299)),"Liqueurs",
 ISNUMBER(SEARCH("SCHNAPP",C1299)),"Liqueurs",
 ISNUMBER(SEARCH("GIN",C1299)),"Gin",
 TRUE,"Other")</f>
        <v>Whiskey</v>
      </c>
      <c r="E1299" s="5">
        <v>2598</v>
      </c>
      <c r="F1299" s="5">
        <v>93914.65</v>
      </c>
      <c r="G1299" s="5"/>
      <c r="H1299" s="5">
        <v>165</v>
      </c>
    </row>
    <row r="1300" spans="1:8">
      <c r="A1300" s="5">
        <v>2022</v>
      </c>
      <c r="B1300" s="6">
        <v>44774</v>
      </c>
      <c r="C1300" s="5" t="s">
        <v>23</v>
      </c>
      <c r="D1300" s="3" t="str" cm="1">
        <f t="array" ref="D1300">_xlfn.IFS(
 ISNUMBER(SEARCH("WHISK",C1300)),"Whiskey",
 ISNUMBER(SEARCH("BOURBON",C1300)),"Whiskey",
 ISNUMBER(SEARCH("SCOTCH",C1300)),"Whiskey",
 ISNUMBER(SEARCH("RYE",C1300)),"Whiskey",
 ISNUMBER(SEARCH("VODKA",C1300)),"Vodka",
 ISNUMBER(SEARCH("TEQUILA",C1300)),"Tequila/Mezcal",
 ISNUMBER(SEARCH("MEZCAL",C1300)),"Tequila/Mezcal",
 ISNUMBER(SEARCH("RUM",C1300)),"Rum",
 ISNUMBER(SEARCH("BRAND",C1300)),"Brandy",
 ISNUMBER(SEARCH("COGNAC",C1300)),"Brandy",
 ISNUMBER(SEARCH("LIQUEUR",C1300)),"Liqueurs",
 ISNUMBER(SEARCH("CORDIAL",C1300)),"Liqueurs",
 ISNUMBER(SEARCH("SCHNAPP",C1300)),"Liqueurs",
 ISNUMBER(SEARCH("GIN",C1300)),"Gin",
 TRUE,"Other")</f>
        <v>Gin</v>
      </c>
      <c r="E1300" s="5">
        <v>2782</v>
      </c>
      <c r="F1300" s="5">
        <v>72667.48</v>
      </c>
      <c r="G1300" s="5"/>
      <c r="H1300" s="5">
        <v>291</v>
      </c>
    </row>
    <row r="1301" spans="1:8">
      <c r="A1301" s="5">
        <v>2022</v>
      </c>
      <c r="B1301" s="6">
        <v>44774</v>
      </c>
      <c r="C1301" s="5" t="s">
        <v>40</v>
      </c>
      <c r="D1301" s="3" t="str" cm="1">
        <f t="array" ref="D1301">_xlfn.IFS(
 ISNUMBER(SEARCH("WHISK",C1301)),"Whiskey",
 ISNUMBER(SEARCH("BOURBON",C1301)),"Whiskey",
 ISNUMBER(SEARCH("SCOTCH",C1301)),"Whiskey",
 ISNUMBER(SEARCH("RYE",C1301)),"Whiskey",
 ISNUMBER(SEARCH("VODKA",C1301)),"Vodka",
 ISNUMBER(SEARCH("TEQUILA",C1301)),"Tequila/Mezcal",
 ISNUMBER(SEARCH("MEZCAL",C1301)),"Tequila/Mezcal",
 ISNUMBER(SEARCH("RUM",C1301)),"Rum",
 ISNUMBER(SEARCH("BRAND",C1301)),"Brandy",
 ISNUMBER(SEARCH("COGNAC",C1301)),"Brandy",
 ISNUMBER(SEARCH("LIQUEUR",C1301)),"Liqueurs",
 ISNUMBER(SEARCH("CORDIAL",C1301)),"Liqueurs",
 ISNUMBER(SEARCH("SCHNAPP",C1301)),"Liqueurs",
 ISNUMBER(SEARCH("GIN",C1301)),"Gin",
 TRUE,"Other")</f>
        <v>Whiskey</v>
      </c>
      <c r="E1301" s="5">
        <v>6602</v>
      </c>
      <c r="F1301" s="5">
        <v>314233.98000000091</v>
      </c>
      <c r="G1301" s="5"/>
      <c r="H1301" s="5">
        <v>1446</v>
      </c>
    </row>
    <row r="1302" spans="1:8">
      <c r="A1302" s="5">
        <v>2022</v>
      </c>
      <c r="B1302" s="6">
        <v>44774</v>
      </c>
      <c r="C1302" s="5" t="s">
        <v>34</v>
      </c>
      <c r="D1302" s="3" t="str" cm="1">
        <f t="array" ref="D1302">_xlfn.IFS(
 ISNUMBER(SEARCH("WHISK",C1302)),"Whiskey",
 ISNUMBER(SEARCH("BOURBON",C1302)),"Whiskey",
 ISNUMBER(SEARCH("SCOTCH",C1302)),"Whiskey",
 ISNUMBER(SEARCH("RYE",C1302)),"Whiskey",
 ISNUMBER(SEARCH("VODKA",C1302)),"Vodka",
 ISNUMBER(SEARCH("TEQUILA",C1302)),"Tequila/Mezcal",
 ISNUMBER(SEARCH("MEZCAL",C1302)),"Tequila/Mezcal",
 ISNUMBER(SEARCH("RUM",C1302)),"Rum",
 ISNUMBER(SEARCH("BRAND",C1302)),"Brandy",
 ISNUMBER(SEARCH("COGNAC",C1302)),"Brandy",
 ISNUMBER(SEARCH("LIQUEUR",C1302)),"Liqueurs",
 ISNUMBER(SEARCH("CORDIAL",C1302)),"Liqueurs",
 ISNUMBER(SEARCH("SCHNAPP",C1302)),"Liqueurs",
 ISNUMBER(SEARCH("GIN",C1302)),"Gin",
 TRUE,"Other")</f>
        <v>Tequila/Mezcal</v>
      </c>
      <c r="E1302" s="5">
        <v>1459</v>
      </c>
      <c r="F1302" s="5">
        <v>48308.080000000024</v>
      </c>
      <c r="G1302" s="5"/>
      <c r="H1302" s="5">
        <v>293</v>
      </c>
    </row>
    <row r="1303" spans="1:8">
      <c r="A1303" s="5">
        <v>2022</v>
      </c>
      <c r="B1303" s="6">
        <v>44774</v>
      </c>
      <c r="C1303" s="5" t="s">
        <v>39</v>
      </c>
      <c r="D1303" s="3" t="str" cm="1">
        <f t="array" ref="D1303">_xlfn.IFS(
 ISNUMBER(SEARCH("WHISK",C1303)),"Whiskey",
 ISNUMBER(SEARCH("BOURBON",C1303)),"Whiskey",
 ISNUMBER(SEARCH("SCOTCH",C1303)),"Whiskey",
 ISNUMBER(SEARCH("RYE",C1303)),"Whiskey",
 ISNUMBER(SEARCH("VODKA",C1303)),"Vodka",
 ISNUMBER(SEARCH("TEQUILA",C1303)),"Tequila/Mezcal",
 ISNUMBER(SEARCH("MEZCAL",C1303)),"Tequila/Mezcal",
 ISNUMBER(SEARCH("RUM",C1303)),"Rum",
 ISNUMBER(SEARCH("BRAND",C1303)),"Brandy",
 ISNUMBER(SEARCH("COGNAC",C1303)),"Brandy",
 ISNUMBER(SEARCH("LIQUEUR",C1303)),"Liqueurs",
 ISNUMBER(SEARCH("CORDIAL",C1303)),"Liqueurs",
 ISNUMBER(SEARCH("SCHNAPP",C1303)),"Liqueurs",
 ISNUMBER(SEARCH("GIN",C1303)),"Gin",
 TRUE,"Other")</f>
        <v>Whiskey</v>
      </c>
      <c r="E1303" s="5">
        <v>4825</v>
      </c>
      <c r="F1303" s="5">
        <v>181265.11000000019</v>
      </c>
      <c r="G1303" s="5"/>
      <c r="H1303" s="5">
        <v>372</v>
      </c>
    </row>
    <row r="1304" spans="1:8">
      <c r="A1304" s="5">
        <v>2022</v>
      </c>
      <c r="B1304" s="6">
        <v>44774</v>
      </c>
      <c r="C1304" s="5" t="s">
        <v>14</v>
      </c>
      <c r="D1304" s="3" t="str" cm="1">
        <f t="array" ref="D1304">_xlfn.IFS(
 ISNUMBER(SEARCH("WHISK",C1304)),"Whiskey",
 ISNUMBER(SEARCH("BOURBON",C1304)),"Whiskey",
 ISNUMBER(SEARCH("SCOTCH",C1304)),"Whiskey",
 ISNUMBER(SEARCH("RYE",C1304)),"Whiskey",
 ISNUMBER(SEARCH("VODKA",C1304)),"Vodka",
 ISNUMBER(SEARCH("TEQUILA",C1304)),"Tequila/Mezcal",
 ISNUMBER(SEARCH("MEZCAL",C1304)),"Tequila/Mezcal",
 ISNUMBER(SEARCH("RUM",C1304)),"Rum",
 ISNUMBER(SEARCH("BRAND",C1304)),"Brandy",
 ISNUMBER(SEARCH("COGNAC",C1304)),"Brandy",
 ISNUMBER(SEARCH("LIQUEUR",C1304)),"Liqueurs",
 ISNUMBER(SEARCH("CORDIAL",C1304)),"Liqueurs",
 ISNUMBER(SEARCH("SCHNAPP",C1304)),"Liqueurs",
 ISNUMBER(SEARCH("GIN",C1304)),"Gin",
 TRUE,"Other")</f>
        <v>Gin</v>
      </c>
      <c r="E1304" s="5">
        <v>297</v>
      </c>
      <c r="F1304" s="5">
        <v>2414.61</v>
      </c>
      <c r="G1304" s="5"/>
      <c r="H1304" s="5">
        <v>54</v>
      </c>
    </row>
    <row r="1305" spans="1:8">
      <c r="A1305" s="5">
        <v>2022</v>
      </c>
      <c r="B1305" s="6">
        <v>44652</v>
      </c>
      <c r="C1305" s="5" t="s">
        <v>50</v>
      </c>
      <c r="D1305" s="3" t="str" cm="1">
        <f t="array" ref="D1305">_xlfn.IFS(
 ISNUMBER(SEARCH("WHISK",C1305)),"Whiskey",
 ISNUMBER(SEARCH("BOURBON",C1305)),"Whiskey",
 ISNUMBER(SEARCH("SCOTCH",C1305)),"Whiskey",
 ISNUMBER(SEARCH("RYE",C1305)),"Whiskey",
 ISNUMBER(SEARCH("VODKA",C1305)),"Vodka",
 ISNUMBER(SEARCH("TEQUILA",C1305)),"Tequila/Mezcal",
 ISNUMBER(SEARCH("MEZCAL",C1305)),"Tequila/Mezcal",
 ISNUMBER(SEARCH("RUM",C1305)),"Rum",
 ISNUMBER(SEARCH("BRAND",C1305)),"Brandy",
 ISNUMBER(SEARCH("COGNAC",C1305)),"Brandy",
 ISNUMBER(SEARCH("LIQUEUR",C1305)),"Liqueurs",
 ISNUMBER(SEARCH("CORDIAL",C1305)),"Liqueurs",
 ISNUMBER(SEARCH("SCHNAPP",C1305)),"Liqueurs",
 ISNUMBER(SEARCH("GIN",C1305)),"Gin",
 TRUE,"Other")</f>
        <v>Tequila/Mezcal</v>
      </c>
      <c r="E1305" s="5">
        <v>85371</v>
      </c>
      <c r="F1305" s="5">
        <v>2380436.33999995</v>
      </c>
      <c r="G1305" s="5"/>
      <c r="H1305" s="5">
        <v>8298</v>
      </c>
    </row>
    <row r="1306" spans="1:8">
      <c r="A1306" s="5">
        <v>2022</v>
      </c>
      <c r="B1306" s="6">
        <v>44652</v>
      </c>
      <c r="C1306" s="5" t="s">
        <v>60</v>
      </c>
      <c r="D1306" s="3" t="str" cm="1">
        <f t="array" ref="D1306">_xlfn.IFS(
 ISNUMBER(SEARCH("WHISK",C1306)),"Whiskey",
 ISNUMBER(SEARCH("BOURBON",C1306)),"Whiskey",
 ISNUMBER(SEARCH("SCOTCH",C1306)),"Whiskey",
 ISNUMBER(SEARCH("RYE",C1306)),"Whiskey",
 ISNUMBER(SEARCH("VODKA",C1306)),"Vodka",
 ISNUMBER(SEARCH("TEQUILA",C1306)),"Tequila/Mezcal",
 ISNUMBER(SEARCH("MEZCAL",C1306)),"Tequila/Mezcal",
 ISNUMBER(SEARCH("RUM",C1306)),"Rum",
 ISNUMBER(SEARCH("BRAND",C1306)),"Brandy",
 ISNUMBER(SEARCH("COGNAC",C1306)),"Brandy",
 ISNUMBER(SEARCH("LIQUEUR",C1306)),"Liqueurs",
 ISNUMBER(SEARCH("CORDIAL",C1306)),"Liqueurs",
 ISNUMBER(SEARCH("SCHNAPP",C1306)),"Liqueurs",
 ISNUMBER(SEARCH("GIN",C1306)),"Gin",
 TRUE,"Other")</f>
        <v>Liqueurs</v>
      </c>
      <c r="E1306" s="5">
        <v>42312</v>
      </c>
      <c r="F1306" s="5">
        <v>978538.88000000722</v>
      </c>
      <c r="G1306" s="5"/>
      <c r="H1306" s="5">
        <v>4899</v>
      </c>
    </row>
    <row r="1307" spans="1:8">
      <c r="A1307" s="5">
        <v>2022</v>
      </c>
      <c r="B1307" s="6">
        <v>44652</v>
      </c>
      <c r="C1307" s="5" t="s">
        <v>35</v>
      </c>
      <c r="D1307" s="3" t="str" cm="1">
        <f t="array" ref="D1307">_xlfn.IFS(
 ISNUMBER(SEARCH("WHISK",C1307)),"Whiskey",
 ISNUMBER(SEARCH("BOURBON",C1307)),"Whiskey",
 ISNUMBER(SEARCH("SCOTCH",C1307)),"Whiskey",
 ISNUMBER(SEARCH("RYE",C1307)),"Whiskey",
 ISNUMBER(SEARCH("VODKA",C1307)),"Vodka",
 ISNUMBER(SEARCH("TEQUILA",C1307)),"Tequila/Mezcal",
 ISNUMBER(SEARCH("MEZCAL",C1307)),"Tequila/Mezcal",
 ISNUMBER(SEARCH("RUM",C1307)),"Rum",
 ISNUMBER(SEARCH("BRAND",C1307)),"Brandy",
 ISNUMBER(SEARCH("COGNAC",C1307)),"Brandy",
 ISNUMBER(SEARCH("LIQUEUR",C1307)),"Liqueurs",
 ISNUMBER(SEARCH("CORDIAL",C1307)),"Liqueurs",
 ISNUMBER(SEARCH("SCHNAPP",C1307)),"Liqueurs",
 ISNUMBER(SEARCH("GIN",C1307)),"Gin",
 TRUE,"Other")</f>
        <v>Tequila/Mezcal</v>
      </c>
      <c r="E1307" s="5">
        <v>75619</v>
      </c>
      <c r="F1307" s="5">
        <v>1034341.8299999771</v>
      </c>
      <c r="G1307" s="5"/>
      <c r="H1307" s="5">
        <v>4713</v>
      </c>
    </row>
    <row r="1308" spans="1:8">
      <c r="A1308" s="5">
        <v>2022</v>
      </c>
      <c r="B1308" s="6">
        <v>44652</v>
      </c>
      <c r="C1308" s="5" t="s">
        <v>8</v>
      </c>
      <c r="D1308" s="3" t="str" cm="1">
        <f t="array" ref="D1308">_xlfn.IFS(
 ISNUMBER(SEARCH("WHISK",C1308)),"Whiskey",
 ISNUMBER(SEARCH("BOURBON",C1308)),"Whiskey",
 ISNUMBER(SEARCH("SCOTCH",C1308)),"Whiskey",
 ISNUMBER(SEARCH("RYE",C1308)),"Whiskey",
 ISNUMBER(SEARCH("VODKA",C1308)),"Vodka",
 ISNUMBER(SEARCH("TEQUILA",C1308)),"Tequila/Mezcal",
 ISNUMBER(SEARCH("MEZCAL",C1308)),"Tequila/Mezcal",
 ISNUMBER(SEARCH("RUM",C1308)),"Rum",
 ISNUMBER(SEARCH("BRAND",C1308)),"Brandy",
 ISNUMBER(SEARCH("COGNAC",C1308)),"Brandy",
 ISNUMBER(SEARCH("LIQUEUR",C1308)),"Liqueurs",
 ISNUMBER(SEARCH("CORDIAL",C1308)),"Liqueurs",
 ISNUMBER(SEARCH("SCHNAPP",C1308)),"Liqueurs",
 ISNUMBER(SEARCH("GIN",C1308)),"Gin",
 TRUE,"Other")</f>
        <v>Brandy</v>
      </c>
      <c r="E1308" s="5">
        <v>62268</v>
      </c>
      <c r="F1308" s="5">
        <v>407782.56000000006</v>
      </c>
      <c r="G1308" s="5"/>
      <c r="H1308" s="5">
        <v>5203</v>
      </c>
    </row>
    <row r="1309" spans="1:8">
      <c r="A1309" s="5">
        <v>2022</v>
      </c>
      <c r="B1309" s="6">
        <v>44652</v>
      </c>
      <c r="C1309" s="5" t="s">
        <v>59</v>
      </c>
      <c r="D1309" s="3" t="str" cm="1">
        <f t="array" ref="D1309">_xlfn.IFS(
 ISNUMBER(SEARCH("WHISK",C1309)),"Whiskey",
 ISNUMBER(SEARCH("BOURBON",C1309)),"Whiskey",
 ISNUMBER(SEARCH("SCOTCH",C1309)),"Whiskey",
 ISNUMBER(SEARCH("RYE",C1309)),"Whiskey",
 ISNUMBER(SEARCH("VODKA",C1309)),"Vodka",
 ISNUMBER(SEARCH("TEQUILA",C1309)),"Tequila/Mezcal",
 ISNUMBER(SEARCH("MEZCAL",C1309)),"Tequila/Mezcal",
 ISNUMBER(SEARCH("RUM",C1309)),"Rum",
 ISNUMBER(SEARCH("BRAND",C1309)),"Brandy",
 ISNUMBER(SEARCH("COGNAC",C1309)),"Brandy",
 ISNUMBER(SEARCH("LIQUEUR",C1309)),"Liqueurs",
 ISNUMBER(SEARCH("CORDIAL",C1309)),"Liqueurs",
 ISNUMBER(SEARCH("SCHNAPP",C1309)),"Liqueurs",
 ISNUMBER(SEARCH("GIN",C1309)),"Gin",
 TRUE,"Other")</f>
        <v>Liqueurs</v>
      </c>
      <c r="E1309" s="5">
        <v>41406</v>
      </c>
      <c r="F1309" s="5">
        <v>369018.27000000729</v>
      </c>
      <c r="G1309" s="5"/>
      <c r="H1309" s="5">
        <v>5215</v>
      </c>
    </row>
    <row r="1310" spans="1:8">
      <c r="A1310" s="5">
        <v>2022</v>
      </c>
      <c r="B1310" s="6">
        <v>44652</v>
      </c>
      <c r="C1310" s="5" t="s">
        <v>12</v>
      </c>
      <c r="D1310" s="3" t="str" cm="1">
        <f t="array" ref="D1310">_xlfn.IFS(
 ISNUMBER(SEARCH("WHISK",C1310)),"Whiskey",
 ISNUMBER(SEARCH("BOURBON",C1310)),"Whiskey",
 ISNUMBER(SEARCH("SCOTCH",C1310)),"Whiskey",
 ISNUMBER(SEARCH("RYE",C1310)),"Whiskey",
 ISNUMBER(SEARCH("VODKA",C1310)),"Vodka",
 ISNUMBER(SEARCH("TEQUILA",C1310)),"Tequila/Mezcal",
 ISNUMBER(SEARCH("MEZCAL",C1310)),"Tequila/Mezcal",
 ISNUMBER(SEARCH("RUM",C1310)),"Rum",
 ISNUMBER(SEARCH("BRAND",C1310)),"Brandy",
 ISNUMBER(SEARCH("COGNAC",C1310)),"Brandy",
 ISNUMBER(SEARCH("LIQUEUR",C1310)),"Liqueurs",
 ISNUMBER(SEARCH("CORDIAL",C1310)),"Liqueurs",
 ISNUMBER(SEARCH("SCHNAPP",C1310)),"Liqueurs",
 ISNUMBER(SEARCH("GIN",C1310)),"Gin",
 TRUE,"Other")</f>
        <v>Vodka</v>
      </c>
      <c r="E1310" s="5">
        <v>103704</v>
      </c>
      <c r="F1310" s="5">
        <v>1124132.6600000449</v>
      </c>
      <c r="G1310" s="5"/>
      <c r="H1310" s="5">
        <v>12036</v>
      </c>
    </row>
    <row r="1311" spans="1:8">
      <c r="A1311" s="5">
        <v>2022</v>
      </c>
      <c r="B1311" s="6">
        <v>44652</v>
      </c>
      <c r="C1311" s="5" t="s">
        <v>15</v>
      </c>
      <c r="D1311" s="3" t="str" cm="1">
        <f t="array" ref="D1311">_xlfn.IFS(
 ISNUMBER(SEARCH("WHISK",C1311)),"Whiskey",
 ISNUMBER(SEARCH("BOURBON",C1311)),"Whiskey",
 ISNUMBER(SEARCH("SCOTCH",C1311)),"Whiskey",
 ISNUMBER(SEARCH("RYE",C1311)),"Whiskey",
 ISNUMBER(SEARCH("VODKA",C1311)),"Vodka",
 ISNUMBER(SEARCH("TEQUILA",C1311)),"Tequila/Mezcal",
 ISNUMBER(SEARCH("MEZCAL",C1311)),"Tequila/Mezcal",
 ISNUMBER(SEARCH("RUM",C1311)),"Rum",
 ISNUMBER(SEARCH("BRAND",C1311)),"Brandy",
 ISNUMBER(SEARCH("COGNAC",C1311)),"Brandy",
 ISNUMBER(SEARCH("LIQUEUR",C1311)),"Liqueurs",
 ISNUMBER(SEARCH("CORDIAL",C1311)),"Liqueurs",
 ISNUMBER(SEARCH("SCHNAPP",C1311)),"Liqueurs",
 ISNUMBER(SEARCH("GIN",C1311)),"Gin",
 TRUE,"Other")</f>
        <v>Vodka</v>
      </c>
      <c r="E1311" s="5">
        <v>492997</v>
      </c>
      <c r="F1311" s="5">
        <v>4770434.8099997668</v>
      </c>
      <c r="G1311" s="5"/>
      <c r="H1311" s="5">
        <v>32347</v>
      </c>
    </row>
    <row r="1312" spans="1:8">
      <c r="A1312" s="5">
        <v>2022</v>
      </c>
      <c r="B1312" s="6">
        <v>44652</v>
      </c>
      <c r="C1312" s="5" t="s">
        <v>16</v>
      </c>
      <c r="D1312" s="3" t="str" cm="1">
        <f t="array" ref="D1312">_xlfn.IFS(
 ISNUMBER(SEARCH("WHISK",C1312)),"Whiskey",
 ISNUMBER(SEARCH("BOURBON",C1312)),"Whiskey",
 ISNUMBER(SEARCH("SCOTCH",C1312)),"Whiskey",
 ISNUMBER(SEARCH("RYE",C1312)),"Whiskey",
 ISNUMBER(SEARCH("VODKA",C1312)),"Vodka",
 ISNUMBER(SEARCH("TEQUILA",C1312)),"Tequila/Mezcal",
 ISNUMBER(SEARCH("MEZCAL",C1312)),"Tequila/Mezcal",
 ISNUMBER(SEARCH("RUM",C1312)),"Rum",
 ISNUMBER(SEARCH("BRAND",C1312)),"Brandy",
 ISNUMBER(SEARCH("COGNAC",C1312)),"Brandy",
 ISNUMBER(SEARCH("LIQUEUR",C1312)),"Liqueurs",
 ISNUMBER(SEARCH("CORDIAL",C1312)),"Liqueurs",
 ISNUMBER(SEARCH("SCHNAPP",C1312)),"Liqueurs",
 ISNUMBER(SEARCH("GIN",C1312)),"Gin",
 TRUE,"Other")</f>
        <v>Whiskey</v>
      </c>
      <c r="E1312" s="5">
        <v>78938</v>
      </c>
      <c r="F1312" s="5">
        <v>1053287.500000003</v>
      </c>
      <c r="G1312" s="5"/>
      <c r="H1312" s="5">
        <v>8676</v>
      </c>
    </row>
    <row r="1313" spans="1:8">
      <c r="A1313" s="5">
        <v>2022</v>
      </c>
      <c r="B1313" s="6">
        <v>44652</v>
      </c>
      <c r="C1313" s="5" t="s">
        <v>18</v>
      </c>
      <c r="D1313" s="3" t="str" cm="1">
        <f t="array" ref="D1313">_xlfn.IFS(
 ISNUMBER(SEARCH("WHISK",C1313)),"Whiskey",
 ISNUMBER(SEARCH("BOURBON",C1313)),"Whiskey",
 ISNUMBER(SEARCH("SCOTCH",C1313)),"Whiskey",
 ISNUMBER(SEARCH("RYE",C1313)),"Whiskey",
 ISNUMBER(SEARCH("VODKA",C1313)),"Vodka",
 ISNUMBER(SEARCH("TEQUILA",C1313)),"Tequila/Mezcal",
 ISNUMBER(SEARCH("MEZCAL",C1313)),"Tequila/Mezcal",
 ISNUMBER(SEARCH("RUM",C1313)),"Rum",
 ISNUMBER(SEARCH("BRAND",C1313)),"Brandy",
 ISNUMBER(SEARCH("COGNAC",C1313)),"Brandy",
 ISNUMBER(SEARCH("LIQUEUR",C1313)),"Liqueurs",
 ISNUMBER(SEARCH("CORDIAL",C1313)),"Liqueurs",
 ISNUMBER(SEARCH("SCHNAPP",C1313)),"Liqueurs",
 ISNUMBER(SEARCH("GIN",C1313)),"Gin",
 TRUE,"Other")</f>
        <v>Whiskey</v>
      </c>
      <c r="E1313" s="5">
        <v>220984</v>
      </c>
      <c r="F1313" s="5">
        <v>3364633.1999998824</v>
      </c>
      <c r="G1313" s="5"/>
      <c r="H1313" s="5">
        <v>18600</v>
      </c>
    </row>
    <row r="1314" spans="1:8">
      <c r="A1314" s="5">
        <v>2022</v>
      </c>
      <c r="B1314" s="6">
        <v>44652</v>
      </c>
      <c r="C1314" s="5" t="s">
        <v>19</v>
      </c>
      <c r="D1314" s="3" t="str" cm="1">
        <f t="array" ref="D1314">_xlfn.IFS(
 ISNUMBER(SEARCH("WHISK",C1314)),"Whiskey",
 ISNUMBER(SEARCH("BOURBON",C1314)),"Whiskey",
 ISNUMBER(SEARCH("SCOTCH",C1314)),"Whiskey",
 ISNUMBER(SEARCH("RYE",C1314)),"Whiskey",
 ISNUMBER(SEARCH("VODKA",C1314)),"Vodka",
 ISNUMBER(SEARCH("TEQUILA",C1314)),"Tequila/Mezcal",
 ISNUMBER(SEARCH("MEZCAL",C1314)),"Tequila/Mezcal",
 ISNUMBER(SEARCH("RUM",C1314)),"Rum",
 ISNUMBER(SEARCH("BRAND",C1314)),"Brandy",
 ISNUMBER(SEARCH("COGNAC",C1314)),"Brandy",
 ISNUMBER(SEARCH("LIQUEUR",C1314)),"Liqueurs",
 ISNUMBER(SEARCH("CORDIAL",C1314)),"Liqueurs",
 ISNUMBER(SEARCH("SCHNAPP",C1314)),"Liqueurs",
 ISNUMBER(SEARCH("GIN",C1314)),"Gin",
 TRUE,"Other")</f>
        <v>Other</v>
      </c>
      <c r="E1314" s="5">
        <v>97653</v>
      </c>
      <c r="F1314" s="5">
        <v>1165945.6900000004</v>
      </c>
      <c r="G1314" s="5"/>
      <c r="H1314" s="5">
        <v>7652</v>
      </c>
    </row>
    <row r="1315" spans="1:8">
      <c r="A1315" s="5">
        <v>2022</v>
      </c>
      <c r="B1315" s="6">
        <v>44652</v>
      </c>
      <c r="C1315" s="5" t="s">
        <v>22</v>
      </c>
      <c r="D1315" s="3" t="str" cm="1">
        <f t="array" ref="D1315">_xlfn.IFS(
 ISNUMBER(SEARCH("WHISK",C1315)),"Whiskey",
 ISNUMBER(SEARCH("BOURBON",C1315)),"Whiskey",
 ISNUMBER(SEARCH("SCOTCH",C1315)),"Whiskey",
 ISNUMBER(SEARCH("RYE",C1315)),"Whiskey",
 ISNUMBER(SEARCH("VODKA",C1315)),"Vodka",
 ISNUMBER(SEARCH("TEQUILA",C1315)),"Tequila/Mezcal",
 ISNUMBER(SEARCH("MEZCAL",C1315)),"Tequila/Mezcal",
 ISNUMBER(SEARCH("RUM",C1315)),"Rum",
 ISNUMBER(SEARCH("BRAND",C1315)),"Brandy",
 ISNUMBER(SEARCH("COGNAC",C1315)),"Brandy",
 ISNUMBER(SEARCH("LIQUEUR",C1315)),"Liqueurs",
 ISNUMBER(SEARCH("CORDIAL",C1315)),"Liqueurs",
 ISNUMBER(SEARCH("SCHNAPP",C1315)),"Liqueurs",
 ISNUMBER(SEARCH("GIN",C1315)),"Gin",
 TRUE,"Other")</f>
        <v>Liqueurs</v>
      </c>
      <c r="E1315" s="5">
        <v>22827</v>
      </c>
      <c r="F1315" s="5">
        <v>459632.52999999688</v>
      </c>
      <c r="G1315" s="5"/>
      <c r="H1315" s="5">
        <v>3731</v>
      </c>
    </row>
    <row r="1316" spans="1:8">
      <c r="A1316" s="5">
        <v>2022</v>
      </c>
      <c r="B1316" s="6">
        <v>44652</v>
      </c>
      <c r="C1316" s="5" t="s">
        <v>24</v>
      </c>
      <c r="D1316" s="3" t="str" cm="1">
        <f t="array" ref="D1316">_xlfn.IFS(
 ISNUMBER(SEARCH("WHISK",C1316)),"Whiskey",
 ISNUMBER(SEARCH("BOURBON",C1316)),"Whiskey",
 ISNUMBER(SEARCH("SCOTCH",C1316)),"Whiskey",
 ISNUMBER(SEARCH("RYE",C1316)),"Whiskey",
 ISNUMBER(SEARCH("VODKA",C1316)),"Vodka",
 ISNUMBER(SEARCH("TEQUILA",C1316)),"Tequila/Mezcal",
 ISNUMBER(SEARCH("MEZCAL",C1316)),"Tequila/Mezcal",
 ISNUMBER(SEARCH("RUM",C1316)),"Rum",
 ISNUMBER(SEARCH("BRAND",C1316)),"Brandy",
 ISNUMBER(SEARCH("COGNAC",C1316)),"Brandy",
 ISNUMBER(SEARCH("LIQUEUR",C1316)),"Liqueurs",
 ISNUMBER(SEARCH("CORDIAL",C1316)),"Liqueurs",
 ISNUMBER(SEARCH("SCHNAPP",C1316)),"Liqueurs",
 ISNUMBER(SEARCH("GIN",C1316)),"Gin",
 TRUE,"Other")</f>
        <v>Rum</v>
      </c>
      <c r="E1316" s="5">
        <v>43030</v>
      </c>
      <c r="F1316" s="5">
        <v>631281.60000000324</v>
      </c>
      <c r="G1316" s="5"/>
      <c r="H1316" s="5">
        <v>3949</v>
      </c>
    </row>
    <row r="1317" spans="1:8">
      <c r="A1317" s="5">
        <v>2022</v>
      </c>
      <c r="B1317" s="6">
        <v>44652</v>
      </c>
      <c r="C1317" s="5" t="s">
        <v>26</v>
      </c>
      <c r="D1317" s="3" t="str" cm="1">
        <f t="array" ref="D1317">_xlfn.IFS(
 ISNUMBER(SEARCH("WHISK",C1317)),"Whiskey",
 ISNUMBER(SEARCH("BOURBON",C1317)),"Whiskey",
 ISNUMBER(SEARCH("SCOTCH",C1317)),"Whiskey",
 ISNUMBER(SEARCH("RYE",C1317)),"Whiskey",
 ISNUMBER(SEARCH("VODKA",C1317)),"Vodka",
 ISNUMBER(SEARCH("TEQUILA",C1317)),"Tequila/Mezcal",
 ISNUMBER(SEARCH("MEZCAL",C1317)),"Tequila/Mezcal",
 ISNUMBER(SEARCH("RUM",C1317)),"Rum",
 ISNUMBER(SEARCH("BRAND",C1317)),"Brandy",
 ISNUMBER(SEARCH("COGNAC",C1317)),"Brandy",
 ISNUMBER(SEARCH("LIQUEUR",C1317)),"Liqueurs",
 ISNUMBER(SEARCH("CORDIAL",C1317)),"Liqueurs",
 ISNUMBER(SEARCH("SCHNAPP",C1317)),"Liqueurs",
 ISNUMBER(SEARCH("GIN",C1317)),"Gin",
 TRUE,"Other")</f>
        <v>Brandy</v>
      </c>
      <c r="E1317" s="5">
        <v>47779</v>
      </c>
      <c r="F1317" s="5">
        <v>1056218.1200000069</v>
      </c>
      <c r="G1317" s="5"/>
      <c r="H1317" s="5">
        <v>3753</v>
      </c>
    </row>
    <row r="1318" spans="1:8">
      <c r="A1318" s="5">
        <v>2022</v>
      </c>
      <c r="B1318" s="6">
        <v>44652</v>
      </c>
      <c r="C1318" s="5" t="s">
        <v>32</v>
      </c>
      <c r="D1318" s="3" t="str" cm="1">
        <f t="array" ref="D1318">_xlfn.IFS(
 ISNUMBER(SEARCH("WHISK",C1318)),"Whiskey",
 ISNUMBER(SEARCH("BOURBON",C1318)),"Whiskey",
 ISNUMBER(SEARCH("SCOTCH",C1318)),"Whiskey",
 ISNUMBER(SEARCH("RYE",C1318)),"Whiskey",
 ISNUMBER(SEARCH("VODKA",C1318)),"Vodka",
 ISNUMBER(SEARCH("TEQUILA",C1318)),"Tequila/Mezcal",
 ISNUMBER(SEARCH("MEZCAL",C1318)),"Tequila/Mezcal",
 ISNUMBER(SEARCH("RUM",C1318)),"Rum",
 ISNUMBER(SEARCH("BRAND",C1318)),"Brandy",
 ISNUMBER(SEARCH("COGNAC",C1318)),"Brandy",
 ISNUMBER(SEARCH("LIQUEUR",C1318)),"Liqueurs",
 ISNUMBER(SEARCH("CORDIAL",C1318)),"Liqueurs",
 ISNUMBER(SEARCH("SCHNAPP",C1318)),"Liqueurs",
 ISNUMBER(SEARCH("GIN",C1318)),"Gin",
 TRUE,"Other")</f>
        <v>Vodka</v>
      </c>
      <c r="E1318" s="5">
        <v>54140</v>
      </c>
      <c r="F1318" s="5">
        <v>941809.00999997533</v>
      </c>
      <c r="G1318" s="5"/>
      <c r="H1318" s="5">
        <v>4840</v>
      </c>
    </row>
    <row r="1319" spans="1:8">
      <c r="A1319" s="5">
        <v>2022</v>
      </c>
      <c r="B1319" s="6">
        <v>44652</v>
      </c>
      <c r="C1319" s="5" t="s">
        <v>43</v>
      </c>
      <c r="D1319" s="3" t="str" cm="1">
        <f t="array" ref="D1319">_xlfn.IFS(
 ISNUMBER(SEARCH("WHISK",C1319)),"Whiskey",
 ISNUMBER(SEARCH("BOURBON",C1319)),"Whiskey",
 ISNUMBER(SEARCH("SCOTCH",C1319)),"Whiskey",
 ISNUMBER(SEARCH("RYE",C1319)),"Whiskey",
 ISNUMBER(SEARCH("VODKA",C1319)),"Vodka",
 ISNUMBER(SEARCH("TEQUILA",C1319)),"Tequila/Mezcal",
 ISNUMBER(SEARCH("MEZCAL",C1319)),"Tequila/Mezcal",
 ISNUMBER(SEARCH("RUM",C1319)),"Rum",
 ISNUMBER(SEARCH("BRAND",C1319)),"Brandy",
 ISNUMBER(SEARCH("COGNAC",C1319)),"Brandy",
 ISNUMBER(SEARCH("LIQUEUR",C1319)),"Liqueurs",
 ISNUMBER(SEARCH("CORDIAL",C1319)),"Liqueurs",
 ISNUMBER(SEARCH("SCHNAPP",C1319)),"Liqueurs",
 ISNUMBER(SEARCH("GIN",C1319)),"Gin",
 TRUE,"Other")</f>
        <v>Whiskey</v>
      </c>
      <c r="E1319" s="5">
        <v>134827</v>
      </c>
      <c r="F1319" s="5">
        <v>3006913.2499999646</v>
      </c>
      <c r="G1319" s="5"/>
      <c r="H1319" s="5">
        <v>16153</v>
      </c>
    </row>
    <row r="1320" spans="1:8">
      <c r="A1320" s="5">
        <v>2022</v>
      </c>
      <c r="B1320" s="6">
        <v>44652</v>
      </c>
      <c r="C1320" s="5" t="s">
        <v>45</v>
      </c>
      <c r="D1320" s="3" t="str" cm="1">
        <f t="array" ref="D1320">_xlfn.IFS(
 ISNUMBER(SEARCH("WHISK",C1320)),"Whiskey",
 ISNUMBER(SEARCH("BOURBON",C1320)),"Whiskey",
 ISNUMBER(SEARCH("SCOTCH",C1320)),"Whiskey",
 ISNUMBER(SEARCH("RYE",C1320)),"Whiskey",
 ISNUMBER(SEARCH("VODKA",C1320)),"Vodka",
 ISNUMBER(SEARCH("TEQUILA",C1320)),"Tequila/Mezcal",
 ISNUMBER(SEARCH("MEZCAL",C1320)),"Tequila/Mezcal",
 ISNUMBER(SEARCH("RUM",C1320)),"Rum",
 ISNUMBER(SEARCH("BRAND",C1320)),"Brandy",
 ISNUMBER(SEARCH("COGNAC",C1320)),"Brandy",
 ISNUMBER(SEARCH("LIQUEUR",C1320)),"Liqueurs",
 ISNUMBER(SEARCH("CORDIAL",C1320)),"Liqueurs",
 ISNUMBER(SEARCH("SCHNAPP",C1320)),"Liqueurs",
 ISNUMBER(SEARCH("GIN",C1320)),"Gin",
 TRUE,"Other")</f>
        <v>Other</v>
      </c>
      <c r="E1320" s="5">
        <v>48019</v>
      </c>
      <c r="F1320" s="5">
        <v>1278526.4599999406</v>
      </c>
      <c r="G1320" s="5"/>
      <c r="H1320" s="5">
        <v>5492</v>
      </c>
    </row>
    <row r="1321" spans="1:8">
      <c r="A1321" s="5">
        <v>2022</v>
      </c>
      <c r="B1321" s="6">
        <v>44652</v>
      </c>
      <c r="C1321" s="5" t="s">
        <v>46</v>
      </c>
      <c r="D1321" s="3" t="str" cm="1">
        <f t="array" ref="D1321">_xlfn.IFS(
 ISNUMBER(SEARCH("WHISK",C1321)),"Whiskey",
 ISNUMBER(SEARCH("BOURBON",C1321)),"Whiskey",
 ISNUMBER(SEARCH("SCOTCH",C1321)),"Whiskey",
 ISNUMBER(SEARCH("RYE",C1321)),"Whiskey",
 ISNUMBER(SEARCH("VODKA",C1321)),"Vodka",
 ISNUMBER(SEARCH("TEQUILA",C1321)),"Tequila/Mezcal",
 ISNUMBER(SEARCH("MEZCAL",C1321)),"Tequila/Mezcal",
 ISNUMBER(SEARCH("RUM",C1321)),"Rum",
 ISNUMBER(SEARCH("BRAND",C1321)),"Brandy",
 ISNUMBER(SEARCH("COGNAC",C1321)),"Brandy",
 ISNUMBER(SEARCH("LIQUEUR",C1321)),"Liqueurs",
 ISNUMBER(SEARCH("CORDIAL",C1321)),"Liqueurs",
 ISNUMBER(SEARCH("SCHNAPP",C1321)),"Liqueurs",
 ISNUMBER(SEARCH("GIN",C1321)),"Gin",
 TRUE,"Other")</f>
        <v>Whiskey</v>
      </c>
      <c r="E1321" s="5">
        <v>58036</v>
      </c>
      <c r="F1321" s="5">
        <v>1289837.4499999722</v>
      </c>
      <c r="G1321" s="5"/>
      <c r="H1321" s="5">
        <v>5538</v>
      </c>
    </row>
    <row r="1322" spans="1:8">
      <c r="A1322" s="5">
        <v>2022</v>
      </c>
      <c r="B1322" s="6">
        <v>44652</v>
      </c>
      <c r="C1322" s="5" t="s">
        <v>48</v>
      </c>
      <c r="D1322" s="3" t="str" cm="1">
        <f t="array" ref="D1322">_xlfn.IFS(
 ISNUMBER(SEARCH("WHISK",C1322)),"Whiskey",
 ISNUMBER(SEARCH("BOURBON",C1322)),"Whiskey",
 ISNUMBER(SEARCH("SCOTCH",C1322)),"Whiskey",
 ISNUMBER(SEARCH("RYE",C1322)),"Whiskey",
 ISNUMBER(SEARCH("VODKA",C1322)),"Vodka",
 ISNUMBER(SEARCH("TEQUILA",C1322)),"Tequila/Mezcal",
 ISNUMBER(SEARCH("MEZCAL",C1322)),"Tequila/Mezcal",
 ISNUMBER(SEARCH("RUM",C1322)),"Rum",
 ISNUMBER(SEARCH("BRAND",C1322)),"Brandy",
 ISNUMBER(SEARCH("COGNAC",C1322)),"Brandy",
 ISNUMBER(SEARCH("LIQUEUR",C1322)),"Liqueurs",
 ISNUMBER(SEARCH("CORDIAL",C1322)),"Liqueurs",
 ISNUMBER(SEARCH("SCHNAPP",C1322)),"Liqueurs",
 ISNUMBER(SEARCH("GIN",C1322)),"Gin",
 TRUE,"Other")</f>
        <v>Whiskey</v>
      </c>
      <c r="E1322" s="5">
        <v>368782</v>
      </c>
      <c r="F1322" s="5">
        <v>2280409.0999999726</v>
      </c>
      <c r="G1322" s="5"/>
      <c r="H1322" s="5">
        <v>12277</v>
      </c>
    </row>
    <row r="1323" spans="1:8">
      <c r="A1323" s="5">
        <v>2022</v>
      </c>
      <c r="B1323" s="6">
        <v>44652</v>
      </c>
      <c r="C1323" s="5" t="s">
        <v>49</v>
      </c>
      <c r="D1323" s="3" t="str" cm="1">
        <f t="array" ref="D1323">_xlfn.IFS(
 ISNUMBER(SEARCH("WHISK",C1323)),"Whiskey",
 ISNUMBER(SEARCH("BOURBON",C1323)),"Whiskey",
 ISNUMBER(SEARCH("SCOTCH",C1323)),"Whiskey",
 ISNUMBER(SEARCH("RYE",C1323)),"Whiskey",
 ISNUMBER(SEARCH("VODKA",C1323)),"Vodka",
 ISNUMBER(SEARCH("TEQUILA",C1323)),"Tequila/Mezcal",
 ISNUMBER(SEARCH("MEZCAL",C1323)),"Tequila/Mezcal",
 ISNUMBER(SEARCH("RUM",C1323)),"Rum",
 ISNUMBER(SEARCH("BRAND",C1323)),"Brandy",
 ISNUMBER(SEARCH("COGNAC",C1323)),"Brandy",
 ISNUMBER(SEARCH("LIQUEUR",C1323)),"Liqueurs",
 ISNUMBER(SEARCH("CORDIAL",C1323)),"Liqueurs",
 ISNUMBER(SEARCH("SCHNAPP",C1323)),"Liqueurs",
 ISNUMBER(SEARCH("GIN",C1323)),"Gin",
 TRUE,"Other")</f>
        <v>Rum</v>
      </c>
      <c r="E1323" s="5">
        <v>47546</v>
      </c>
      <c r="F1323" s="5">
        <v>531583.76999999676</v>
      </c>
      <c r="G1323" s="5"/>
      <c r="H1323" s="5">
        <v>4105</v>
      </c>
    </row>
    <row r="1324" spans="1:8">
      <c r="A1324" s="5">
        <v>2022</v>
      </c>
      <c r="B1324" s="6">
        <v>44652</v>
      </c>
      <c r="C1324" s="5" t="s">
        <v>10</v>
      </c>
      <c r="D1324" s="3" t="str" cm="1">
        <f t="array" ref="D1324">_xlfn.IFS(
 ISNUMBER(SEARCH("WHISK",C1324)),"Whiskey",
 ISNUMBER(SEARCH("BOURBON",C1324)),"Whiskey",
 ISNUMBER(SEARCH("SCOTCH",C1324)),"Whiskey",
 ISNUMBER(SEARCH("RYE",C1324)),"Whiskey",
 ISNUMBER(SEARCH("VODKA",C1324)),"Vodka",
 ISNUMBER(SEARCH("TEQUILA",C1324)),"Tequila/Mezcal",
 ISNUMBER(SEARCH("MEZCAL",C1324)),"Tequila/Mezcal",
 ISNUMBER(SEARCH("RUM",C1324)),"Rum",
 ISNUMBER(SEARCH("BRAND",C1324)),"Brandy",
 ISNUMBER(SEARCH("COGNAC",C1324)),"Brandy",
 ISNUMBER(SEARCH("LIQUEUR",C1324)),"Liqueurs",
 ISNUMBER(SEARCH("CORDIAL",C1324)),"Liqueurs",
 ISNUMBER(SEARCH("SCHNAPP",C1324)),"Liqueurs",
 ISNUMBER(SEARCH("GIN",C1324)),"Gin",
 TRUE,"Other")</f>
        <v>Other</v>
      </c>
      <c r="E1324" s="5">
        <v>5074</v>
      </c>
      <c r="F1324" s="5">
        <v>97865.909999999625</v>
      </c>
      <c r="G1324" s="5"/>
      <c r="H1324" s="5">
        <v>863</v>
      </c>
    </row>
    <row r="1325" spans="1:8">
      <c r="A1325" s="5">
        <v>2022</v>
      </c>
      <c r="B1325" s="6">
        <v>44652</v>
      </c>
      <c r="C1325" s="5" t="s">
        <v>11</v>
      </c>
      <c r="D1325" s="3" t="str" cm="1">
        <f t="array" ref="D1325">_xlfn.IFS(
 ISNUMBER(SEARCH("WHISK",C1325)),"Whiskey",
 ISNUMBER(SEARCH("BOURBON",C1325)),"Whiskey",
 ISNUMBER(SEARCH("SCOTCH",C1325)),"Whiskey",
 ISNUMBER(SEARCH("RYE",C1325)),"Whiskey",
 ISNUMBER(SEARCH("VODKA",C1325)),"Vodka",
 ISNUMBER(SEARCH("TEQUILA",C1325)),"Tequila/Mezcal",
 ISNUMBER(SEARCH("MEZCAL",C1325)),"Tequila/Mezcal",
 ISNUMBER(SEARCH("RUM",C1325)),"Rum",
 ISNUMBER(SEARCH("BRAND",C1325)),"Brandy",
 ISNUMBER(SEARCH("COGNAC",C1325)),"Brandy",
 ISNUMBER(SEARCH("LIQUEUR",C1325)),"Liqueurs",
 ISNUMBER(SEARCH("CORDIAL",C1325)),"Liqueurs",
 ISNUMBER(SEARCH("SCHNAPP",C1325)),"Liqueurs",
 ISNUMBER(SEARCH("GIN",C1325)),"Gin",
 TRUE,"Other")</f>
        <v>Gin</v>
      </c>
      <c r="E1325" s="5">
        <v>30054</v>
      </c>
      <c r="F1325" s="5">
        <v>245264.31999999948</v>
      </c>
      <c r="G1325" s="5"/>
      <c r="H1325" s="5">
        <v>2508</v>
      </c>
    </row>
    <row r="1326" spans="1:8">
      <c r="A1326" s="5">
        <v>2022</v>
      </c>
      <c r="B1326" s="6">
        <v>44652</v>
      </c>
      <c r="C1326" s="5" t="s">
        <v>33</v>
      </c>
      <c r="D1326" s="3" t="str" cm="1">
        <f t="array" ref="D1326">_xlfn.IFS(
 ISNUMBER(SEARCH("WHISK",C1326)),"Whiskey",
 ISNUMBER(SEARCH("BOURBON",C1326)),"Whiskey",
 ISNUMBER(SEARCH("SCOTCH",C1326)),"Whiskey",
 ISNUMBER(SEARCH("RYE",C1326)),"Whiskey",
 ISNUMBER(SEARCH("VODKA",C1326)),"Vodka",
 ISNUMBER(SEARCH("TEQUILA",C1326)),"Tequila/Mezcal",
 ISNUMBER(SEARCH("MEZCAL",C1326)),"Tequila/Mezcal",
 ISNUMBER(SEARCH("RUM",C1326)),"Rum",
 ISNUMBER(SEARCH("BRAND",C1326)),"Brandy",
 ISNUMBER(SEARCH("COGNAC",C1326)),"Brandy",
 ISNUMBER(SEARCH("LIQUEUR",C1326)),"Liqueurs",
 ISNUMBER(SEARCH("CORDIAL",C1326)),"Liqueurs",
 ISNUMBER(SEARCH("SCHNAPP",C1326)),"Liqueurs",
 ISNUMBER(SEARCH("GIN",C1326)),"Gin",
 TRUE,"Other")</f>
        <v>Whiskey</v>
      </c>
      <c r="E1326" s="5">
        <v>20357</v>
      </c>
      <c r="F1326" s="5">
        <v>553591.07999999938</v>
      </c>
      <c r="G1326" s="5"/>
      <c r="H1326" s="5">
        <v>2369</v>
      </c>
    </row>
    <row r="1327" spans="1:8">
      <c r="A1327" s="5">
        <v>2022</v>
      </c>
      <c r="B1327" s="6">
        <v>44652</v>
      </c>
      <c r="C1327" s="5" t="s">
        <v>38</v>
      </c>
      <c r="D1327" s="3" t="str" cm="1">
        <f t="array" ref="D1327">_xlfn.IFS(
 ISNUMBER(SEARCH("WHISK",C1327)),"Whiskey",
 ISNUMBER(SEARCH("BOURBON",C1327)),"Whiskey",
 ISNUMBER(SEARCH("SCOTCH",C1327)),"Whiskey",
 ISNUMBER(SEARCH("RYE",C1327)),"Whiskey",
 ISNUMBER(SEARCH("VODKA",C1327)),"Vodka",
 ISNUMBER(SEARCH("TEQUILA",C1327)),"Tequila/Mezcal",
 ISNUMBER(SEARCH("MEZCAL",C1327)),"Tequila/Mezcal",
 ISNUMBER(SEARCH("RUM",C1327)),"Rum",
 ISNUMBER(SEARCH("BRAND",C1327)),"Brandy",
 ISNUMBER(SEARCH("COGNAC",C1327)),"Brandy",
 ISNUMBER(SEARCH("LIQUEUR",C1327)),"Liqueurs",
 ISNUMBER(SEARCH("CORDIAL",C1327)),"Liqueurs",
 ISNUMBER(SEARCH("SCHNAPP",C1327)),"Liqueurs",
 ISNUMBER(SEARCH("GIN",C1327)),"Gin",
 TRUE,"Other")</f>
        <v>Whiskey</v>
      </c>
      <c r="E1327" s="5">
        <v>15028</v>
      </c>
      <c r="F1327" s="5">
        <v>435406.48999999801</v>
      </c>
      <c r="G1327" s="5"/>
      <c r="H1327" s="5">
        <v>2642</v>
      </c>
    </row>
    <row r="1328" spans="1:8">
      <c r="A1328" s="5">
        <v>2022</v>
      </c>
      <c r="B1328" s="6">
        <v>44652</v>
      </c>
      <c r="C1328" s="5" t="s">
        <v>42</v>
      </c>
      <c r="D1328" s="3" t="str" cm="1">
        <f t="array" ref="D1328">_xlfn.IFS(
 ISNUMBER(SEARCH("WHISK",C1328)),"Whiskey",
 ISNUMBER(SEARCH("BOURBON",C1328)),"Whiskey",
 ISNUMBER(SEARCH("SCOTCH",C1328)),"Whiskey",
 ISNUMBER(SEARCH("RYE",C1328)),"Whiskey",
 ISNUMBER(SEARCH("VODKA",C1328)),"Vodka",
 ISNUMBER(SEARCH("TEQUILA",C1328)),"Tequila/Mezcal",
 ISNUMBER(SEARCH("MEZCAL",C1328)),"Tequila/Mezcal",
 ISNUMBER(SEARCH("RUM",C1328)),"Rum",
 ISNUMBER(SEARCH("BRAND",C1328)),"Brandy",
 ISNUMBER(SEARCH("COGNAC",C1328)),"Brandy",
 ISNUMBER(SEARCH("LIQUEUR",C1328)),"Liqueurs",
 ISNUMBER(SEARCH("CORDIAL",C1328)),"Liqueurs",
 ISNUMBER(SEARCH("SCHNAPP",C1328)),"Liqueurs",
 ISNUMBER(SEARCH("GIN",C1328)),"Gin",
 TRUE,"Other")</f>
        <v>Rum</v>
      </c>
      <c r="E1328" s="5">
        <v>100046</v>
      </c>
      <c r="F1328" s="5">
        <v>1395660.0899999915</v>
      </c>
      <c r="G1328" s="5"/>
      <c r="H1328" s="5">
        <v>8492</v>
      </c>
    </row>
    <row r="1329" spans="1:8">
      <c r="A1329" s="5">
        <v>2022</v>
      </c>
      <c r="B1329" s="6">
        <v>44652</v>
      </c>
      <c r="C1329" s="5" t="s">
        <v>37</v>
      </c>
      <c r="D1329" s="3" t="str" cm="1">
        <f t="array" ref="D1329">_xlfn.IFS(
 ISNUMBER(SEARCH("WHISK",C1329)),"Whiskey",
 ISNUMBER(SEARCH("BOURBON",C1329)),"Whiskey",
 ISNUMBER(SEARCH("SCOTCH",C1329)),"Whiskey",
 ISNUMBER(SEARCH("RYE",C1329)),"Whiskey",
 ISNUMBER(SEARCH("VODKA",C1329)),"Vodka",
 ISNUMBER(SEARCH("TEQUILA",C1329)),"Tequila/Mezcal",
 ISNUMBER(SEARCH("MEZCAL",C1329)),"Tequila/Mezcal",
 ISNUMBER(SEARCH("RUM",C1329)),"Rum",
 ISNUMBER(SEARCH("BRAND",C1329)),"Brandy",
 ISNUMBER(SEARCH("COGNAC",C1329)),"Brandy",
 ISNUMBER(SEARCH("LIQUEUR",C1329)),"Liqueurs",
 ISNUMBER(SEARCH("CORDIAL",C1329)),"Liqueurs",
 ISNUMBER(SEARCH("SCHNAPP",C1329)),"Liqueurs",
 ISNUMBER(SEARCH("GIN",C1329)),"Gin",
 TRUE,"Other")</f>
        <v>Other</v>
      </c>
      <c r="E1329" s="5">
        <v>11176</v>
      </c>
      <c r="F1329" s="5">
        <v>189563.77000000118</v>
      </c>
      <c r="G1329" s="5"/>
      <c r="H1329" s="5">
        <v>2113</v>
      </c>
    </row>
    <row r="1330" spans="1:8">
      <c r="A1330" s="5">
        <v>2022</v>
      </c>
      <c r="B1330" s="6">
        <v>44652</v>
      </c>
      <c r="C1330" s="5" t="s">
        <v>25</v>
      </c>
      <c r="D1330" s="3" t="str" cm="1">
        <f t="array" ref="D1330">_xlfn.IFS(
 ISNUMBER(SEARCH("WHISK",C1330)),"Whiskey",
 ISNUMBER(SEARCH("BOURBON",C1330)),"Whiskey",
 ISNUMBER(SEARCH("SCOTCH",C1330)),"Whiskey",
 ISNUMBER(SEARCH("RYE",C1330)),"Whiskey",
 ISNUMBER(SEARCH("VODKA",C1330)),"Vodka",
 ISNUMBER(SEARCH("TEQUILA",C1330)),"Tequila/Mezcal",
 ISNUMBER(SEARCH("MEZCAL",C1330)),"Tequila/Mezcal",
 ISNUMBER(SEARCH("RUM",C1330)),"Rum",
 ISNUMBER(SEARCH("BRAND",C1330)),"Brandy",
 ISNUMBER(SEARCH("COGNAC",C1330)),"Brandy",
 ISNUMBER(SEARCH("LIQUEUR",C1330)),"Liqueurs",
 ISNUMBER(SEARCH("CORDIAL",C1330)),"Liqueurs",
 ISNUMBER(SEARCH("SCHNAPP",C1330)),"Liqueurs",
 ISNUMBER(SEARCH("GIN",C1330)),"Gin",
 TRUE,"Other")</f>
        <v>Rum</v>
      </c>
      <c r="E1330" s="5">
        <v>6790</v>
      </c>
      <c r="F1330" s="5">
        <v>86365.679999999717</v>
      </c>
      <c r="G1330" s="5"/>
      <c r="H1330" s="5">
        <v>990</v>
      </c>
    </row>
    <row r="1331" spans="1:8">
      <c r="A1331" s="5">
        <v>2022</v>
      </c>
      <c r="B1331" s="6">
        <v>44652</v>
      </c>
      <c r="C1331" s="5" t="s">
        <v>44</v>
      </c>
      <c r="D1331" s="3" t="str" cm="1">
        <f t="array" ref="D1331">_xlfn.IFS(
 ISNUMBER(SEARCH("WHISK",C1331)),"Whiskey",
 ISNUMBER(SEARCH("BOURBON",C1331)),"Whiskey",
 ISNUMBER(SEARCH("SCOTCH",C1331)),"Whiskey",
 ISNUMBER(SEARCH("RYE",C1331)),"Whiskey",
 ISNUMBER(SEARCH("VODKA",C1331)),"Vodka",
 ISNUMBER(SEARCH("TEQUILA",C1331)),"Tequila/Mezcal",
 ISNUMBER(SEARCH("MEZCAL",C1331)),"Tequila/Mezcal",
 ISNUMBER(SEARCH("RUM",C1331)),"Rum",
 ISNUMBER(SEARCH("BRAND",C1331)),"Brandy",
 ISNUMBER(SEARCH("COGNAC",C1331)),"Brandy",
 ISNUMBER(SEARCH("LIQUEUR",C1331)),"Liqueurs",
 ISNUMBER(SEARCH("CORDIAL",C1331)),"Liqueurs",
 ISNUMBER(SEARCH("SCHNAPP",C1331)),"Liqueurs",
 ISNUMBER(SEARCH("GIN",C1331)),"Gin",
 TRUE,"Other")</f>
        <v>Whiskey</v>
      </c>
      <c r="E1331" s="5">
        <v>10867</v>
      </c>
      <c r="F1331" s="5">
        <v>330561.07000000164</v>
      </c>
      <c r="G1331" s="5"/>
      <c r="H1331" s="5">
        <v>2144</v>
      </c>
    </row>
    <row r="1332" spans="1:8">
      <c r="A1332" s="5">
        <v>2022</v>
      </c>
      <c r="B1332" s="6">
        <v>44652</v>
      </c>
      <c r="C1332" s="5" t="s">
        <v>13</v>
      </c>
      <c r="D1332" s="3" t="str" cm="1">
        <f t="array" ref="D1332">_xlfn.IFS(
 ISNUMBER(SEARCH("WHISK",C1332)),"Whiskey",
 ISNUMBER(SEARCH("BOURBON",C1332)),"Whiskey",
 ISNUMBER(SEARCH("SCOTCH",C1332)),"Whiskey",
 ISNUMBER(SEARCH("RYE",C1332)),"Whiskey",
 ISNUMBER(SEARCH("VODKA",C1332)),"Vodka",
 ISNUMBER(SEARCH("TEQUILA",C1332)),"Tequila/Mezcal",
 ISNUMBER(SEARCH("MEZCAL",C1332)),"Tequila/Mezcal",
 ISNUMBER(SEARCH("RUM",C1332)),"Rum",
 ISNUMBER(SEARCH("BRAND",C1332)),"Brandy",
 ISNUMBER(SEARCH("COGNAC",C1332)),"Brandy",
 ISNUMBER(SEARCH("LIQUEUR",C1332)),"Liqueurs",
 ISNUMBER(SEARCH("CORDIAL",C1332)),"Liqueurs",
 ISNUMBER(SEARCH("SCHNAPP",C1332)),"Liqueurs",
 ISNUMBER(SEARCH("GIN",C1332)),"Gin",
 TRUE,"Other")</f>
        <v>Liqueurs</v>
      </c>
      <c r="E1332" s="5">
        <v>66189</v>
      </c>
      <c r="F1332" s="5">
        <v>535320.12999999907</v>
      </c>
      <c r="G1332" s="5"/>
      <c r="H1332" s="5">
        <v>6948</v>
      </c>
    </row>
    <row r="1333" spans="1:8">
      <c r="A1333" s="5">
        <v>2022</v>
      </c>
      <c r="B1333" s="6">
        <v>44652</v>
      </c>
      <c r="C1333" s="5" t="s">
        <v>20</v>
      </c>
      <c r="D1333" s="3" t="str" cm="1">
        <f t="array" ref="D1333">_xlfn.IFS(
 ISNUMBER(SEARCH("WHISK",C1333)),"Whiskey",
 ISNUMBER(SEARCH("BOURBON",C1333)),"Whiskey",
 ISNUMBER(SEARCH("SCOTCH",C1333)),"Whiskey",
 ISNUMBER(SEARCH("RYE",C1333)),"Whiskey",
 ISNUMBER(SEARCH("VODKA",C1333)),"Vodka",
 ISNUMBER(SEARCH("TEQUILA",C1333)),"Tequila/Mezcal",
 ISNUMBER(SEARCH("MEZCAL",C1333)),"Tequila/Mezcal",
 ISNUMBER(SEARCH("RUM",C1333)),"Rum",
 ISNUMBER(SEARCH("BRAND",C1333)),"Brandy",
 ISNUMBER(SEARCH("COGNAC",C1333)),"Brandy",
 ISNUMBER(SEARCH("LIQUEUR",C1333)),"Liqueurs",
 ISNUMBER(SEARCH("CORDIAL",C1333)),"Liqueurs",
 ISNUMBER(SEARCH("SCHNAPP",C1333)),"Liqueurs",
 ISNUMBER(SEARCH("GIN",C1333)),"Gin",
 TRUE,"Other")</f>
        <v>Liqueurs</v>
      </c>
      <c r="E1333" s="5">
        <v>8671</v>
      </c>
      <c r="F1333" s="5">
        <v>173441.44000000117</v>
      </c>
      <c r="G1333" s="5"/>
      <c r="H1333" s="5">
        <v>961</v>
      </c>
    </row>
    <row r="1334" spans="1:8">
      <c r="A1334" s="5">
        <v>2022</v>
      </c>
      <c r="B1334" s="6">
        <v>44652</v>
      </c>
      <c r="C1334" s="5" t="s">
        <v>29</v>
      </c>
      <c r="D1334" s="3" t="str" cm="1">
        <f t="array" ref="D1334">_xlfn.IFS(
 ISNUMBER(SEARCH("WHISK",C1334)),"Whiskey",
 ISNUMBER(SEARCH("BOURBON",C1334)),"Whiskey",
 ISNUMBER(SEARCH("SCOTCH",C1334)),"Whiskey",
 ISNUMBER(SEARCH("RYE",C1334)),"Whiskey",
 ISNUMBER(SEARCH("VODKA",C1334)),"Vodka",
 ISNUMBER(SEARCH("TEQUILA",C1334)),"Tequila/Mezcal",
 ISNUMBER(SEARCH("MEZCAL",C1334)),"Tequila/Mezcal",
 ISNUMBER(SEARCH("RUM",C1334)),"Rum",
 ISNUMBER(SEARCH("BRAND",C1334)),"Brandy",
 ISNUMBER(SEARCH("COGNAC",C1334)),"Brandy",
 ISNUMBER(SEARCH("LIQUEUR",C1334)),"Liqueurs",
 ISNUMBER(SEARCH("CORDIAL",C1334)),"Liqueurs",
 ISNUMBER(SEARCH("SCHNAPP",C1334)),"Liqueurs",
 ISNUMBER(SEARCH("GIN",C1334)),"Gin",
 TRUE,"Other")</f>
        <v>Gin</v>
      </c>
      <c r="E1334" s="5">
        <v>20236</v>
      </c>
      <c r="F1334" s="5">
        <v>492069.62999999977</v>
      </c>
      <c r="G1334" s="5"/>
      <c r="H1334" s="5">
        <v>2187</v>
      </c>
    </row>
    <row r="1335" spans="1:8">
      <c r="A1335" s="5">
        <v>2022</v>
      </c>
      <c r="B1335" s="6">
        <v>44652</v>
      </c>
      <c r="C1335" s="5" t="s">
        <v>31</v>
      </c>
      <c r="D1335" s="3" t="str" cm="1">
        <f t="array" ref="D1335">_xlfn.IFS(
 ISNUMBER(SEARCH("WHISK",C1335)),"Whiskey",
 ISNUMBER(SEARCH("BOURBON",C1335)),"Whiskey",
 ISNUMBER(SEARCH("SCOTCH",C1335)),"Whiskey",
 ISNUMBER(SEARCH("RYE",C1335)),"Whiskey",
 ISNUMBER(SEARCH("VODKA",C1335)),"Vodka",
 ISNUMBER(SEARCH("TEQUILA",C1335)),"Tequila/Mezcal",
 ISNUMBER(SEARCH("MEZCAL",C1335)),"Tequila/Mezcal",
 ISNUMBER(SEARCH("RUM",C1335)),"Rum",
 ISNUMBER(SEARCH("BRAND",C1335)),"Brandy",
 ISNUMBER(SEARCH("COGNAC",C1335)),"Brandy",
 ISNUMBER(SEARCH("LIQUEUR",C1335)),"Liqueurs",
 ISNUMBER(SEARCH("CORDIAL",C1335)),"Liqueurs",
 ISNUMBER(SEARCH("SCHNAPP",C1335)),"Liqueurs",
 ISNUMBER(SEARCH("GIN",C1335)),"Gin",
 TRUE,"Other")</f>
        <v>Liqueurs</v>
      </c>
      <c r="E1335" s="5">
        <v>27587</v>
      </c>
      <c r="F1335" s="5">
        <v>480570.58999999845</v>
      </c>
      <c r="G1335" s="5"/>
      <c r="H1335" s="5">
        <v>2841</v>
      </c>
    </row>
    <row r="1336" spans="1:8">
      <c r="A1336" s="5">
        <v>2022</v>
      </c>
      <c r="B1336" s="6">
        <v>44652</v>
      </c>
      <c r="C1336" s="5" t="s">
        <v>36</v>
      </c>
      <c r="D1336" s="3" t="str" cm="1">
        <f t="array" ref="D1336">_xlfn.IFS(
 ISNUMBER(SEARCH("WHISK",C1336)),"Whiskey",
 ISNUMBER(SEARCH("BOURBON",C1336)),"Whiskey",
 ISNUMBER(SEARCH("SCOTCH",C1336)),"Whiskey",
 ISNUMBER(SEARCH("RYE",C1336)),"Whiskey",
 ISNUMBER(SEARCH("VODKA",C1336)),"Vodka",
 ISNUMBER(SEARCH("TEQUILA",C1336)),"Tequila/Mezcal",
 ISNUMBER(SEARCH("MEZCAL",C1336)),"Tequila/Mezcal",
 ISNUMBER(SEARCH("RUM",C1336)),"Rum",
 ISNUMBER(SEARCH("BRAND",C1336)),"Brandy",
 ISNUMBER(SEARCH("COGNAC",C1336)),"Brandy",
 ISNUMBER(SEARCH("LIQUEUR",C1336)),"Liqueurs",
 ISNUMBER(SEARCH("CORDIAL",C1336)),"Liqueurs",
 ISNUMBER(SEARCH("SCHNAPP",C1336)),"Liqueurs",
 ISNUMBER(SEARCH("GIN",C1336)),"Gin",
 TRUE,"Other")</f>
        <v>Other</v>
      </c>
      <c r="E1336" s="5">
        <v>3219</v>
      </c>
      <c r="F1336" s="5">
        <v>49619.719999999994</v>
      </c>
      <c r="G1336" s="5"/>
      <c r="H1336" s="5">
        <v>338</v>
      </c>
    </row>
    <row r="1337" spans="1:8">
      <c r="A1337" s="5">
        <v>2022</v>
      </c>
      <c r="B1337" s="6">
        <v>44652</v>
      </c>
      <c r="C1337" s="5" t="s">
        <v>40</v>
      </c>
      <c r="D1337" s="3" t="str" cm="1">
        <f t="array" ref="D1337">_xlfn.IFS(
 ISNUMBER(SEARCH("WHISK",C1337)),"Whiskey",
 ISNUMBER(SEARCH("BOURBON",C1337)),"Whiskey",
 ISNUMBER(SEARCH("SCOTCH",C1337)),"Whiskey",
 ISNUMBER(SEARCH("RYE",C1337)),"Whiskey",
 ISNUMBER(SEARCH("VODKA",C1337)),"Vodka",
 ISNUMBER(SEARCH("TEQUILA",C1337)),"Tequila/Mezcal",
 ISNUMBER(SEARCH("MEZCAL",C1337)),"Tequila/Mezcal",
 ISNUMBER(SEARCH("RUM",C1337)),"Rum",
 ISNUMBER(SEARCH("BRAND",C1337)),"Brandy",
 ISNUMBER(SEARCH("COGNAC",C1337)),"Brandy",
 ISNUMBER(SEARCH("LIQUEUR",C1337)),"Liqueurs",
 ISNUMBER(SEARCH("CORDIAL",C1337)),"Liqueurs",
 ISNUMBER(SEARCH("SCHNAPP",C1337)),"Liqueurs",
 ISNUMBER(SEARCH("GIN",C1337)),"Gin",
 TRUE,"Other")</f>
        <v>Whiskey</v>
      </c>
      <c r="E1337" s="5">
        <v>5544</v>
      </c>
      <c r="F1337" s="5">
        <v>262792.35000000114</v>
      </c>
      <c r="G1337" s="5"/>
      <c r="H1337" s="5">
        <v>1273</v>
      </c>
    </row>
    <row r="1338" spans="1:8">
      <c r="A1338" s="5">
        <v>2022</v>
      </c>
      <c r="B1338" s="6">
        <v>44652</v>
      </c>
      <c r="C1338" s="5" t="s">
        <v>30</v>
      </c>
      <c r="D1338" s="3" t="str" cm="1">
        <f t="array" ref="D1338">_xlfn.IFS(
 ISNUMBER(SEARCH("WHISK",C1338)),"Whiskey",
 ISNUMBER(SEARCH("BOURBON",C1338)),"Whiskey",
 ISNUMBER(SEARCH("SCOTCH",C1338)),"Whiskey",
 ISNUMBER(SEARCH("RYE",C1338)),"Whiskey",
 ISNUMBER(SEARCH("VODKA",C1338)),"Vodka",
 ISNUMBER(SEARCH("TEQUILA",C1338)),"Tequila/Mezcal",
 ISNUMBER(SEARCH("MEZCAL",C1338)),"Tequila/Mezcal",
 ISNUMBER(SEARCH("RUM",C1338)),"Rum",
 ISNUMBER(SEARCH("BRAND",C1338)),"Brandy",
 ISNUMBER(SEARCH("COGNAC",C1338)),"Brandy",
 ISNUMBER(SEARCH("LIQUEUR",C1338)),"Liqueurs",
 ISNUMBER(SEARCH("CORDIAL",C1338)),"Liqueurs",
 ISNUMBER(SEARCH("SCHNAPP",C1338)),"Liqueurs",
 ISNUMBER(SEARCH("GIN",C1338)),"Gin",
 TRUE,"Other")</f>
        <v>Vodka</v>
      </c>
      <c r="E1338" s="5">
        <v>23608</v>
      </c>
      <c r="F1338" s="5">
        <v>397987.65999999963</v>
      </c>
      <c r="G1338" s="5"/>
      <c r="H1338" s="5">
        <v>3008</v>
      </c>
    </row>
    <row r="1339" spans="1:8">
      <c r="A1339" s="5">
        <v>2022</v>
      </c>
      <c r="B1339" s="6">
        <v>44652</v>
      </c>
      <c r="C1339" s="5" t="s">
        <v>47</v>
      </c>
      <c r="D1339" s="3" t="str" cm="1">
        <f t="array" ref="D1339">_xlfn.IFS(
 ISNUMBER(SEARCH("WHISK",C1339)),"Whiskey",
 ISNUMBER(SEARCH("BOURBON",C1339)),"Whiskey",
 ISNUMBER(SEARCH("SCOTCH",C1339)),"Whiskey",
 ISNUMBER(SEARCH("RYE",C1339)),"Whiskey",
 ISNUMBER(SEARCH("VODKA",C1339)),"Vodka",
 ISNUMBER(SEARCH("TEQUILA",C1339)),"Tequila/Mezcal",
 ISNUMBER(SEARCH("MEZCAL",C1339)),"Tequila/Mezcal",
 ISNUMBER(SEARCH("RUM",C1339)),"Rum",
 ISNUMBER(SEARCH("BRAND",C1339)),"Brandy",
 ISNUMBER(SEARCH("COGNAC",C1339)),"Brandy",
 ISNUMBER(SEARCH("LIQUEUR",C1339)),"Liqueurs",
 ISNUMBER(SEARCH("CORDIAL",C1339)),"Liqueurs",
 ISNUMBER(SEARCH("SCHNAPP",C1339)),"Liqueurs",
 ISNUMBER(SEARCH("GIN",C1339)),"Gin",
 TRUE,"Other")</f>
        <v>Other</v>
      </c>
      <c r="E1339" s="5">
        <v>16692</v>
      </c>
      <c r="F1339" s="5">
        <v>67413.759999999922</v>
      </c>
      <c r="G1339" s="5"/>
      <c r="H1339" s="5">
        <v>632</v>
      </c>
    </row>
    <row r="1340" spans="1:8">
      <c r="A1340" s="5">
        <v>2022</v>
      </c>
      <c r="B1340" s="6">
        <v>44652</v>
      </c>
      <c r="C1340" s="5" t="s">
        <v>17</v>
      </c>
      <c r="D1340" s="3" t="str" cm="1">
        <f t="array" ref="D1340">_xlfn.IFS(
 ISNUMBER(SEARCH("WHISK",C1340)),"Whiskey",
 ISNUMBER(SEARCH("BOURBON",C1340)),"Whiskey",
 ISNUMBER(SEARCH("SCOTCH",C1340)),"Whiskey",
 ISNUMBER(SEARCH("RYE",C1340)),"Whiskey",
 ISNUMBER(SEARCH("VODKA",C1340)),"Vodka",
 ISNUMBER(SEARCH("TEQUILA",C1340)),"Tequila/Mezcal",
 ISNUMBER(SEARCH("MEZCAL",C1340)),"Tequila/Mezcal",
 ISNUMBER(SEARCH("RUM",C1340)),"Rum",
 ISNUMBER(SEARCH("BRAND",C1340)),"Brandy",
 ISNUMBER(SEARCH("COGNAC",C1340)),"Brandy",
 ISNUMBER(SEARCH("LIQUEUR",C1340)),"Liqueurs",
 ISNUMBER(SEARCH("CORDIAL",C1340)),"Liqueurs",
 ISNUMBER(SEARCH("SCHNAPP",C1340)),"Liqueurs",
 ISNUMBER(SEARCH("GIN",C1340)),"Gin",
 TRUE,"Other")</f>
        <v>Whiskey</v>
      </c>
      <c r="E1340" s="5">
        <v>3159</v>
      </c>
      <c r="F1340" s="5">
        <v>86400.020000000062</v>
      </c>
      <c r="G1340" s="5"/>
      <c r="H1340" s="5">
        <v>940</v>
      </c>
    </row>
    <row r="1341" spans="1:8">
      <c r="A1341" s="5">
        <v>2022</v>
      </c>
      <c r="B1341" s="6">
        <v>44652</v>
      </c>
      <c r="C1341" s="5" t="s">
        <v>21</v>
      </c>
      <c r="D1341" s="3" t="str" cm="1">
        <f t="array" ref="D1341">_xlfn.IFS(
 ISNUMBER(SEARCH("WHISK",C1341)),"Whiskey",
 ISNUMBER(SEARCH("BOURBON",C1341)),"Whiskey",
 ISNUMBER(SEARCH("SCOTCH",C1341)),"Whiskey",
 ISNUMBER(SEARCH("RYE",C1341)),"Whiskey",
 ISNUMBER(SEARCH("VODKA",C1341)),"Vodka",
 ISNUMBER(SEARCH("TEQUILA",C1341)),"Tequila/Mezcal",
 ISNUMBER(SEARCH("MEZCAL",C1341)),"Tequila/Mezcal",
 ISNUMBER(SEARCH("RUM",C1341)),"Rum",
 ISNUMBER(SEARCH("BRAND",C1341)),"Brandy",
 ISNUMBER(SEARCH("COGNAC",C1341)),"Brandy",
 ISNUMBER(SEARCH("LIQUEUR",C1341)),"Liqueurs",
 ISNUMBER(SEARCH("CORDIAL",C1341)),"Liqueurs",
 ISNUMBER(SEARCH("SCHNAPP",C1341)),"Liqueurs",
 ISNUMBER(SEARCH("GIN",C1341)),"Gin",
 TRUE,"Other")</f>
        <v>Whiskey</v>
      </c>
      <c r="E1341" s="5">
        <v>1153</v>
      </c>
      <c r="F1341" s="5">
        <v>32083.919999999998</v>
      </c>
      <c r="G1341" s="5"/>
      <c r="H1341" s="5">
        <v>193</v>
      </c>
    </row>
    <row r="1342" spans="1:8">
      <c r="A1342" s="5">
        <v>2022</v>
      </c>
      <c r="B1342" s="6">
        <v>44652</v>
      </c>
      <c r="C1342" s="5" t="s">
        <v>23</v>
      </c>
      <c r="D1342" s="3" t="str" cm="1">
        <f t="array" ref="D1342">_xlfn.IFS(
 ISNUMBER(SEARCH("WHISK",C1342)),"Whiskey",
 ISNUMBER(SEARCH("BOURBON",C1342)),"Whiskey",
 ISNUMBER(SEARCH("SCOTCH",C1342)),"Whiskey",
 ISNUMBER(SEARCH("RYE",C1342)),"Whiskey",
 ISNUMBER(SEARCH("VODKA",C1342)),"Vodka",
 ISNUMBER(SEARCH("TEQUILA",C1342)),"Tequila/Mezcal",
 ISNUMBER(SEARCH("MEZCAL",C1342)),"Tequila/Mezcal",
 ISNUMBER(SEARCH("RUM",C1342)),"Rum",
 ISNUMBER(SEARCH("BRAND",C1342)),"Brandy",
 ISNUMBER(SEARCH("COGNAC",C1342)),"Brandy",
 ISNUMBER(SEARCH("LIQUEUR",C1342)),"Liqueurs",
 ISNUMBER(SEARCH("CORDIAL",C1342)),"Liqueurs",
 ISNUMBER(SEARCH("SCHNAPP",C1342)),"Liqueurs",
 ISNUMBER(SEARCH("GIN",C1342)),"Gin",
 TRUE,"Other")</f>
        <v>Gin</v>
      </c>
      <c r="E1342" s="5">
        <v>2803</v>
      </c>
      <c r="F1342" s="5">
        <v>64976.349999999969</v>
      </c>
      <c r="G1342" s="5"/>
      <c r="H1342" s="5">
        <v>374</v>
      </c>
    </row>
    <row r="1343" spans="1:8">
      <c r="A1343" s="5">
        <v>2022</v>
      </c>
      <c r="B1343" s="6">
        <v>44652</v>
      </c>
      <c r="C1343" s="5" t="s">
        <v>28</v>
      </c>
      <c r="D1343" s="3" t="str" cm="1">
        <f t="array" ref="D1343">_xlfn.IFS(
 ISNUMBER(SEARCH("WHISK",C1343)),"Whiskey",
 ISNUMBER(SEARCH("BOURBON",C1343)),"Whiskey",
 ISNUMBER(SEARCH("SCOTCH",C1343)),"Whiskey",
 ISNUMBER(SEARCH("RYE",C1343)),"Whiskey",
 ISNUMBER(SEARCH("VODKA",C1343)),"Vodka",
 ISNUMBER(SEARCH("TEQUILA",C1343)),"Tequila/Mezcal",
 ISNUMBER(SEARCH("MEZCAL",C1343)),"Tequila/Mezcal",
 ISNUMBER(SEARCH("RUM",C1343)),"Rum",
 ISNUMBER(SEARCH("BRAND",C1343)),"Brandy",
 ISNUMBER(SEARCH("COGNAC",C1343)),"Brandy",
 ISNUMBER(SEARCH("LIQUEUR",C1343)),"Liqueurs",
 ISNUMBER(SEARCH("CORDIAL",C1343)),"Liqueurs",
 ISNUMBER(SEARCH("SCHNAPP",C1343)),"Liqueurs",
 ISNUMBER(SEARCH("GIN",C1343)),"Gin",
 TRUE,"Other")</f>
        <v>Other</v>
      </c>
      <c r="E1343" s="5">
        <v>30840</v>
      </c>
      <c r="F1343" s="5">
        <v>240548.3899999999</v>
      </c>
      <c r="G1343" s="5"/>
      <c r="H1343" s="5">
        <v>417</v>
      </c>
    </row>
    <row r="1344" spans="1:8">
      <c r="A1344" s="5">
        <v>2022</v>
      </c>
      <c r="B1344" s="6">
        <v>44652</v>
      </c>
      <c r="C1344" s="5" t="s">
        <v>7</v>
      </c>
      <c r="D1344" s="3" t="str" cm="1">
        <f t="array" ref="D1344">_xlfn.IFS(
 ISNUMBER(SEARCH("WHISK",C1344)),"Whiskey",
 ISNUMBER(SEARCH("BOURBON",C1344)),"Whiskey",
 ISNUMBER(SEARCH("SCOTCH",C1344)),"Whiskey",
 ISNUMBER(SEARCH("RYE",C1344)),"Whiskey",
 ISNUMBER(SEARCH("VODKA",C1344)),"Vodka",
 ISNUMBER(SEARCH("TEQUILA",C1344)),"Tequila/Mezcal",
 ISNUMBER(SEARCH("MEZCAL",C1344)),"Tequila/Mezcal",
 ISNUMBER(SEARCH("RUM",C1344)),"Rum",
 ISNUMBER(SEARCH("BRAND",C1344)),"Brandy",
 ISNUMBER(SEARCH("COGNAC",C1344)),"Brandy",
 ISNUMBER(SEARCH("LIQUEUR",C1344)),"Liqueurs",
 ISNUMBER(SEARCH("CORDIAL",C1344)),"Liqueurs",
 ISNUMBER(SEARCH("SCHNAPP",C1344)),"Liqueurs",
 ISNUMBER(SEARCH("GIN",C1344)),"Gin",
 TRUE,"Other")</f>
        <v>Rum</v>
      </c>
      <c r="E1344" s="5">
        <v>3425</v>
      </c>
      <c r="F1344" s="5">
        <v>73454.830000000016</v>
      </c>
      <c r="G1344" s="5"/>
      <c r="H1344" s="5">
        <v>598</v>
      </c>
    </row>
    <row r="1345" spans="1:8">
      <c r="A1345" s="5">
        <v>2022</v>
      </c>
      <c r="B1345" s="6">
        <v>44652</v>
      </c>
      <c r="C1345" s="5" t="s">
        <v>39</v>
      </c>
      <c r="D1345" s="3" t="str" cm="1">
        <f t="array" ref="D1345">_xlfn.IFS(
 ISNUMBER(SEARCH("WHISK",C1345)),"Whiskey",
 ISNUMBER(SEARCH("BOURBON",C1345)),"Whiskey",
 ISNUMBER(SEARCH("SCOTCH",C1345)),"Whiskey",
 ISNUMBER(SEARCH("RYE",C1345)),"Whiskey",
 ISNUMBER(SEARCH("VODKA",C1345)),"Vodka",
 ISNUMBER(SEARCH("TEQUILA",C1345)),"Tequila/Mezcal",
 ISNUMBER(SEARCH("MEZCAL",C1345)),"Tequila/Mezcal",
 ISNUMBER(SEARCH("RUM",C1345)),"Rum",
 ISNUMBER(SEARCH("BRAND",C1345)),"Brandy",
 ISNUMBER(SEARCH("COGNAC",C1345)),"Brandy",
 ISNUMBER(SEARCH("LIQUEUR",C1345)),"Liqueurs",
 ISNUMBER(SEARCH("CORDIAL",C1345)),"Liqueurs",
 ISNUMBER(SEARCH("SCHNAPP",C1345)),"Liqueurs",
 ISNUMBER(SEARCH("GIN",C1345)),"Gin",
 TRUE,"Other")</f>
        <v>Whiskey</v>
      </c>
      <c r="E1345" s="5">
        <v>3077</v>
      </c>
      <c r="F1345" s="5">
        <v>116814.31000000007</v>
      </c>
      <c r="G1345" s="5"/>
      <c r="H1345" s="5">
        <v>341</v>
      </c>
    </row>
    <row r="1346" spans="1:8">
      <c r="A1346" s="5">
        <v>2022</v>
      </c>
      <c r="B1346" s="6">
        <v>44652</v>
      </c>
      <c r="C1346" s="5" t="s">
        <v>41</v>
      </c>
      <c r="D1346" s="3" t="str" cm="1">
        <f t="array" ref="D1346">_xlfn.IFS(
 ISNUMBER(SEARCH("WHISK",C1346)),"Whiskey",
 ISNUMBER(SEARCH("BOURBON",C1346)),"Whiskey",
 ISNUMBER(SEARCH("SCOTCH",C1346)),"Whiskey",
 ISNUMBER(SEARCH("RYE",C1346)),"Whiskey",
 ISNUMBER(SEARCH("VODKA",C1346)),"Vodka",
 ISNUMBER(SEARCH("TEQUILA",C1346)),"Tequila/Mezcal",
 ISNUMBER(SEARCH("MEZCAL",C1346)),"Tequila/Mezcal",
 ISNUMBER(SEARCH("RUM",C1346)),"Rum",
 ISNUMBER(SEARCH("BRAND",C1346)),"Brandy",
 ISNUMBER(SEARCH("COGNAC",C1346)),"Brandy",
 ISNUMBER(SEARCH("LIQUEUR",C1346)),"Liqueurs",
 ISNUMBER(SEARCH("CORDIAL",C1346)),"Liqueurs",
 ISNUMBER(SEARCH("SCHNAPP",C1346)),"Liqueurs",
 ISNUMBER(SEARCH("GIN",C1346)),"Gin",
 TRUE,"Other")</f>
        <v>Other</v>
      </c>
      <c r="E1346" s="5">
        <v>16722</v>
      </c>
      <c r="F1346" s="5">
        <v>205329.46000000008</v>
      </c>
      <c r="G1346" s="5"/>
      <c r="H1346" s="5">
        <v>167</v>
      </c>
    </row>
    <row r="1347" spans="1:8">
      <c r="A1347" s="5">
        <v>2022</v>
      </c>
      <c r="B1347" s="6">
        <v>44652</v>
      </c>
      <c r="C1347" s="5" t="s">
        <v>34</v>
      </c>
      <c r="D1347" s="3" t="str" cm="1">
        <f t="array" ref="D1347">_xlfn.IFS(
 ISNUMBER(SEARCH("WHISK",C1347)),"Whiskey",
 ISNUMBER(SEARCH("BOURBON",C1347)),"Whiskey",
 ISNUMBER(SEARCH("SCOTCH",C1347)),"Whiskey",
 ISNUMBER(SEARCH("RYE",C1347)),"Whiskey",
 ISNUMBER(SEARCH("VODKA",C1347)),"Vodka",
 ISNUMBER(SEARCH("TEQUILA",C1347)),"Tequila/Mezcal",
 ISNUMBER(SEARCH("MEZCAL",C1347)),"Tequila/Mezcal",
 ISNUMBER(SEARCH("RUM",C1347)),"Rum",
 ISNUMBER(SEARCH("BRAND",C1347)),"Brandy",
 ISNUMBER(SEARCH("COGNAC",C1347)),"Brandy",
 ISNUMBER(SEARCH("LIQUEUR",C1347)),"Liqueurs",
 ISNUMBER(SEARCH("CORDIAL",C1347)),"Liqueurs",
 ISNUMBER(SEARCH("SCHNAPP",C1347)),"Liqueurs",
 ISNUMBER(SEARCH("GIN",C1347)),"Gin",
 TRUE,"Other")</f>
        <v>Tequila/Mezcal</v>
      </c>
      <c r="E1347" s="5">
        <v>1210</v>
      </c>
      <c r="F1347" s="5">
        <v>40770.82999999998</v>
      </c>
      <c r="G1347" s="5"/>
      <c r="H1347" s="5">
        <v>255</v>
      </c>
    </row>
    <row r="1348" spans="1:8">
      <c r="A1348" s="5">
        <v>2022</v>
      </c>
      <c r="B1348" s="6">
        <v>44652</v>
      </c>
      <c r="C1348" s="5" t="s">
        <v>14</v>
      </c>
      <c r="D1348" s="3" t="str" cm="1">
        <f t="array" ref="D1348">_xlfn.IFS(
 ISNUMBER(SEARCH("WHISK",C1348)),"Whiskey",
 ISNUMBER(SEARCH("BOURBON",C1348)),"Whiskey",
 ISNUMBER(SEARCH("SCOTCH",C1348)),"Whiskey",
 ISNUMBER(SEARCH("RYE",C1348)),"Whiskey",
 ISNUMBER(SEARCH("VODKA",C1348)),"Vodka",
 ISNUMBER(SEARCH("TEQUILA",C1348)),"Tequila/Mezcal",
 ISNUMBER(SEARCH("MEZCAL",C1348)),"Tequila/Mezcal",
 ISNUMBER(SEARCH("RUM",C1348)),"Rum",
 ISNUMBER(SEARCH("BRAND",C1348)),"Brandy",
 ISNUMBER(SEARCH("COGNAC",C1348)),"Brandy",
 ISNUMBER(SEARCH("LIQUEUR",C1348)),"Liqueurs",
 ISNUMBER(SEARCH("CORDIAL",C1348)),"Liqueurs",
 ISNUMBER(SEARCH("SCHNAPP",C1348)),"Liqueurs",
 ISNUMBER(SEARCH("GIN",C1348)),"Gin",
 TRUE,"Other")</f>
        <v>Gin</v>
      </c>
      <c r="E1348" s="5">
        <v>270</v>
      </c>
      <c r="F1348" s="5">
        <v>2195.1000000000008</v>
      </c>
      <c r="G1348" s="5"/>
      <c r="H1348" s="5">
        <v>57</v>
      </c>
    </row>
    <row r="1349" spans="1:8">
      <c r="A1349" s="5">
        <v>2022</v>
      </c>
      <c r="B1349" s="6">
        <v>44652</v>
      </c>
      <c r="C1349" s="5" t="s">
        <v>51</v>
      </c>
      <c r="D1349" s="3" t="str" cm="1">
        <f t="array" ref="D1349">_xlfn.IFS(
 ISNUMBER(SEARCH("WHISK",C1349)),"Whiskey",
 ISNUMBER(SEARCH("BOURBON",C1349)),"Whiskey",
 ISNUMBER(SEARCH("SCOTCH",C1349)),"Whiskey",
 ISNUMBER(SEARCH("RYE",C1349)),"Whiskey",
 ISNUMBER(SEARCH("VODKA",C1349)),"Vodka",
 ISNUMBER(SEARCH("TEQUILA",C1349)),"Tequila/Mezcal",
 ISNUMBER(SEARCH("MEZCAL",C1349)),"Tequila/Mezcal",
 ISNUMBER(SEARCH("RUM",C1349)),"Rum",
 ISNUMBER(SEARCH("BRAND",C1349)),"Brandy",
 ISNUMBER(SEARCH("COGNAC",C1349)),"Brandy",
 ISNUMBER(SEARCH("LIQUEUR",C1349)),"Liqueurs",
 ISNUMBER(SEARCH("CORDIAL",C1349)),"Liqueurs",
 ISNUMBER(SEARCH("SCHNAPP",C1349)),"Liqueurs",
 ISNUMBER(SEARCH("GIN",C1349)),"Gin",
 TRUE,"Other")</f>
        <v>Other</v>
      </c>
      <c r="E1349" s="5">
        <v>2</v>
      </c>
      <c r="F1349" s="5">
        <v>134.97999999999999</v>
      </c>
      <c r="G1349" s="5"/>
      <c r="H1349" s="5">
        <v>1</v>
      </c>
    </row>
    <row r="1350" spans="1:8">
      <c r="A1350" s="5">
        <v>2022</v>
      </c>
      <c r="B1350" s="6">
        <v>44652</v>
      </c>
      <c r="C1350" s="5" t="s">
        <v>52</v>
      </c>
      <c r="D1350" s="3" t="str" cm="1">
        <f t="array" ref="D1350">_xlfn.IFS(
 ISNUMBER(SEARCH("WHISK",C1350)),"Whiskey",
 ISNUMBER(SEARCH("BOURBON",C1350)),"Whiskey",
 ISNUMBER(SEARCH("SCOTCH",C1350)),"Whiskey",
 ISNUMBER(SEARCH("RYE",C1350)),"Whiskey",
 ISNUMBER(SEARCH("VODKA",C1350)),"Vodka",
 ISNUMBER(SEARCH("TEQUILA",C1350)),"Tequila/Mezcal",
 ISNUMBER(SEARCH("MEZCAL",C1350)),"Tequila/Mezcal",
 ISNUMBER(SEARCH("RUM",C1350)),"Rum",
 ISNUMBER(SEARCH("BRAND",C1350)),"Brandy",
 ISNUMBER(SEARCH("COGNAC",C1350)),"Brandy",
 ISNUMBER(SEARCH("LIQUEUR",C1350)),"Liqueurs",
 ISNUMBER(SEARCH("CORDIAL",C1350)),"Liqueurs",
 ISNUMBER(SEARCH("SCHNAPP",C1350)),"Liqueurs",
 ISNUMBER(SEARCH("GIN",C1350)),"Gin",
 TRUE,"Other")</f>
        <v>Gin</v>
      </c>
      <c r="E1350" s="5">
        <v>36</v>
      </c>
      <c r="F1350" s="5">
        <v>796.68000000000006</v>
      </c>
      <c r="G1350" s="5"/>
      <c r="H1350" s="5">
        <v>2</v>
      </c>
    </row>
    <row r="1351" spans="1:8">
      <c r="A1351" s="5">
        <v>2022</v>
      </c>
      <c r="B1351" s="6">
        <v>44682</v>
      </c>
      <c r="C1351" s="5" t="s">
        <v>18</v>
      </c>
      <c r="D1351" s="3" t="str" cm="1">
        <f t="array" ref="D1351">_xlfn.IFS(
 ISNUMBER(SEARCH("WHISK",C1351)),"Whiskey",
 ISNUMBER(SEARCH("BOURBON",C1351)),"Whiskey",
 ISNUMBER(SEARCH("SCOTCH",C1351)),"Whiskey",
 ISNUMBER(SEARCH("RYE",C1351)),"Whiskey",
 ISNUMBER(SEARCH("VODKA",C1351)),"Vodka",
 ISNUMBER(SEARCH("TEQUILA",C1351)),"Tequila/Mezcal",
 ISNUMBER(SEARCH("MEZCAL",C1351)),"Tequila/Mezcal",
 ISNUMBER(SEARCH("RUM",C1351)),"Rum",
 ISNUMBER(SEARCH("BRAND",C1351)),"Brandy",
 ISNUMBER(SEARCH("COGNAC",C1351)),"Brandy",
 ISNUMBER(SEARCH("LIQUEUR",C1351)),"Liqueurs",
 ISNUMBER(SEARCH("CORDIAL",C1351)),"Liqueurs",
 ISNUMBER(SEARCH("SCHNAPP",C1351)),"Liqueurs",
 ISNUMBER(SEARCH("GIN",C1351)),"Gin",
 TRUE,"Other")</f>
        <v>Whiskey</v>
      </c>
      <c r="E1351" s="5">
        <v>261167</v>
      </c>
      <c r="F1351" s="5">
        <v>4026389.2199998754</v>
      </c>
      <c r="G1351" s="5"/>
      <c r="H1351" s="5">
        <v>18997</v>
      </c>
    </row>
    <row r="1352" spans="1:8">
      <c r="A1352" s="5">
        <v>2022</v>
      </c>
      <c r="B1352" s="6">
        <v>44682</v>
      </c>
      <c r="C1352" s="5" t="s">
        <v>24</v>
      </c>
      <c r="D1352" s="3" t="str" cm="1">
        <f t="array" ref="D1352">_xlfn.IFS(
 ISNUMBER(SEARCH("WHISK",C1352)),"Whiskey",
 ISNUMBER(SEARCH("BOURBON",C1352)),"Whiskey",
 ISNUMBER(SEARCH("SCOTCH",C1352)),"Whiskey",
 ISNUMBER(SEARCH("RYE",C1352)),"Whiskey",
 ISNUMBER(SEARCH("VODKA",C1352)),"Vodka",
 ISNUMBER(SEARCH("TEQUILA",C1352)),"Tequila/Mezcal",
 ISNUMBER(SEARCH("MEZCAL",C1352)),"Tequila/Mezcal",
 ISNUMBER(SEARCH("RUM",C1352)),"Rum",
 ISNUMBER(SEARCH("BRAND",C1352)),"Brandy",
 ISNUMBER(SEARCH("COGNAC",C1352)),"Brandy",
 ISNUMBER(SEARCH("LIQUEUR",C1352)),"Liqueurs",
 ISNUMBER(SEARCH("CORDIAL",C1352)),"Liqueurs",
 ISNUMBER(SEARCH("SCHNAPP",C1352)),"Liqueurs",
 ISNUMBER(SEARCH("GIN",C1352)),"Gin",
 TRUE,"Other")</f>
        <v>Rum</v>
      </c>
      <c r="E1352" s="5">
        <v>58003</v>
      </c>
      <c r="F1352" s="5">
        <v>850634.72999999556</v>
      </c>
      <c r="G1352" s="5"/>
      <c r="H1352" s="5">
        <v>5126</v>
      </c>
    </row>
    <row r="1353" spans="1:8">
      <c r="A1353" s="5">
        <v>2022</v>
      </c>
      <c r="B1353" s="6">
        <v>44682</v>
      </c>
      <c r="C1353" s="5" t="s">
        <v>35</v>
      </c>
      <c r="D1353" s="3" t="str" cm="1">
        <f t="array" ref="D1353">_xlfn.IFS(
 ISNUMBER(SEARCH("WHISK",C1353)),"Whiskey",
 ISNUMBER(SEARCH("BOURBON",C1353)),"Whiskey",
 ISNUMBER(SEARCH("SCOTCH",C1353)),"Whiskey",
 ISNUMBER(SEARCH("RYE",C1353)),"Whiskey",
 ISNUMBER(SEARCH("VODKA",C1353)),"Vodka",
 ISNUMBER(SEARCH("TEQUILA",C1353)),"Tequila/Mezcal",
 ISNUMBER(SEARCH("MEZCAL",C1353)),"Tequila/Mezcal",
 ISNUMBER(SEARCH("RUM",C1353)),"Rum",
 ISNUMBER(SEARCH("BRAND",C1353)),"Brandy",
 ISNUMBER(SEARCH("COGNAC",C1353)),"Brandy",
 ISNUMBER(SEARCH("LIQUEUR",C1353)),"Liqueurs",
 ISNUMBER(SEARCH("CORDIAL",C1353)),"Liqueurs",
 ISNUMBER(SEARCH("SCHNAPP",C1353)),"Liqueurs",
 ISNUMBER(SEARCH("GIN",C1353)),"Gin",
 TRUE,"Other")</f>
        <v>Tequila/Mezcal</v>
      </c>
      <c r="E1353" s="5">
        <v>65251</v>
      </c>
      <c r="F1353" s="5">
        <v>854927.55999998003</v>
      </c>
      <c r="G1353" s="5"/>
      <c r="H1353" s="5">
        <v>4991</v>
      </c>
    </row>
    <row r="1354" spans="1:8">
      <c r="A1354" s="5">
        <v>2022</v>
      </c>
      <c r="B1354" s="6">
        <v>44682</v>
      </c>
      <c r="C1354" s="5" t="s">
        <v>11</v>
      </c>
      <c r="D1354" s="3" t="str" cm="1">
        <f t="array" ref="D1354">_xlfn.IFS(
 ISNUMBER(SEARCH("WHISK",C1354)),"Whiskey",
 ISNUMBER(SEARCH("BOURBON",C1354)),"Whiskey",
 ISNUMBER(SEARCH("SCOTCH",C1354)),"Whiskey",
 ISNUMBER(SEARCH("RYE",C1354)),"Whiskey",
 ISNUMBER(SEARCH("VODKA",C1354)),"Vodka",
 ISNUMBER(SEARCH("TEQUILA",C1354)),"Tequila/Mezcal",
 ISNUMBER(SEARCH("MEZCAL",C1354)),"Tequila/Mezcal",
 ISNUMBER(SEARCH("RUM",C1354)),"Rum",
 ISNUMBER(SEARCH("BRAND",C1354)),"Brandy",
 ISNUMBER(SEARCH("COGNAC",C1354)),"Brandy",
 ISNUMBER(SEARCH("LIQUEUR",C1354)),"Liqueurs",
 ISNUMBER(SEARCH("CORDIAL",C1354)),"Liqueurs",
 ISNUMBER(SEARCH("SCHNAPP",C1354)),"Liqueurs",
 ISNUMBER(SEARCH("GIN",C1354)),"Gin",
 TRUE,"Other")</f>
        <v>Gin</v>
      </c>
      <c r="E1354" s="5">
        <v>32763</v>
      </c>
      <c r="F1354" s="5">
        <v>313519.24000000145</v>
      </c>
      <c r="G1354" s="5"/>
      <c r="H1354" s="5">
        <v>3037</v>
      </c>
    </row>
    <row r="1355" spans="1:8">
      <c r="A1355" s="5">
        <v>2022</v>
      </c>
      <c r="B1355" s="6">
        <v>44682</v>
      </c>
      <c r="C1355" s="5" t="s">
        <v>50</v>
      </c>
      <c r="D1355" s="3" t="str" cm="1">
        <f t="array" ref="D1355">_xlfn.IFS(
 ISNUMBER(SEARCH("WHISK",C1355)),"Whiskey",
 ISNUMBER(SEARCH("BOURBON",C1355)),"Whiskey",
 ISNUMBER(SEARCH("SCOTCH",C1355)),"Whiskey",
 ISNUMBER(SEARCH("RYE",C1355)),"Whiskey",
 ISNUMBER(SEARCH("VODKA",C1355)),"Vodka",
 ISNUMBER(SEARCH("TEQUILA",C1355)),"Tequila/Mezcal",
 ISNUMBER(SEARCH("MEZCAL",C1355)),"Tequila/Mezcal",
 ISNUMBER(SEARCH("RUM",C1355)),"Rum",
 ISNUMBER(SEARCH("BRAND",C1355)),"Brandy",
 ISNUMBER(SEARCH("COGNAC",C1355)),"Brandy",
 ISNUMBER(SEARCH("LIQUEUR",C1355)),"Liqueurs",
 ISNUMBER(SEARCH("CORDIAL",C1355)),"Liqueurs",
 ISNUMBER(SEARCH("SCHNAPP",C1355)),"Liqueurs",
 ISNUMBER(SEARCH("GIN",C1355)),"Gin",
 TRUE,"Other")</f>
        <v>Tequila/Mezcal</v>
      </c>
      <c r="E1355" s="5">
        <v>85112</v>
      </c>
      <c r="F1355" s="5">
        <v>2447897.9099999387</v>
      </c>
      <c r="G1355" s="5"/>
      <c r="H1355" s="5">
        <v>9047</v>
      </c>
    </row>
    <row r="1356" spans="1:8">
      <c r="A1356" s="5">
        <v>2022</v>
      </c>
      <c r="B1356" s="6">
        <v>44682</v>
      </c>
      <c r="C1356" s="5" t="s">
        <v>8</v>
      </c>
      <c r="D1356" s="3" t="str" cm="1">
        <f t="array" ref="D1356">_xlfn.IFS(
 ISNUMBER(SEARCH("WHISK",C1356)),"Whiskey",
 ISNUMBER(SEARCH("BOURBON",C1356)),"Whiskey",
 ISNUMBER(SEARCH("SCOTCH",C1356)),"Whiskey",
 ISNUMBER(SEARCH("RYE",C1356)),"Whiskey",
 ISNUMBER(SEARCH("VODKA",C1356)),"Vodka",
 ISNUMBER(SEARCH("TEQUILA",C1356)),"Tequila/Mezcal",
 ISNUMBER(SEARCH("MEZCAL",C1356)),"Tequila/Mezcal",
 ISNUMBER(SEARCH("RUM",C1356)),"Rum",
 ISNUMBER(SEARCH("BRAND",C1356)),"Brandy",
 ISNUMBER(SEARCH("COGNAC",C1356)),"Brandy",
 ISNUMBER(SEARCH("LIQUEUR",C1356)),"Liqueurs",
 ISNUMBER(SEARCH("CORDIAL",C1356)),"Liqueurs",
 ISNUMBER(SEARCH("SCHNAPP",C1356)),"Liqueurs",
 ISNUMBER(SEARCH("GIN",C1356)),"Gin",
 TRUE,"Other")</f>
        <v>Brandy</v>
      </c>
      <c r="E1356" s="5">
        <v>58826</v>
      </c>
      <c r="F1356" s="5">
        <v>376050.57000000076</v>
      </c>
      <c r="G1356" s="5"/>
      <c r="H1356" s="5">
        <v>4943</v>
      </c>
    </row>
    <row r="1357" spans="1:8">
      <c r="A1357" s="5">
        <v>2022</v>
      </c>
      <c r="B1357" s="6">
        <v>44682</v>
      </c>
      <c r="C1357" s="5" t="s">
        <v>12</v>
      </c>
      <c r="D1357" s="3" t="str" cm="1">
        <f t="array" ref="D1357">_xlfn.IFS(
 ISNUMBER(SEARCH("WHISK",C1357)),"Whiskey",
 ISNUMBER(SEARCH("BOURBON",C1357)),"Whiskey",
 ISNUMBER(SEARCH("SCOTCH",C1357)),"Whiskey",
 ISNUMBER(SEARCH("RYE",C1357)),"Whiskey",
 ISNUMBER(SEARCH("VODKA",C1357)),"Vodka",
 ISNUMBER(SEARCH("TEQUILA",C1357)),"Tequila/Mezcal",
 ISNUMBER(SEARCH("MEZCAL",C1357)),"Tequila/Mezcal",
 ISNUMBER(SEARCH("RUM",C1357)),"Rum",
 ISNUMBER(SEARCH("BRAND",C1357)),"Brandy",
 ISNUMBER(SEARCH("COGNAC",C1357)),"Brandy",
 ISNUMBER(SEARCH("LIQUEUR",C1357)),"Liqueurs",
 ISNUMBER(SEARCH("CORDIAL",C1357)),"Liqueurs",
 ISNUMBER(SEARCH("SCHNAPP",C1357)),"Liqueurs",
 ISNUMBER(SEARCH("GIN",C1357)),"Gin",
 TRUE,"Other")</f>
        <v>Vodka</v>
      </c>
      <c r="E1357" s="5">
        <v>96680</v>
      </c>
      <c r="F1357" s="5">
        <v>1050058.0100000452</v>
      </c>
      <c r="G1357" s="5"/>
      <c r="H1357" s="5">
        <v>11803</v>
      </c>
    </row>
    <row r="1358" spans="1:8">
      <c r="A1358" s="5">
        <v>2022</v>
      </c>
      <c r="B1358" s="6">
        <v>44682</v>
      </c>
      <c r="C1358" s="5" t="s">
        <v>13</v>
      </c>
      <c r="D1358" s="3" t="str" cm="1">
        <f t="array" ref="D1358">_xlfn.IFS(
 ISNUMBER(SEARCH("WHISK",C1358)),"Whiskey",
 ISNUMBER(SEARCH("BOURBON",C1358)),"Whiskey",
 ISNUMBER(SEARCH("SCOTCH",C1358)),"Whiskey",
 ISNUMBER(SEARCH("RYE",C1358)),"Whiskey",
 ISNUMBER(SEARCH("VODKA",C1358)),"Vodka",
 ISNUMBER(SEARCH("TEQUILA",C1358)),"Tequila/Mezcal",
 ISNUMBER(SEARCH("MEZCAL",C1358)),"Tequila/Mezcal",
 ISNUMBER(SEARCH("RUM",C1358)),"Rum",
 ISNUMBER(SEARCH("BRAND",C1358)),"Brandy",
 ISNUMBER(SEARCH("COGNAC",C1358)),"Brandy",
 ISNUMBER(SEARCH("LIQUEUR",C1358)),"Liqueurs",
 ISNUMBER(SEARCH("CORDIAL",C1358)),"Liqueurs",
 ISNUMBER(SEARCH("SCHNAPP",C1358)),"Liqueurs",
 ISNUMBER(SEARCH("GIN",C1358)),"Gin",
 TRUE,"Other")</f>
        <v>Liqueurs</v>
      </c>
      <c r="E1358" s="5">
        <v>67707</v>
      </c>
      <c r="F1358" s="5">
        <v>547135.09000000206</v>
      </c>
      <c r="G1358" s="5"/>
      <c r="H1358" s="5">
        <v>7304</v>
      </c>
    </row>
    <row r="1359" spans="1:8">
      <c r="A1359" s="5">
        <v>2022</v>
      </c>
      <c r="B1359" s="6">
        <v>44682</v>
      </c>
      <c r="C1359" s="5" t="s">
        <v>15</v>
      </c>
      <c r="D1359" s="3" t="str" cm="1">
        <f t="array" ref="D1359">_xlfn.IFS(
 ISNUMBER(SEARCH("WHISK",C1359)),"Whiskey",
 ISNUMBER(SEARCH("BOURBON",C1359)),"Whiskey",
 ISNUMBER(SEARCH("SCOTCH",C1359)),"Whiskey",
 ISNUMBER(SEARCH("RYE",C1359)),"Whiskey",
 ISNUMBER(SEARCH("VODKA",C1359)),"Vodka",
 ISNUMBER(SEARCH("TEQUILA",C1359)),"Tequila/Mezcal",
 ISNUMBER(SEARCH("MEZCAL",C1359)),"Tequila/Mezcal",
 ISNUMBER(SEARCH("RUM",C1359)),"Rum",
 ISNUMBER(SEARCH("BRAND",C1359)),"Brandy",
 ISNUMBER(SEARCH("COGNAC",C1359)),"Brandy",
 ISNUMBER(SEARCH("LIQUEUR",C1359)),"Liqueurs",
 ISNUMBER(SEARCH("CORDIAL",C1359)),"Liqueurs",
 ISNUMBER(SEARCH("SCHNAPP",C1359)),"Liqueurs",
 ISNUMBER(SEARCH("GIN",C1359)),"Gin",
 TRUE,"Other")</f>
        <v>Vodka</v>
      </c>
      <c r="E1359" s="5">
        <v>552059</v>
      </c>
      <c r="F1359" s="5">
        <v>5764813.9699996198</v>
      </c>
      <c r="G1359" s="5"/>
      <c r="H1359" s="5">
        <v>33404</v>
      </c>
    </row>
    <row r="1360" spans="1:8">
      <c r="A1360" s="5">
        <v>2022</v>
      </c>
      <c r="B1360" s="6">
        <v>44682</v>
      </c>
      <c r="C1360" s="5" t="s">
        <v>16</v>
      </c>
      <c r="D1360" s="3" t="str" cm="1">
        <f t="array" ref="D1360">_xlfn.IFS(
 ISNUMBER(SEARCH("WHISK",C1360)),"Whiskey",
 ISNUMBER(SEARCH("BOURBON",C1360)),"Whiskey",
 ISNUMBER(SEARCH("SCOTCH",C1360)),"Whiskey",
 ISNUMBER(SEARCH("RYE",C1360)),"Whiskey",
 ISNUMBER(SEARCH("VODKA",C1360)),"Vodka",
 ISNUMBER(SEARCH("TEQUILA",C1360)),"Tequila/Mezcal",
 ISNUMBER(SEARCH("MEZCAL",C1360)),"Tequila/Mezcal",
 ISNUMBER(SEARCH("RUM",C1360)),"Rum",
 ISNUMBER(SEARCH("BRAND",C1360)),"Brandy",
 ISNUMBER(SEARCH("COGNAC",C1360)),"Brandy",
 ISNUMBER(SEARCH("LIQUEUR",C1360)),"Liqueurs",
 ISNUMBER(SEARCH("CORDIAL",C1360)),"Liqueurs",
 ISNUMBER(SEARCH("SCHNAPP",C1360)),"Liqueurs",
 ISNUMBER(SEARCH("GIN",C1360)),"Gin",
 TRUE,"Other")</f>
        <v>Whiskey</v>
      </c>
      <c r="E1360" s="5">
        <v>71008</v>
      </c>
      <c r="F1360" s="5">
        <v>912966.2500000007</v>
      </c>
      <c r="G1360" s="5"/>
      <c r="H1360" s="5">
        <v>8127</v>
      </c>
    </row>
    <row r="1361" spans="1:8">
      <c r="A1361" s="5">
        <v>2022</v>
      </c>
      <c r="B1361" s="6">
        <v>44682</v>
      </c>
      <c r="C1361" s="5" t="s">
        <v>19</v>
      </c>
      <c r="D1361" s="3" t="str" cm="1">
        <f t="array" ref="D1361">_xlfn.IFS(
 ISNUMBER(SEARCH("WHISK",C1361)),"Whiskey",
 ISNUMBER(SEARCH("BOURBON",C1361)),"Whiskey",
 ISNUMBER(SEARCH("SCOTCH",C1361)),"Whiskey",
 ISNUMBER(SEARCH("RYE",C1361)),"Whiskey",
 ISNUMBER(SEARCH("VODKA",C1361)),"Vodka",
 ISNUMBER(SEARCH("TEQUILA",C1361)),"Tequila/Mezcal",
 ISNUMBER(SEARCH("MEZCAL",C1361)),"Tequila/Mezcal",
 ISNUMBER(SEARCH("RUM",C1361)),"Rum",
 ISNUMBER(SEARCH("BRAND",C1361)),"Brandy",
 ISNUMBER(SEARCH("COGNAC",C1361)),"Brandy",
 ISNUMBER(SEARCH("LIQUEUR",C1361)),"Liqueurs",
 ISNUMBER(SEARCH("CORDIAL",C1361)),"Liqueurs",
 ISNUMBER(SEARCH("SCHNAPP",C1361)),"Liqueurs",
 ISNUMBER(SEARCH("GIN",C1361)),"Gin",
 TRUE,"Other")</f>
        <v>Other</v>
      </c>
      <c r="E1361" s="5">
        <v>70844</v>
      </c>
      <c r="F1361" s="5">
        <v>831073.83999999228</v>
      </c>
      <c r="G1361" s="5"/>
      <c r="H1361" s="5">
        <v>7789</v>
      </c>
    </row>
    <row r="1362" spans="1:8">
      <c r="A1362" s="5">
        <v>2022</v>
      </c>
      <c r="B1362" s="6">
        <v>44682</v>
      </c>
      <c r="C1362" s="5" t="s">
        <v>20</v>
      </c>
      <c r="D1362" s="3" t="str" cm="1">
        <f t="array" ref="D1362">_xlfn.IFS(
 ISNUMBER(SEARCH("WHISK",C1362)),"Whiskey",
 ISNUMBER(SEARCH("BOURBON",C1362)),"Whiskey",
 ISNUMBER(SEARCH("SCOTCH",C1362)),"Whiskey",
 ISNUMBER(SEARCH("RYE",C1362)),"Whiskey",
 ISNUMBER(SEARCH("VODKA",C1362)),"Vodka",
 ISNUMBER(SEARCH("TEQUILA",C1362)),"Tequila/Mezcal",
 ISNUMBER(SEARCH("MEZCAL",C1362)),"Tequila/Mezcal",
 ISNUMBER(SEARCH("RUM",C1362)),"Rum",
 ISNUMBER(SEARCH("BRAND",C1362)),"Brandy",
 ISNUMBER(SEARCH("COGNAC",C1362)),"Brandy",
 ISNUMBER(SEARCH("LIQUEUR",C1362)),"Liqueurs",
 ISNUMBER(SEARCH("CORDIAL",C1362)),"Liqueurs",
 ISNUMBER(SEARCH("SCHNAPP",C1362)),"Liqueurs",
 ISNUMBER(SEARCH("GIN",C1362)),"Gin",
 TRUE,"Other")</f>
        <v>Liqueurs</v>
      </c>
      <c r="E1362" s="5">
        <v>7090</v>
      </c>
      <c r="F1362" s="5">
        <v>134076.61000000115</v>
      </c>
      <c r="G1362" s="5"/>
      <c r="H1362" s="5">
        <v>872</v>
      </c>
    </row>
    <row r="1363" spans="1:8">
      <c r="A1363" s="5">
        <v>2022</v>
      </c>
      <c r="B1363" s="6">
        <v>44682</v>
      </c>
      <c r="C1363" s="5" t="s">
        <v>22</v>
      </c>
      <c r="D1363" s="3" t="str" cm="1">
        <f t="array" ref="D1363">_xlfn.IFS(
 ISNUMBER(SEARCH("WHISK",C1363)),"Whiskey",
 ISNUMBER(SEARCH("BOURBON",C1363)),"Whiskey",
 ISNUMBER(SEARCH("SCOTCH",C1363)),"Whiskey",
 ISNUMBER(SEARCH("RYE",C1363)),"Whiskey",
 ISNUMBER(SEARCH("VODKA",C1363)),"Vodka",
 ISNUMBER(SEARCH("TEQUILA",C1363)),"Tequila/Mezcal",
 ISNUMBER(SEARCH("MEZCAL",C1363)),"Tequila/Mezcal",
 ISNUMBER(SEARCH("RUM",C1363)),"Rum",
 ISNUMBER(SEARCH("BRAND",C1363)),"Brandy",
 ISNUMBER(SEARCH("COGNAC",C1363)),"Brandy",
 ISNUMBER(SEARCH("LIQUEUR",C1363)),"Liqueurs",
 ISNUMBER(SEARCH("CORDIAL",C1363)),"Liqueurs",
 ISNUMBER(SEARCH("SCHNAPP",C1363)),"Liqueurs",
 ISNUMBER(SEARCH("GIN",C1363)),"Gin",
 TRUE,"Other")</f>
        <v>Liqueurs</v>
      </c>
      <c r="E1363" s="5">
        <v>23377</v>
      </c>
      <c r="F1363" s="5">
        <v>460523.41999999544</v>
      </c>
      <c r="G1363" s="5"/>
      <c r="H1363" s="5">
        <v>3546</v>
      </c>
    </row>
    <row r="1364" spans="1:8">
      <c r="A1364" s="5">
        <v>2022</v>
      </c>
      <c r="B1364" s="6">
        <v>44682</v>
      </c>
      <c r="C1364" s="5" t="s">
        <v>25</v>
      </c>
      <c r="D1364" s="3" t="str" cm="1">
        <f t="array" ref="D1364">_xlfn.IFS(
 ISNUMBER(SEARCH("WHISK",C1364)),"Whiskey",
 ISNUMBER(SEARCH("BOURBON",C1364)),"Whiskey",
 ISNUMBER(SEARCH("SCOTCH",C1364)),"Whiskey",
 ISNUMBER(SEARCH("RYE",C1364)),"Whiskey",
 ISNUMBER(SEARCH("VODKA",C1364)),"Vodka",
 ISNUMBER(SEARCH("TEQUILA",C1364)),"Tequila/Mezcal",
 ISNUMBER(SEARCH("MEZCAL",C1364)),"Tequila/Mezcal",
 ISNUMBER(SEARCH("RUM",C1364)),"Rum",
 ISNUMBER(SEARCH("BRAND",C1364)),"Brandy",
 ISNUMBER(SEARCH("COGNAC",C1364)),"Brandy",
 ISNUMBER(SEARCH("LIQUEUR",C1364)),"Liqueurs",
 ISNUMBER(SEARCH("CORDIAL",C1364)),"Liqueurs",
 ISNUMBER(SEARCH("SCHNAPP",C1364)),"Liqueurs",
 ISNUMBER(SEARCH("GIN",C1364)),"Gin",
 TRUE,"Other")</f>
        <v>Rum</v>
      </c>
      <c r="E1364" s="5">
        <v>6564</v>
      </c>
      <c r="F1364" s="5">
        <v>86789.559999999794</v>
      </c>
      <c r="G1364" s="5"/>
      <c r="H1364" s="5">
        <v>1001</v>
      </c>
    </row>
    <row r="1365" spans="1:8">
      <c r="A1365" s="5">
        <v>2022</v>
      </c>
      <c r="B1365" s="6">
        <v>44682</v>
      </c>
      <c r="C1365" s="5" t="s">
        <v>30</v>
      </c>
      <c r="D1365" s="3" t="str" cm="1">
        <f t="array" ref="D1365">_xlfn.IFS(
 ISNUMBER(SEARCH("WHISK",C1365)),"Whiskey",
 ISNUMBER(SEARCH("BOURBON",C1365)),"Whiskey",
 ISNUMBER(SEARCH("SCOTCH",C1365)),"Whiskey",
 ISNUMBER(SEARCH("RYE",C1365)),"Whiskey",
 ISNUMBER(SEARCH("VODKA",C1365)),"Vodka",
 ISNUMBER(SEARCH("TEQUILA",C1365)),"Tequila/Mezcal",
 ISNUMBER(SEARCH("MEZCAL",C1365)),"Tequila/Mezcal",
 ISNUMBER(SEARCH("RUM",C1365)),"Rum",
 ISNUMBER(SEARCH("BRAND",C1365)),"Brandy",
 ISNUMBER(SEARCH("COGNAC",C1365)),"Brandy",
 ISNUMBER(SEARCH("LIQUEUR",C1365)),"Liqueurs",
 ISNUMBER(SEARCH("CORDIAL",C1365)),"Liqueurs",
 ISNUMBER(SEARCH("SCHNAPP",C1365)),"Liqueurs",
 ISNUMBER(SEARCH("GIN",C1365)),"Gin",
 TRUE,"Other")</f>
        <v>Vodka</v>
      </c>
      <c r="E1365" s="5">
        <v>24547</v>
      </c>
      <c r="F1365" s="5">
        <v>422357.93999999954</v>
      </c>
      <c r="G1365" s="5"/>
      <c r="H1365" s="5">
        <v>3218</v>
      </c>
    </row>
    <row r="1366" spans="1:8">
      <c r="A1366" s="5">
        <v>2022</v>
      </c>
      <c r="B1366" s="6">
        <v>44682</v>
      </c>
      <c r="C1366" s="5" t="s">
        <v>31</v>
      </c>
      <c r="D1366" s="3" t="str" cm="1">
        <f t="array" ref="D1366">_xlfn.IFS(
 ISNUMBER(SEARCH("WHISK",C1366)),"Whiskey",
 ISNUMBER(SEARCH("BOURBON",C1366)),"Whiskey",
 ISNUMBER(SEARCH("SCOTCH",C1366)),"Whiskey",
 ISNUMBER(SEARCH("RYE",C1366)),"Whiskey",
 ISNUMBER(SEARCH("VODKA",C1366)),"Vodka",
 ISNUMBER(SEARCH("TEQUILA",C1366)),"Tequila/Mezcal",
 ISNUMBER(SEARCH("MEZCAL",C1366)),"Tequila/Mezcal",
 ISNUMBER(SEARCH("RUM",C1366)),"Rum",
 ISNUMBER(SEARCH("BRAND",C1366)),"Brandy",
 ISNUMBER(SEARCH("COGNAC",C1366)),"Brandy",
 ISNUMBER(SEARCH("LIQUEUR",C1366)),"Liqueurs",
 ISNUMBER(SEARCH("CORDIAL",C1366)),"Liqueurs",
 ISNUMBER(SEARCH("SCHNAPP",C1366)),"Liqueurs",
 ISNUMBER(SEARCH("GIN",C1366)),"Gin",
 TRUE,"Other")</f>
        <v>Liqueurs</v>
      </c>
      <c r="E1366" s="5">
        <v>27520</v>
      </c>
      <c r="F1366" s="5">
        <v>485614.0199999992</v>
      </c>
      <c r="G1366" s="5"/>
      <c r="H1366" s="5">
        <v>2700</v>
      </c>
    </row>
    <row r="1367" spans="1:8">
      <c r="A1367" s="5">
        <v>2022</v>
      </c>
      <c r="B1367" s="6">
        <v>44682</v>
      </c>
      <c r="C1367" s="5" t="s">
        <v>32</v>
      </c>
      <c r="D1367" s="3" t="str" cm="1">
        <f t="array" ref="D1367">_xlfn.IFS(
 ISNUMBER(SEARCH("WHISK",C1367)),"Whiskey",
 ISNUMBER(SEARCH("BOURBON",C1367)),"Whiskey",
 ISNUMBER(SEARCH("SCOTCH",C1367)),"Whiskey",
 ISNUMBER(SEARCH("RYE",C1367)),"Whiskey",
 ISNUMBER(SEARCH("VODKA",C1367)),"Vodka",
 ISNUMBER(SEARCH("TEQUILA",C1367)),"Tequila/Mezcal",
 ISNUMBER(SEARCH("MEZCAL",C1367)),"Tequila/Mezcal",
 ISNUMBER(SEARCH("RUM",C1367)),"Rum",
 ISNUMBER(SEARCH("BRAND",C1367)),"Brandy",
 ISNUMBER(SEARCH("COGNAC",C1367)),"Brandy",
 ISNUMBER(SEARCH("LIQUEUR",C1367)),"Liqueurs",
 ISNUMBER(SEARCH("CORDIAL",C1367)),"Liqueurs",
 ISNUMBER(SEARCH("SCHNAPP",C1367)),"Liqueurs",
 ISNUMBER(SEARCH("GIN",C1367)),"Gin",
 TRUE,"Other")</f>
        <v>Vodka</v>
      </c>
      <c r="E1367" s="5">
        <v>59826</v>
      </c>
      <c r="F1367" s="5">
        <v>1008156.4899999801</v>
      </c>
      <c r="G1367" s="5"/>
      <c r="H1367" s="5">
        <v>5568</v>
      </c>
    </row>
    <row r="1368" spans="1:8">
      <c r="A1368" s="5">
        <v>2022</v>
      </c>
      <c r="B1368" s="6">
        <v>44682</v>
      </c>
      <c r="C1368" s="5" t="s">
        <v>33</v>
      </c>
      <c r="D1368" s="3" t="str" cm="1">
        <f t="array" ref="D1368">_xlfn.IFS(
 ISNUMBER(SEARCH("WHISK",C1368)),"Whiskey",
 ISNUMBER(SEARCH("BOURBON",C1368)),"Whiskey",
 ISNUMBER(SEARCH("SCOTCH",C1368)),"Whiskey",
 ISNUMBER(SEARCH("RYE",C1368)),"Whiskey",
 ISNUMBER(SEARCH("VODKA",C1368)),"Vodka",
 ISNUMBER(SEARCH("TEQUILA",C1368)),"Tequila/Mezcal",
 ISNUMBER(SEARCH("MEZCAL",C1368)),"Tequila/Mezcal",
 ISNUMBER(SEARCH("RUM",C1368)),"Rum",
 ISNUMBER(SEARCH("BRAND",C1368)),"Brandy",
 ISNUMBER(SEARCH("COGNAC",C1368)),"Brandy",
 ISNUMBER(SEARCH("LIQUEUR",C1368)),"Liqueurs",
 ISNUMBER(SEARCH("CORDIAL",C1368)),"Liqueurs",
 ISNUMBER(SEARCH("SCHNAPP",C1368)),"Liqueurs",
 ISNUMBER(SEARCH("GIN",C1368)),"Gin",
 TRUE,"Other")</f>
        <v>Whiskey</v>
      </c>
      <c r="E1368" s="5">
        <v>23857</v>
      </c>
      <c r="F1368" s="5">
        <v>687746.73999999149</v>
      </c>
      <c r="G1368" s="5"/>
      <c r="H1368" s="5">
        <v>2478</v>
      </c>
    </row>
    <row r="1369" spans="1:8">
      <c r="A1369" s="5">
        <v>2022</v>
      </c>
      <c r="B1369" s="6">
        <v>44682</v>
      </c>
      <c r="C1369" s="5" t="s">
        <v>37</v>
      </c>
      <c r="D1369" s="3" t="str" cm="1">
        <f t="array" ref="D1369">_xlfn.IFS(
 ISNUMBER(SEARCH("WHISK",C1369)),"Whiskey",
 ISNUMBER(SEARCH("BOURBON",C1369)),"Whiskey",
 ISNUMBER(SEARCH("SCOTCH",C1369)),"Whiskey",
 ISNUMBER(SEARCH("RYE",C1369)),"Whiskey",
 ISNUMBER(SEARCH("VODKA",C1369)),"Vodka",
 ISNUMBER(SEARCH("TEQUILA",C1369)),"Tequila/Mezcal",
 ISNUMBER(SEARCH("MEZCAL",C1369)),"Tequila/Mezcal",
 ISNUMBER(SEARCH("RUM",C1369)),"Rum",
 ISNUMBER(SEARCH("BRAND",C1369)),"Brandy",
 ISNUMBER(SEARCH("COGNAC",C1369)),"Brandy",
 ISNUMBER(SEARCH("LIQUEUR",C1369)),"Liqueurs",
 ISNUMBER(SEARCH("CORDIAL",C1369)),"Liqueurs",
 ISNUMBER(SEARCH("SCHNAPP",C1369)),"Liqueurs",
 ISNUMBER(SEARCH("GIN",C1369)),"Gin",
 TRUE,"Other")</f>
        <v>Other</v>
      </c>
      <c r="E1369" s="5">
        <v>12296</v>
      </c>
      <c r="F1369" s="5">
        <v>205367.4900000015</v>
      </c>
      <c r="G1369" s="5"/>
      <c r="H1369" s="5">
        <v>2453</v>
      </c>
    </row>
    <row r="1370" spans="1:8">
      <c r="A1370" s="5">
        <v>2022</v>
      </c>
      <c r="B1370" s="6">
        <v>44682</v>
      </c>
      <c r="C1370" s="5" t="s">
        <v>38</v>
      </c>
      <c r="D1370" s="3" t="str" cm="1">
        <f t="array" ref="D1370">_xlfn.IFS(
 ISNUMBER(SEARCH("WHISK",C1370)),"Whiskey",
 ISNUMBER(SEARCH("BOURBON",C1370)),"Whiskey",
 ISNUMBER(SEARCH("SCOTCH",C1370)),"Whiskey",
 ISNUMBER(SEARCH("RYE",C1370)),"Whiskey",
 ISNUMBER(SEARCH("VODKA",C1370)),"Vodka",
 ISNUMBER(SEARCH("TEQUILA",C1370)),"Tequila/Mezcal",
 ISNUMBER(SEARCH("MEZCAL",C1370)),"Tequila/Mezcal",
 ISNUMBER(SEARCH("RUM",C1370)),"Rum",
 ISNUMBER(SEARCH("BRAND",C1370)),"Brandy",
 ISNUMBER(SEARCH("COGNAC",C1370)),"Brandy",
 ISNUMBER(SEARCH("LIQUEUR",C1370)),"Liqueurs",
 ISNUMBER(SEARCH("CORDIAL",C1370)),"Liqueurs",
 ISNUMBER(SEARCH("SCHNAPP",C1370)),"Liqueurs",
 ISNUMBER(SEARCH("GIN",C1370)),"Gin",
 TRUE,"Other")</f>
        <v>Whiskey</v>
      </c>
      <c r="E1370" s="5">
        <v>16097</v>
      </c>
      <c r="F1370" s="5">
        <v>451669.95999999926</v>
      </c>
      <c r="G1370" s="5"/>
      <c r="H1370" s="5">
        <v>2607</v>
      </c>
    </row>
    <row r="1371" spans="1:8">
      <c r="A1371" s="5">
        <v>2022</v>
      </c>
      <c r="B1371" s="6">
        <v>44682</v>
      </c>
      <c r="C1371" s="5" t="s">
        <v>42</v>
      </c>
      <c r="D1371" s="3" t="str" cm="1">
        <f t="array" ref="D1371">_xlfn.IFS(
 ISNUMBER(SEARCH("WHISK",C1371)),"Whiskey",
 ISNUMBER(SEARCH("BOURBON",C1371)),"Whiskey",
 ISNUMBER(SEARCH("SCOTCH",C1371)),"Whiskey",
 ISNUMBER(SEARCH("RYE",C1371)),"Whiskey",
 ISNUMBER(SEARCH("VODKA",C1371)),"Vodka",
 ISNUMBER(SEARCH("TEQUILA",C1371)),"Tequila/Mezcal",
 ISNUMBER(SEARCH("MEZCAL",C1371)),"Tequila/Mezcal",
 ISNUMBER(SEARCH("RUM",C1371)),"Rum",
 ISNUMBER(SEARCH("BRAND",C1371)),"Brandy",
 ISNUMBER(SEARCH("COGNAC",C1371)),"Brandy",
 ISNUMBER(SEARCH("LIQUEUR",C1371)),"Liqueurs",
 ISNUMBER(SEARCH("CORDIAL",C1371)),"Liqueurs",
 ISNUMBER(SEARCH("SCHNAPP",C1371)),"Liqueurs",
 ISNUMBER(SEARCH("GIN",C1371)),"Gin",
 TRUE,"Other")</f>
        <v>Rum</v>
      </c>
      <c r="E1371" s="5">
        <v>112809</v>
      </c>
      <c r="F1371" s="5">
        <v>1619042.9499999948</v>
      </c>
      <c r="G1371" s="5"/>
      <c r="H1371" s="5">
        <v>9162</v>
      </c>
    </row>
    <row r="1372" spans="1:8">
      <c r="A1372" s="5">
        <v>2022</v>
      </c>
      <c r="B1372" s="6">
        <v>44682</v>
      </c>
      <c r="C1372" s="5" t="s">
        <v>43</v>
      </c>
      <c r="D1372" s="3" t="str" cm="1">
        <f t="array" ref="D1372">_xlfn.IFS(
 ISNUMBER(SEARCH("WHISK",C1372)),"Whiskey",
 ISNUMBER(SEARCH("BOURBON",C1372)),"Whiskey",
 ISNUMBER(SEARCH("SCOTCH",C1372)),"Whiskey",
 ISNUMBER(SEARCH("RYE",C1372)),"Whiskey",
 ISNUMBER(SEARCH("VODKA",C1372)),"Vodka",
 ISNUMBER(SEARCH("TEQUILA",C1372)),"Tequila/Mezcal",
 ISNUMBER(SEARCH("MEZCAL",C1372)),"Tequila/Mezcal",
 ISNUMBER(SEARCH("RUM",C1372)),"Rum",
 ISNUMBER(SEARCH("BRAND",C1372)),"Brandy",
 ISNUMBER(SEARCH("COGNAC",C1372)),"Brandy",
 ISNUMBER(SEARCH("LIQUEUR",C1372)),"Liqueurs",
 ISNUMBER(SEARCH("CORDIAL",C1372)),"Liqueurs",
 ISNUMBER(SEARCH("SCHNAPP",C1372)),"Liqueurs",
 ISNUMBER(SEARCH("GIN",C1372)),"Gin",
 TRUE,"Other")</f>
        <v>Whiskey</v>
      </c>
      <c r="E1372" s="5">
        <v>133897</v>
      </c>
      <c r="F1372" s="5">
        <v>2824346.7599999658</v>
      </c>
      <c r="G1372" s="5"/>
      <c r="H1372" s="5">
        <v>15802</v>
      </c>
    </row>
    <row r="1373" spans="1:8">
      <c r="A1373" s="5">
        <v>2022</v>
      </c>
      <c r="B1373" s="6">
        <v>44682</v>
      </c>
      <c r="C1373" s="5" t="s">
        <v>44</v>
      </c>
      <c r="D1373" s="3" t="str" cm="1">
        <f t="array" ref="D1373">_xlfn.IFS(
 ISNUMBER(SEARCH("WHISK",C1373)),"Whiskey",
 ISNUMBER(SEARCH("BOURBON",C1373)),"Whiskey",
 ISNUMBER(SEARCH("SCOTCH",C1373)),"Whiskey",
 ISNUMBER(SEARCH("RYE",C1373)),"Whiskey",
 ISNUMBER(SEARCH("VODKA",C1373)),"Vodka",
 ISNUMBER(SEARCH("TEQUILA",C1373)),"Tequila/Mezcal",
 ISNUMBER(SEARCH("MEZCAL",C1373)),"Tequila/Mezcal",
 ISNUMBER(SEARCH("RUM",C1373)),"Rum",
 ISNUMBER(SEARCH("BRAND",C1373)),"Brandy",
 ISNUMBER(SEARCH("COGNAC",C1373)),"Brandy",
 ISNUMBER(SEARCH("LIQUEUR",C1373)),"Liqueurs",
 ISNUMBER(SEARCH("CORDIAL",C1373)),"Liqueurs",
 ISNUMBER(SEARCH("SCHNAPP",C1373)),"Liqueurs",
 ISNUMBER(SEARCH("GIN",C1373)),"Gin",
 TRUE,"Other")</f>
        <v>Whiskey</v>
      </c>
      <c r="E1373" s="5">
        <v>10930</v>
      </c>
      <c r="F1373" s="5">
        <v>344469.35000000196</v>
      </c>
      <c r="G1373" s="5"/>
      <c r="H1373" s="5">
        <v>1609</v>
      </c>
    </row>
    <row r="1374" spans="1:8">
      <c r="A1374" s="5">
        <v>2022</v>
      </c>
      <c r="B1374" s="6">
        <v>44682</v>
      </c>
      <c r="C1374" s="5" t="s">
        <v>45</v>
      </c>
      <c r="D1374" s="3" t="str" cm="1">
        <f t="array" ref="D1374">_xlfn.IFS(
 ISNUMBER(SEARCH("WHISK",C1374)),"Whiskey",
 ISNUMBER(SEARCH("BOURBON",C1374)),"Whiskey",
 ISNUMBER(SEARCH("SCOTCH",C1374)),"Whiskey",
 ISNUMBER(SEARCH("RYE",C1374)),"Whiskey",
 ISNUMBER(SEARCH("VODKA",C1374)),"Vodka",
 ISNUMBER(SEARCH("TEQUILA",C1374)),"Tequila/Mezcal",
 ISNUMBER(SEARCH("MEZCAL",C1374)),"Tequila/Mezcal",
 ISNUMBER(SEARCH("RUM",C1374)),"Rum",
 ISNUMBER(SEARCH("BRAND",C1374)),"Brandy",
 ISNUMBER(SEARCH("COGNAC",C1374)),"Brandy",
 ISNUMBER(SEARCH("LIQUEUR",C1374)),"Liqueurs",
 ISNUMBER(SEARCH("CORDIAL",C1374)),"Liqueurs",
 ISNUMBER(SEARCH("SCHNAPP",C1374)),"Liqueurs",
 ISNUMBER(SEARCH("GIN",C1374)),"Gin",
 TRUE,"Other")</f>
        <v>Other</v>
      </c>
      <c r="E1374" s="5">
        <v>26696</v>
      </c>
      <c r="F1374" s="5">
        <v>765901.22999998124</v>
      </c>
      <c r="G1374" s="5"/>
      <c r="H1374" s="5">
        <v>4510</v>
      </c>
    </row>
    <row r="1375" spans="1:8">
      <c r="A1375" s="5">
        <v>2022</v>
      </c>
      <c r="B1375" s="6">
        <v>44682</v>
      </c>
      <c r="C1375" s="5" t="s">
        <v>48</v>
      </c>
      <c r="D1375" s="3" t="str" cm="1">
        <f t="array" ref="D1375">_xlfn.IFS(
 ISNUMBER(SEARCH("WHISK",C1375)),"Whiskey",
 ISNUMBER(SEARCH("BOURBON",C1375)),"Whiskey",
 ISNUMBER(SEARCH("SCOTCH",C1375)),"Whiskey",
 ISNUMBER(SEARCH("RYE",C1375)),"Whiskey",
 ISNUMBER(SEARCH("VODKA",C1375)),"Vodka",
 ISNUMBER(SEARCH("TEQUILA",C1375)),"Tequila/Mezcal",
 ISNUMBER(SEARCH("MEZCAL",C1375)),"Tequila/Mezcal",
 ISNUMBER(SEARCH("RUM",C1375)),"Rum",
 ISNUMBER(SEARCH("BRAND",C1375)),"Brandy",
 ISNUMBER(SEARCH("COGNAC",C1375)),"Brandy",
 ISNUMBER(SEARCH("LIQUEUR",C1375)),"Liqueurs",
 ISNUMBER(SEARCH("CORDIAL",C1375)),"Liqueurs",
 ISNUMBER(SEARCH("SCHNAPP",C1375)),"Liqueurs",
 ISNUMBER(SEARCH("GIN",C1375)),"Gin",
 TRUE,"Other")</f>
        <v>Whiskey</v>
      </c>
      <c r="E1375" s="5">
        <v>353186</v>
      </c>
      <c r="F1375" s="5">
        <v>2055037.4399999795</v>
      </c>
      <c r="G1375" s="5"/>
      <c r="H1375" s="5">
        <v>12517</v>
      </c>
    </row>
    <row r="1376" spans="1:8">
      <c r="A1376" s="5">
        <v>2022</v>
      </c>
      <c r="B1376" s="6">
        <v>44682</v>
      </c>
      <c r="C1376" s="5" t="s">
        <v>60</v>
      </c>
      <c r="D1376" s="3" t="str" cm="1">
        <f t="array" ref="D1376">_xlfn.IFS(
 ISNUMBER(SEARCH("WHISK",C1376)),"Whiskey",
 ISNUMBER(SEARCH("BOURBON",C1376)),"Whiskey",
 ISNUMBER(SEARCH("SCOTCH",C1376)),"Whiskey",
 ISNUMBER(SEARCH("RYE",C1376)),"Whiskey",
 ISNUMBER(SEARCH("VODKA",C1376)),"Vodka",
 ISNUMBER(SEARCH("TEQUILA",C1376)),"Tequila/Mezcal",
 ISNUMBER(SEARCH("MEZCAL",C1376)),"Tequila/Mezcal",
 ISNUMBER(SEARCH("RUM",C1376)),"Rum",
 ISNUMBER(SEARCH("BRAND",C1376)),"Brandy",
 ISNUMBER(SEARCH("COGNAC",C1376)),"Brandy",
 ISNUMBER(SEARCH("LIQUEUR",C1376)),"Liqueurs",
 ISNUMBER(SEARCH("CORDIAL",C1376)),"Liqueurs",
 ISNUMBER(SEARCH("SCHNAPP",C1376)),"Liqueurs",
 ISNUMBER(SEARCH("GIN",C1376)),"Gin",
 TRUE,"Other")</f>
        <v>Liqueurs</v>
      </c>
      <c r="E1376" s="5">
        <v>45053</v>
      </c>
      <c r="F1376" s="5">
        <v>1031886.9400000088</v>
      </c>
      <c r="G1376" s="5"/>
      <c r="H1376" s="5">
        <v>4887</v>
      </c>
    </row>
    <row r="1377" spans="1:8">
      <c r="A1377" s="5">
        <v>2022</v>
      </c>
      <c r="B1377" s="6">
        <v>44682</v>
      </c>
      <c r="C1377" s="5" t="s">
        <v>28</v>
      </c>
      <c r="D1377" s="3" t="str" cm="1">
        <f t="array" ref="D1377">_xlfn.IFS(
 ISNUMBER(SEARCH("WHISK",C1377)),"Whiskey",
 ISNUMBER(SEARCH("BOURBON",C1377)),"Whiskey",
 ISNUMBER(SEARCH("SCOTCH",C1377)),"Whiskey",
 ISNUMBER(SEARCH("RYE",C1377)),"Whiskey",
 ISNUMBER(SEARCH("VODKA",C1377)),"Vodka",
 ISNUMBER(SEARCH("TEQUILA",C1377)),"Tequila/Mezcal",
 ISNUMBER(SEARCH("MEZCAL",C1377)),"Tequila/Mezcal",
 ISNUMBER(SEARCH("RUM",C1377)),"Rum",
 ISNUMBER(SEARCH("BRAND",C1377)),"Brandy",
 ISNUMBER(SEARCH("COGNAC",C1377)),"Brandy",
 ISNUMBER(SEARCH("LIQUEUR",C1377)),"Liqueurs",
 ISNUMBER(SEARCH("CORDIAL",C1377)),"Liqueurs",
 ISNUMBER(SEARCH("SCHNAPP",C1377)),"Liqueurs",
 ISNUMBER(SEARCH("GIN",C1377)),"Gin",
 TRUE,"Other")</f>
        <v>Other</v>
      </c>
      <c r="E1377" s="5">
        <v>18760</v>
      </c>
      <c r="F1377" s="5">
        <v>151858.5499999999</v>
      </c>
      <c r="G1377" s="5"/>
      <c r="H1377" s="5">
        <v>405</v>
      </c>
    </row>
    <row r="1378" spans="1:8">
      <c r="A1378" s="5">
        <v>2022</v>
      </c>
      <c r="B1378" s="6">
        <v>44682</v>
      </c>
      <c r="C1378" s="5" t="s">
        <v>46</v>
      </c>
      <c r="D1378" s="3" t="str" cm="1">
        <f t="array" ref="D1378">_xlfn.IFS(
 ISNUMBER(SEARCH("WHISK",C1378)),"Whiskey",
 ISNUMBER(SEARCH("BOURBON",C1378)),"Whiskey",
 ISNUMBER(SEARCH("SCOTCH",C1378)),"Whiskey",
 ISNUMBER(SEARCH("RYE",C1378)),"Whiskey",
 ISNUMBER(SEARCH("VODKA",C1378)),"Vodka",
 ISNUMBER(SEARCH("TEQUILA",C1378)),"Tequila/Mezcal",
 ISNUMBER(SEARCH("MEZCAL",C1378)),"Tequila/Mezcal",
 ISNUMBER(SEARCH("RUM",C1378)),"Rum",
 ISNUMBER(SEARCH("BRAND",C1378)),"Brandy",
 ISNUMBER(SEARCH("COGNAC",C1378)),"Brandy",
 ISNUMBER(SEARCH("LIQUEUR",C1378)),"Liqueurs",
 ISNUMBER(SEARCH("CORDIAL",C1378)),"Liqueurs",
 ISNUMBER(SEARCH("SCHNAPP",C1378)),"Liqueurs",
 ISNUMBER(SEARCH("GIN",C1378)),"Gin",
 TRUE,"Other")</f>
        <v>Whiskey</v>
      </c>
      <c r="E1378" s="5">
        <v>58327</v>
      </c>
      <c r="F1378" s="5">
        <v>1286925.4299999645</v>
      </c>
      <c r="G1378" s="5"/>
      <c r="H1378" s="5">
        <v>6706</v>
      </c>
    </row>
    <row r="1379" spans="1:8">
      <c r="A1379" s="5">
        <v>2022</v>
      </c>
      <c r="B1379" s="6">
        <v>44682</v>
      </c>
      <c r="C1379" s="5" t="s">
        <v>49</v>
      </c>
      <c r="D1379" s="3" t="str" cm="1">
        <f t="array" ref="D1379">_xlfn.IFS(
 ISNUMBER(SEARCH("WHISK",C1379)),"Whiskey",
 ISNUMBER(SEARCH("BOURBON",C1379)),"Whiskey",
 ISNUMBER(SEARCH("SCOTCH",C1379)),"Whiskey",
 ISNUMBER(SEARCH("RYE",C1379)),"Whiskey",
 ISNUMBER(SEARCH("VODKA",C1379)),"Vodka",
 ISNUMBER(SEARCH("TEQUILA",C1379)),"Tequila/Mezcal",
 ISNUMBER(SEARCH("MEZCAL",C1379)),"Tequila/Mezcal",
 ISNUMBER(SEARCH("RUM",C1379)),"Rum",
 ISNUMBER(SEARCH("BRAND",C1379)),"Brandy",
 ISNUMBER(SEARCH("COGNAC",C1379)),"Brandy",
 ISNUMBER(SEARCH("LIQUEUR",C1379)),"Liqueurs",
 ISNUMBER(SEARCH("CORDIAL",C1379)),"Liqueurs",
 ISNUMBER(SEARCH("SCHNAPP",C1379)),"Liqueurs",
 ISNUMBER(SEARCH("GIN",C1379)),"Gin",
 TRUE,"Other")</f>
        <v>Rum</v>
      </c>
      <c r="E1379" s="5">
        <v>49683</v>
      </c>
      <c r="F1379" s="5">
        <v>562973.24000000057</v>
      </c>
      <c r="G1379" s="5"/>
      <c r="H1379" s="5">
        <v>4237</v>
      </c>
    </row>
    <row r="1380" spans="1:8">
      <c r="A1380" s="5">
        <v>2022</v>
      </c>
      <c r="B1380" s="6">
        <v>44682</v>
      </c>
      <c r="C1380" s="5" t="s">
        <v>39</v>
      </c>
      <c r="D1380" s="3" t="str" cm="1">
        <f t="array" ref="D1380">_xlfn.IFS(
 ISNUMBER(SEARCH("WHISK",C1380)),"Whiskey",
 ISNUMBER(SEARCH("BOURBON",C1380)),"Whiskey",
 ISNUMBER(SEARCH("SCOTCH",C1380)),"Whiskey",
 ISNUMBER(SEARCH("RYE",C1380)),"Whiskey",
 ISNUMBER(SEARCH("VODKA",C1380)),"Vodka",
 ISNUMBER(SEARCH("TEQUILA",C1380)),"Tequila/Mezcal",
 ISNUMBER(SEARCH("MEZCAL",C1380)),"Tequila/Mezcal",
 ISNUMBER(SEARCH("RUM",C1380)),"Rum",
 ISNUMBER(SEARCH("BRAND",C1380)),"Brandy",
 ISNUMBER(SEARCH("COGNAC",C1380)),"Brandy",
 ISNUMBER(SEARCH("LIQUEUR",C1380)),"Liqueurs",
 ISNUMBER(SEARCH("CORDIAL",C1380)),"Liqueurs",
 ISNUMBER(SEARCH("SCHNAPP",C1380)),"Liqueurs",
 ISNUMBER(SEARCH("GIN",C1380)),"Gin",
 TRUE,"Other")</f>
        <v>Whiskey</v>
      </c>
      <c r="E1380" s="5">
        <v>3538</v>
      </c>
      <c r="F1380" s="5">
        <v>132191.33000000025</v>
      </c>
      <c r="G1380" s="5"/>
      <c r="H1380" s="5">
        <v>489</v>
      </c>
    </row>
    <row r="1381" spans="1:8">
      <c r="A1381" s="5">
        <v>2022</v>
      </c>
      <c r="B1381" s="6">
        <v>44682</v>
      </c>
      <c r="C1381" s="5" t="s">
        <v>59</v>
      </c>
      <c r="D1381" s="3" t="str" cm="1">
        <f t="array" ref="D1381">_xlfn.IFS(
 ISNUMBER(SEARCH("WHISK",C1381)),"Whiskey",
 ISNUMBER(SEARCH("BOURBON",C1381)),"Whiskey",
 ISNUMBER(SEARCH("SCOTCH",C1381)),"Whiskey",
 ISNUMBER(SEARCH("RYE",C1381)),"Whiskey",
 ISNUMBER(SEARCH("VODKA",C1381)),"Vodka",
 ISNUMBER(SEARCH("TEQUILA",C1381)),"Tequila/Mezcal",
 ISNUMBER(SEARCH("MEZCAL",C1381)),"Tequila/Mezcal",
 ISNUMBER(SEARCH("RUM",C1381)),"Rum",
 ISNUMBER(SEARCH("BRAND",C1381)),"Brandy",
 ISNUMBER(SEARCH("COGNAC",C1381)),"Brandy",
 ISNUMBER(SEARCH("LIQUEUR",C1381)),"Liqueurs",
 ISNUMBER(SEARCH("CORDIAL",C1381)),"Liqueurs",
 ISNUMBER(SEARCH("SCHNAPP",C1381)),"Liqueurs",
 ISNUMBER(SEARCH("GIN",C1381)),"Gin",
 TRUE,"Other")</f>
        <v>Liqueurs</v>
      </c>
      <c r="E1381" s="5">
        <v>42546</v>
      </c>
      <c r="F1381" s="5">
        <v>406634.01000000682</v>
      </c>
      <c r="G1381" s="5"/>
      <c r="H1381" s="5">
        <v>5471</v>
      </c>
    </row>
    <row r="1382" spans="1:8">
      <c r="A1382" s="5">
        <v>2022</v>
      </c>
      <c r="B1382" s="6">
        <v>44682</v>
      </c>
      <c r="C1382" s="5" t="s">
        <v>10</v>
      </c>
      <c r="D1382" s="3" t="str" cm="1">
        <f t="array" ref="D1382">_xlfn.IFS(
 ISNUMBER(SEARCH("WHISK",C1382)),"Whiskey",
 ISNUMBER(SEARCH("BOURBON",C1382)),"Whiskey",
 ISNUMBER(SEARCH("SCOTCH",C1382)),"Whiskey",
 ISNUMBER(SEARCH("RYE",C1382)),"Whiskey",
 ISNUMBER(SEARCH("VODKA",C1382)),"Vodka",
 ISNUMBER(SEARCH("TEQUILA",C1382)),"Tequila/Mezcal",
 ISNUMBER(SEARCH("MEZCAL",C1382)),"Tequila/Mezcal",
 ISNUMBER(SEARCH("RUM",C1382)),"Rum",
 ISNUMBER(SEARCH("BRAND",C1382)),"Brandy",
 ISNUMBER(SEARCH("COGNAC",C1382)),"Brandy",
 ISNUMBER(SEARCH("LIQUEUR",C1382)),"Liqueurs",
 ISNUMBER(SEARCH("CORDIAL",C1382)),"Liqueurs",
 ISNUMBER(SEARCH("SCHNAPP",C1382)),"Liqueurs",
 ISNUMBER(SEARCH("GIN",C1382)),"Gin",
 TRUE,"Other")</f>
        <v>Other</v>
      </c>
      <c r="E1382" s="5">
        <v>5162</v>
      </c>
      <c r="F1382" s="5">
        <v>101771.86999999973</v>
      </c>
      <c r="G1382" s="5"/>
      <c r="H1382" s="5">
        <v>787</v>
      </c>
    </row>
    <row r="1383" spans="1:8">
      <c r="A1383" s="5">
        <v>2022</v>
      </c>
      <c r="B1383" s="6">
        <v>44682</v>
      </c>
      <c r="C1383" s="5" t="s">
        <v>17</v>
      </c>
      <c r="D1383" s="3" t="str" cm="1">
        <f t="array" ref="D1383">_xlfn.IFS(
 ISNUMBER(SEARCH("WHISK",C1383)),"Whiskey",
 ISNUMBER(SEARCH("BOURBON",C1383)),"Whiskey",
 ISNUMBER(SEARCH("SCOTCH",C1383)),"Whiskey",
 ISNUMBER(SEARCH("RYE",C1383)),"Whiskey",
 ISNUMBER(SEARCH("VODKA",C1383)),"Vodka",
 ISNUMBER(SEARCH("TEQUILA",C1383)),"Tequila/Mezcal",
 ISNUMBER(SEARCH("MEZCAL",C1383)),"Tequila/Mezcal",
 ISNUMBER(SEARCH("RUM",C1383)),"Rum",
 ISNUMBER(SEARCH("BRAND",C1383)),"Brandy",
 ISNUMBER(SEARCH("COGNAC",C1383)),"Brandy",
 ISNUMBER(SEARCH("LIQUEUR",C1383)),"Liqueurs",
 ISNUMBER(SEARCH("CORDIAL",C1383)),"Liqueurs",
 ISNUMBER(SEARCH("SCHNAPP",C1383)),"Liqueurs",
 ISNUMBER(SEARCH("GIN",C1383)),"Gin",
 TRUE,"Other")</f>
        <v>Whiskey</v>
      </c>
      <c r="E1383" s="5">
        <v>3077</v>
      </c>
      <c r="F1383" s="5">
        <v>111467.96</v>
      </c>
      <c r="G1383" s="5"/>
      <c r="H1383" s="5">
        <v>747</v>
      </c>
    </row>
    <row r="1384" spans="1:8">
      <c r="A1384" s="5">
        <v>2022</v>
      </c>
      <c r="B1384" s="6">
        <v>44682</v>
      </c>
      <c r="C1384" s="5" t="s">
        <v>23</v>
      </c>
      <c r="D1384" s="3" t="str" cm="1">
        <f t="array" ref="D1384">_xlfn.IFS(
 ISNUMBER(SEARCH("WHISK",C1384)),"Whiskey",
 ISNUMBER(SEARCH("BOURBON",C1384)),"Whiskey",
 ISNUMBER(SEARCH("SCOTCH",C1384)),"Whiskey",
 ISNUMBER(SEARCH("RYE",C1384)),"Whiskey",
 ISNUMBER(SEARCH("VODKA",C1384)),"Vodka",
 ISNUMBER(SEARCH("TEQUILA",C1384)),"Tequila/Mezcal",
 ISNUMBER(SEARCH("MEZCAL",C1384)),"Tequila/Mezcal",
 ISNUMBER(SEARCH("RUM",C1384)),"Rum",
 ISNUMBER(SEARCH("BRAND",C1384)),"Brandy",
 ISNUMBER(SEARCH("COGNAC",C1384)),"Brandy",
 ISNUMBER(SEARCH("LIQUEUR",C1384)),"Liqueurs",
 ISNUMBER(SEARCH("CORDIAL",C1384)),"Liqueurs",
 ISNUMBER(SEARCH("SCHNAPP",C1384)),"Liqueurs",
 ISNUMBER(SEARCH("GIN",C1384)),"Gin",
 TRUE,"Other")</f>
        <v>Gin</v>
      </c>
      <c r="E1384" s="5">
        <v>2970</v>
      </c>
      <c r="F1384" s="5">
        <v>64868.149999999958</v>
      </c>
      <c r="G1384" s="5"/>
      <c r="H1384" s="5">
        <v>347</v>
      </c>
    </row>
    <row r="1385" spans="1:8">
      <c r="A1385" s="5">
        <v>2022</v>
      </c>
      <c r="B1385" s="6">
        <v>44682</v>
      </c>
      <c r="C1385" s="5" t="s">
        <v>26</v>
      </c>
      <c r="D1385" s="3" t="str" cm="1">
        <f t="array" ref="D1385">_xlfn.IFS(
 ISNUMBER(SEARCH("WHISK",C1385)),"Whiskey",
 ISNUMBER(SEARCH("BOURBON",C1385)),"Whiskey",
 ISNUMBER(SEARCH("SCOTCH",C1385)),"Whiskey",
 ISNUMBER(SEARCH("RYE",C1385)),"Whiskey",
 ISNUMBER(SEARCH("VODKA",C1385)),"Vodka",
 ISNUMBER(SEARCH("TEQUILA",C1385)),"Tequila/Mezcal",
 ISNUMBER(SEARCH("MEZCAL",C1385)),"Tequila/Mezcal",
 ISNUMBER(SEARCH("RUM",C1385)),"Rum",
 ISNUMBER(SEARCH("BRAND",C1385)),"Brandy",
 ISNUMBER(SEARCH("COGNAC",C1385)),"Brandy",
 ISNUMBER(SEARCH("LIQUEUR",C1385)),"Liqueurs",
 ISNUMBER(SEARCH("CORDIAL",C1385)),"Liqueurs",
 ISNUMBER(SEARCH("SCHNAPP",C1385)),"Liqueurs",
 ISNUMBER(SEARCH("GIN",C1385)),"Gin",
 TRUE,"Other")</f>
        <v>Brandy</v>
      </c>
      <c r="E1385" s="5">
        <v>60185</v>
      </c>
      <c r="F1385" s="5">
        <v>1376945.1899999231</v>
      </c>
      <c r="G1385" s="5"/>
      <c r="H1385" s="5">
        <v>5050</v>
      </c>
    </row>
    <row r="1386" spans="1:8">
      <c r="A1386" s="5">
        <v>2022</v>
      </c>
      <c r="B1386" s="6">
        <v>44682</v>
      </c>
      <c r="C1386" s="5" t="s">
        <v>29</v>
      </c>
      <c r="D1386" s="3" t="str" cm="1">
        <f t="array" ref="D1386">_xlfn.IFS(
 ISNUMBER(SEARCH("WHISK",C1386)),"Whiskey",
 ISNUMBER(SEARCH("BOURBON",C1386)),"Whiskey",
 ISNUMBER(SEARCH("SCOTCH",C1386)),"Whiskey",
 ISNUMBER(SEARCH("RYE",C1386)),"Whiskey",
 ISNUMBER(SEARCH("VODKA",C1386)),"Vodka",
 ISNUMBER(SEARCH("TEQUILA",C1386)),"Tequila/Mezcal",
 ISNUMBER(SEARCH("MEZCAL",C1386)),"Tequila/Mezcal",
 ISNUMBER(SEARCH("RUM",C1386)),"Rum",
 ISNUMBER(SEARCH("BRAND",C1386)),"Brandy",
 ISNUMBER(SEARCH("COGNAC",C1386)),"Brandy",
 ISNUMBER(SEARCH("LIQUEUR",C1386)),"Liqueurs",
 ISNUMBER(SEARCH("CORDIAL",C1386)),"Liqueurs",
 ISNUMBER(SEARCH("SCHNAPP",C1386)),"Liqueurs",
 ISNUMBER(SEARCH("GIN",C1386)),"Gin",
 TRUE,"Other")</f>
        <v>Gin</v>
      </c>
      <c r="E1386" s="5">
        <v>16857</v>
      </c>
      <c r="F1386" s="5">
        <v>417574.16000000021</v>
      </c>
      <c r="G1386" s="5"/>
      <c r="H1386" s="5">
        <v>2126</v>
      </c>
    </row>
    <row r="1387" spans="1:8">
      <c r="A1387" s="5">
        <v>2022</v>
      </c>
      <c r="B1387" s="6">
        <v>44682</v>
      </c>
      <c r="C1387" s="5" t="s">
        <v>36</v>
      </c>
      <c r="D1387" s="3" t="str" cm="1">
        <f t="array" ref="D1387">_xlfn.IFS(
 ISNUMBER(SEARCH("WHISK",C1387)),"Whiskey",
 ISNUMBER(SEARCH("BOURBON",C1387)),"Whiskey",
 ISNUMBER(SEARCH("SCOTCH",C1387)),"Whiskey",
 ISNUMBER(SEARCH("RYE",C1387)),"Whiskey",
 ISNUMBER(SEARCH("VODKA",C1387)),"Vodka",
 ISNUMBER(SEARCH("TEQUILA",C1387)),"Tequila/Mezcal",
 ISNUMBER(SEARCH("MEZCAL",C1387)),"Tequila/Mezcal",
 ISNUMBER(SEARCH("RUM",C1387)),"Rum",
 ISNUMBER(SEARCH("BRAND",C1387)),"Brandy",
 ISNUMBER(SEARCH("COGNAC",C1387)),"Brandy",
 ISNUMBER(SEARCH("LIQUEUR",C1387)),"Liqueurs",
 ISNUMBER(SEARCH("CORDIAL",C1387)),"Liqueurs",
 ISNUMBER(SEARCH("SCHNAPP",C1387)),"Liqueurs",
 ISNUMBER(SEARCH("GIN",C1387)),"Gin",
 TRUE,"Other")</f>
        <v>Other</v>
      </c>
      <c r="E1387" s="5">
        <v>3076</v>
      </c>
      <c r="F1387" s="5">
        <v>46202.249999999985</v>
      </c>
      <c r="G1387" s="5"/>
      <c r="H1387" s="5">
        <v>337</v>
      </c>
    </row>
    <row r="1388" spans="1:8">
      <c r="A1388" s="5">
        <v>2022</v>
      </c>
      <c r="B1388" s="6">
        <v>44682</v>
      </c>
      <c r="C1388" s="5" t="s">
        <v>40</v>
      </c>
      <c r="D1388" s="3" t="str" cm="1">
        <f t="array" ref="D1388">_xlfn.IFS(
 ISNUMBER(SEARCH("WHISK",C1388)),"Whiskey",
 ISNUMBER(SEARCH("BOURBON",C1388)),"Whiskey",
 ISNUMBER(SEARCH("SCOTCH",C1388)),"Whiskey",
 ISNUMBER(SEARCH("RYE",C1388)),"Whiskey",
 ISNUMBER(SEARCH("VODKA",C1388)),"Vodka",
 ISNUMBER(SEARCH("TEQUILA",C1388)),"Tequila/Mezcal",
 ISNUMBER(SEARCH("MEZCAL",C1388)),"Tequila/Mezcal",
 ISNUMBER(SEARCH("RUM",C1388)),"Rum",
 ISNUMBER(SEARCH("BRAND",C1388)),"Brandy",
 ISNUMBER(SEARCH("COGNAC",C1388)),"Brandy",
 ISNUMBER(SEARCH("LIQUEUR",C1388)),"Liqueurs",
 ISNUMBER(SEARCH("CORDIAL",C1388)),"Liqueurs",
 ISNUMBER(SEARCH("SCHNAPP",C1388)),"Liqueurs",
 ISNUMBER(SEARCH("GIN",C1388)),"Gin",
 TRUE,"Other")</f>
        <v>Whiskey</v>
      </c>
      <c r="E1388" s="5">
        <v>7426</v>
      </c>
      <c r="F1388" s="5">
        <v>344207.29000000033</v>
      </c>
      <c r="G1388" s="5"/>
      <c r="H1388" s="5">
        <v>1433</v>
      </c>
    </row>
    <row r="1389" spans="1:8">
      <c r="A1389" s="5">
        <v>2022</v>
      </c>
      <c r="B1389" s="6">
        <v>44682</v>
      </c>
      <c r="C1389" s="5" t="s">
        <v>41</v>
      </c>
      <c r="D1389" s="3" t="str" cm="1">
        <f t="array" ref="D1389">_xlfn.IFS(
 ISNUMBER(SEARCH("WHISK",C1389)),"Whiskey",
 ISNUMBER(SEARCH("BOURBON",C1389)),"Whiskey",
 ISNUMBER(SEARCH("SCOTCH",C1389)),"Whiskey",
 ISNUMBER(SEARCH("RYE",C1389)),"Whiskey",
 ISNUMBER(SEARCH("VODKA",C1389)),"Vodka",
 ISNUMBER(SEARCH("TEQUILA",C1389)),"Tequila/Mezcal",
 ISNUMBER(SEARCH("MEZCAL",C1389)),"Tequila/Mezcal",
 ISNUMBER(SEARCH("RUM",C1389)),"Rum",
 ISNUMBER(SEARCH("BRAND",C1389)),"Brandy",
 ISNUMBER(SEARCH("COGNAC",C1389)),"Brandy",
 ISNUMBER(SEARCH("LIQUEUR",C1389)),"Liqueurs",
 ISNUMBER(SEARCH("CORDIAL",C1389)),"Liqueurs",
 ISNUMBER(SEARCH("SCHNAPP",C1389)),"Liqueurs",
 ISNUMBER(SEARCH("GIN",C1389)),"Gin",
 TRUE,"Other")</f>
        <v>Other</v>
      </c>
      <c r="E1389" s="5">
        <v>9369</v>
      </c>
      <c r="F1389" s="5">
        <v>125490.27000000005</v>
      </c>
      <c r="G1389" s="5"/>
      <c r="H1389" s="5">
        <v>200</v>
      </c>
    </row>
    <row r="1390" spans="1:8">
      <c r="A1390" s="5">
        <v>2022</v>
      </c>
      <c r="B1390" s="6">
        <v>44682</v>
      </c>
      <c r="C1390" s="5" t="s">
        <v>47</v>
      </c>
      <c r="D1390" s="3" t="str" cm="1">
        <f t="array" ref="D1390">_xlfn.IFS(
 ISNUMBER(SEARCH("WHISK",C1390)),"Whiskey",
 ISNUMBER(SEARCH("BOURBON",C1390)),"Whiskey",
 ISNUMBER(SEARCH("SCOTCH",C1390)),"Whiskey",
 ISNUMBER(SEARCH("RYE",C1390)),"Whiskey",
 ISNUMBER(SEARCH("VODKA",C1390)),"Vodka",
 ISNUMBER(SEARCH("TEQUILA",C1390)),"Tequila/Mezcal",
 ISNUMBER(SEARCH("MEZCAL",C1390)),"Tequila/Mezcal",
 ISNUMBER(SEARCH("RUM",C1390)),"Rum",
 ISNUMBER(SEARCH("BRAND",C1390)),"Brandy",
 ISNUMBER(SEARCH("COGNAC",C1390)),"Brandy",
 ISNUMBER(SEARCH("LIQUEUR",C1390)),"Liqueurs",
 ISNUMBER(SEARCH("CORDIAL",C1390)),"Liqueurs",
 ISNUMBER(SEARCH("SCHNAPP",C1390)),"Liqueurs",
 ISNUMBER(SEARCH("GIN",C1390)),"Gin",
 TRUE,"Other")</f>
        <v>Other</v>
      </c>
      <c r="E1390" s="5">
        <v>19210</v>
      </c>
      <c r="F1390" s="5">
        <v>77349.699999999866</v>
      </c>
      <c r="G1390" s="5"/>
      <c r="H1390" s="5">
        <v>730</v>
      </c>
    </row>
    <row r="1391" spans="1:8">
      <c r="A1391" s="5">
        <v>2022</v>
      </c>
      <c r="B1391" s="6">
        <v>44682</v>
      </c>
      <c r="C1391" s="5" t="s">
        <v>21</v>
      </c>
      <c r="D1391" s="3" t="str" cm="1">
        <f t="array" ref="D1391">_xlfn.IFS(
 ISNUMBER(SEARCH("WHISK",C1391)),"Whiskey",
 ISNUMBER(SEARCH("BOURBON",C1391)),"Whiskey",
 ISNUMBER(SEARCH("SCOTCH",C1391)),"Whiskey",
 ISNUMBER(SEARCH("RYE",C1391)),"Whiskey",
 ISNUMBER(SEARCH("VODKA",C1391)),"Vodka",
 ISNUMBER(SEARCH("TEQUILA",C1391)),"Tequila/Mezcal",
 ISNUMBER(SEARCH("MEZCAL",C1391)),"Tequila/Mezcal",
 ISNUMBER(SEARCH("RUM",C1391)),"Rum",
 ISNUMBER(SEARCH("BRAND",C1391)),"Brandy",
 ISNUMBER(SEARCH("COGNAC",C1391)),"Brandy",
 ISNUMBER(SEARCH("LIQUEUR",C1391)),"Liqueurs",
 ISNUMBER(SEARCH("CORDIAL",C1391)),"Liqueurs",
 ISNUMBER(SEARCH("SCHNAPP",C1391)),"Liqueurs",
 ISNUMBER(SEARCH("GIN",C1391)),"Gin",
 TRUE,"Other")</f>
        <v>Whiskey</v>
      </c>
      <c r="E1391" s="5">
        <v>1724</v>
      </c>
      <c r="F1391" s="5">
        <v>45231.579999999994</v>
      </c>
      <c r="G1391" s="5"/>
      <c r="H1391" s="5">
        <v>193</v>
      </c>
    </row>
    <row r="1392" spans="1:8">
      <c r="A1392" s="5">
        <v>2022</v>
      </c>
      <c r="B1392" s="6">
        <v>44682</v>
      </c>
      <c r="C1392" s="5" t="s">
        <v>34</v>
      </c>
      <c r="D1392" s="3" t="str" cm="1">
        <f t="array" ref="D1392">_xlfn.IFS(
 ISNUMBER(SEARCH("WHISK",C1392)),"Whiskey",
 ISNUMBER(SEARCH("BOURBON",C1392)),"Whiskey",
 ISNUMBER(SEARCH("SCOTCH",C1392)),"Whiskey",
 ISNUMBER(SEARCH("RYE",C1392)),"Whiskey",
 ISNUMBER(SEARCH("VODKA",C1392)),"Vodka",
 ISNUMBER(SEARCH("TEQUILA",C1392)),"Tequila/Mezcal",
 ISNUMBER(SEARCH("MEZCAL",C1392)),"Tequila/Mezcal",
 ISNUMBER(SEARCH("RUM",C1392)),"Rum",
 ISNUMBER(SEARCH("BRAND",C1392)),"Brandy",
 ISNUMBER(SEARCH("COGNAC",C1392)),"Brandy",
 ISNUMBER(SEARCH("LIQUEUR",C1392)),"Liqueurs",
 ISNUMBER(SEARCH("CORDIAL",C1392)),"Liqueurs",
 ISNUMBER(SEARCH("SCHNAPP",C1392)),"Liqueurs",
 ISNUMBER(SEARCH("GIN",C1392)),"Gin",
 TRUE,"Other")</f>
        <v>Tequila/Mezcal</v>
      </c>
      <c r="E1392" s="5">
        <v>1608</v>
      </c>
      <c r="F1392" s="5">
        <v>56160.560000000041</v>
      </c>
      <c r="G1392" s="5"/>
      <c r="H1392" s="5">
        <v>326</v>
      </c>
    </row>
    <row r="1393" spans="1:8">
      <c r="A1393" s="5">
        <v>2022</v>
      </c>
      <c r="B1393" s="6">
        <v>44682</v>
      </c>
      <c r="C1393" s="5" t="s">
        <v>7</v>
      </c>
      <c r="D1393" s="3" t="str" cm="1">
        <f t="array" ref="D1393">_xlfn.IFS(
 ISNUMBER(SEARCH("WHISK",C1393)),"Whiskey",
 ISNUMBER(SEARCH("BOURBON",C1393)),"Whiskey",
 ISNUMBER(SEARCH("SCOTCH",C1393)),"Whiskey",
 ISNUMBER(SEARCH("RYE",C1393)),"Whiskey",
 ISNUMBER(SEARCH("VODKA",C1393)),"Vodka",
 ISNUMBER(SEARCH("TEQUILA",C1393)),"Tequila/Mezcal",
 ISNUMBER(SEARCH("MEZCAL",C1393)),"Tequila/Mezcal",
 ISNUMBER(SEARCH("RUM",C1393)),"Rum",
 ISNUMBER(SEARCH("BRAND",C1393)),"Brandy",
 ISNUMBER(SEARCH("COGNAC",C1393)),"Brandy",
 ISNUMBER(SEARCH("LIQUEUR",C1393)),"Liqueurs",
 ISNUMBER(SEARCH("CORDIAL",C1393)),"Liqueurs",
 ISNUMBER(SEARCH("SCHNAPP",C1393)),"Liqueurs",
 ISNUMBER(SEARCH("GIN",C1393)),"Gin",
 TRUE,"Other")</f>
        <v>Rum</v>
      </c>
      <c r="E1393" s="5">
        <v>3758</v>
      </c>
      <c r="F1393" s="5">
        <v>79328.680000000109</v>
      </c>
      <c r="G1393" s="5"/>
      <c r="H1393" s="5">
        <v>679</v>
      </c>
    </row>
    <row r="1394" spans="1:8">
      <c r="A1394" s="5">
        <v>2022</v>
      </c>
      <c r="B1394" s="6">
        <v>44682</v>
      </c>
      <c r="C1394" s="5" t="s">
        <v>14</v>
      </c>
      <c r="D1394" s="3" t="str" cm="1">
        <f t="array" ref="D1394">_xlfn.IFS(
 ISNUMBER(SEARCH("WHISK",C1394)),"Whiskey",
 ISNUMBER(SEARCH("BOURBON",C1394)),"Whiskey",
 ISNUMBER(SEARCH("SCOTCH",C1394)),"Whiskey",
 ISNUMBER(SEARCH("RYE",C1394)),"Whiskey",
 ISNUMBER(SEARCH("VODKA",C1394)),"Vodka",
 ISNUMBER(SEARCH("TEQUILA",C1394)),"Tequila/Mezcal",
 ISNUMBER(SEARCH("MEZCAL",C1394)),"Tequila/Mezcal",
 ISNUMBER(SEARCH("RUM",C1394)),"Rum",
 ISNUMBER(SEARCH("BRAND",C1394)),"Brandy",
 ISNUMBER(SEARCH("COGNAC",C1394)),"Brandy",
 ISNUMBER(SEARCH("LIQUEUR",C1394)),"Liqueurs",
 ISNUMBER(SEARCH("CORDIAL",C1394)),"Liqueurs",
 ISNUMBER(SEARCH("SCHNAPP",C1394)),"Liqueurs",
 ISNUMBER(SEARCH("GIN",C1394)),"Gin",
 TRUE,"Other")</f>
        <v>Gin</v>
      </c>
      <c r="E1394" s="5">
        <v>279</v>
      </c>
      <c r="F1394" s="5">
        <v>2268.2700000000013</v>
      </c>
      <c r="G1394" s="5"/>
      <c r="H1394" s="5">
        <v>58</v>
      </c>
    </row>
    <row r="1395" spans="1:8">
      <c r="A1395" s="5">
        <v>2022</v>
      </c>
      <c r="B1395" s="6">
        <v>44682</v>
      </c>
      <c r="C1395" s="5" t="s">
        <v>52</v>
      </c>
      <c r="D1395" s="3" t="str" cm="1">
        <f t="array" ref="D1395">_xlfn.IFS(
 ISNUMBER(SEARCH("WHISK",C1395)),"Whiskey",
 ISNUMBER(SEARCH("BOURBON",C1395)),"Whiskey",
 ISNUMBER(SEARCH("SCOTCH",C1395)),"Whiskey",
 ISNUMBER(SEARCH("RYE",C1395)),"Whiskey",
 ISNUMBER(SEARCH("VODKA",C1395)),"Vodka",
 ISNUMBER(SEARCH("TEQUILA",C1395)),"Tequila/Mezcal",
 ISNUMBER(SEARCH("MEZCAL",C1395)),"Tequila/Mezcal",
 ISNUMBER(SEARCH("RUM",C1395)),"Rum",
 ISNUMBER(SEARCH("BRAND",C1395)),"Brandy",
 ISNUMBER(SEARCH("COGNAC",C1395)),"Brandy",
 ISNUMBER(SEARCH("LIQUEUR",C1395)),"Liqueurs",
 ISNUMBER(SEARCH("CORDIAL",C1395)),"Liqueurs",
 ISNUMBER(SEARCH("SCHNAPP",C1395)),"Liqueurs",
 ISNUMBER(SEARCH("GIN",C1395)),"Gin",
 TRUE,"Other")</f>
        <v>Gin</v>
      </c>
      <c r="E1395" s="5">
        <v>12</v>
      </c>
      <c r="F1395" s="5">
        <v>265.56</v>
      </c>
      <c r="G1395" s="5"/>
      <c r="H1395" s="5">
        <v>1</v>
      </c>
    </row>
    <row r="1396" spans="1:8">
      <c r="A1396" s="5">
        <v>2022</v>
      </c>
      <c r="B1396" s="6">
        <v>44713</v>
      </c>
      <c r="C1396" s="5" t="s">
        <v>12</v>
      </c>
      <c r="D1396" s="3" t="str" cm="1">
        <f t="array" ref="D1396">_xlfn.IFS(
 ISNUMBER(SEARCH("WHISK",C1396)),"Whiskey",
 ISNUMBER(SEARCH("BOURBON",C1396)),"Whiskey",
 ISNUMBER(SEARCH("SCOTCH",C1396)),"Whiskey",
 ISNUMBER(SEARCH("RYE",C1396)),"Whiskey",
 ISNUMBER(SEARCH("VODKA",C1396)),"Vodka",
 ISNUMBER(SEARCH("TEQUILA",C1396)),"Tequila/Mezcal",
 ISNUMBER(SEARCH("MEZCAL",C1396)),"Tequila/Mezcal",
 ISNUMBER(SEARCH("RUM",C1396)),"Rum",
 ISNUMBER(SEARCH("BRAND",C1396)),"Brandy",
 ISNUMBER(SEARCH("COGNAC",C1396)),"Brandy",
 ISNUMBER(SEARCH("LIQUEUR",C1396)),"Liqueurs",
 ISNUMBER(SEARCH("CORDIAL",C1396)),"Liqueurs",
 ISNUMBER(SEARCH("SCHNAPP",C1396)),"Liqueurs",
 ISNUMBER(SEARCH("GIN",C1396)),"Gin",
 TRUE,"Other")</f>
        <v>Vodka</v>
      </c>
      <c r="E1396" s="5">
        <v>108446</v>
      </c>
      <c r="F1396" s="5">
        <v>1177283.4200000523</v>
      </c>
      <c r="G1396" s="5"/>
      <c r="H1396" s="5">
        <v>12879</v>
      </c>
    </row>
    <row r="1397" spans="1:8">
      <c r="A1397" s="5">
        <v>2022</v>
      </c>
      <c r="B1397" s="6">
        <v>44713</v>
      </c>
      <c r="C1397" s="5" t="s">
        <v>15</v>
      </c>
      <c r="D1397" s="3" t="str" cm="1">
        <f t="array" ref="D1397">_xlfn.IFS(
 ISNUMBER(SEARCH("WHISK",C1397)),"Whiskey",
 ISNUMBER(SEARCH("BOURBON",C1397)),"Whiskey",
 ISNUMBER(SEARCH("SCOTCH",C1397)),"Whiskey",
 ISNUMBER(SEARCH("RYE",C1397)),"Whiskey",
 ISNUMBER(SEARCH("VODKA",C1397)),"Vodka",
 ISNUMBER(SEARCH("TEQUILA",C1397)),"Tequila/Mezcal",
 ISNUMBER(SEARCH("MEZCAL",C1397)),"Tequila/Mezcal",
 ISNUMBER(SEARCH("RUM",C1397)),"Rum",
 ISNUMBER(SEARCH("BRAND",C1397)),"Brandy",
 ISNUMBER(SEARCH("COGNAC",C1397)),"Brandy",
 ISNUMBER(SEARCH("LIQUEUR",C1397)),"Liqueurs",
 ISNUMBER(SEARCH("CORDIAL",C1397)),"Liqueurs",
 ISNUMBER(SEARCH("SCHNAPP",C1397)),"Liqueurs",
 ISNUMBER(SEARCH("GIN",C1397)),"Gin",
 TRUE,"Other")</f>
        <v>Vodka</v>
      </c>
      <c r="E1397" s="5">
        <v>587643</v>
      </c>
      <c r="F1397" s="5">
        <v>6129111.659999568</v>
      </c>
      <c r="G1397" s="5"/>
      <c r="H1397" s="5">
        <v>36286</v>
      </c>
    </row>
    <row r="1398" spans="1:8">
      <c r="A1398" s="5">
        <v>2022</v>
      </c>
      <c r="B1398" s="6">
        <v>44713</v>
      </c>
      <c r="C1398" s="5" t="s">
        <v>18</v>
      </c>
      <c r="D1398" s="3" t="str" cm="1">
        <f t="array" ref="D1398">_xlfn.IFS(
 ISNUMBER(SEARCH("WHISK",C1398)),"Whiskey",
 ISNUMBER(SEARCH("BOURBON",C1398)),"Whiskey",
 ISNUMBER(SEARCH("SCOTCH",C1398)),"Whiskey",
 ISNUMBER(SEARCH("RYE",C1398)),"Whiskey",
 ISNUMBER(SEARCH("VODKA",C1398)),"Vodka",
 ISNUMBER(SEARCH("TEQUILA",C1398)),"Tequila/Mezcal",
 ISNUMBER(SEARCH("MEZCAL",C1398)),"Tequila/Mezcal",
 ISNUMBER(SEARCH("RUM",C1398)),"Rum",
 ISNUMBER(SEARCH("BRAND",C1398)),"Brandy",
 ISNUMBER(SEARCH("COGNAC",C1398)),"Brandy",
 ISNUMBER(SEARCH("LIQUEUR",C1398)),"Liqueurs",
 ISNUMBER(SEARCH("CORDIAL",C1398)),"Liqueurs",
 ISNUMBER(SEARCH("SCHNAPP",C1398)),"Liqueurs",
 ISNUMBER(SEARCH("GIN",C1398)),"Gin",
 TRUE,"Other")</f>
        <v>Whiskey</v>
      </c>
      <c r="E1398" s="5">
        <v>245707</v>
      </c>
      <c r="F1398" s="5">
        <v>3786675.2399999271</v>
      </c>
      <c r="G1398" s="5"/>
      <c r="H1398" s="5">
        <v>20179</v>
      </c>
    </row>
    <row r="1399" spans="1:8">
      <c r="A1399" s="5">
        <v>2022</v>
      </c>
      <c r="B1399" s="6">
        <v>44713</v>
      </c>
      <c r="C1399" s="5" t="s">
        <v>19</v>
      </c>
      <c r="D1399" s="3" t="str" cm="1">
        <f t="array" ref="D1399">_xlfn.IFS(
 ISNUMBER(SEARCH("WHISK",C1399)),"Whiskey",
 ISNUMBER(SEARCH("BOURBON",C1399)),"Whiskey",
 ISNUMBER(SEARCH("SCOTCH",C1399)),"Whiskey",
 ISNUMBER(SEARCH("RYE",C1399)),"Whiskey",
 ISNUMBER(SEARCH("VODKA",C1399)),"Vodka",
 ISNUMBER(SEARCH("TEQUILA",C1399)),"Tequila/Mezcal",
 ISNUMBER(SEARCH("MEZCAL",C1399)),"Tequila/Mezcal",
 ISNUMBER(SEARCH("RUM",C1399)),"Rum",
 ISNUMBER(SEARCH("BRAND",C1399)),"Brandy",
 ISNUMBER(SEARCH("COGNAC",C1399)),"Brandy",
 ISNUMBER(SEARCH("LIQUEUR",C1399)),"Liqueurs",
 ISNUMBER(SEARCH("CORDIAL",C1399)),"Liqueurs",
 ISNUMBER(SEARCH("SCHNAPP",C1399)),"Liqueurs",
 ISNUMBER(SEARCH("GIN",C1399)),"Gin",
 TRUE,"Other")</f>
        <v>Other</v>
      </c>
      <c r="E1399" s="5">
        <v>68813</v>
      </c>
      <c r="F1399" s="5">
        <v>823278.78999999189</v>
      </c>
      <c r="G1399" s="5"/>
      <c r="H1399" s="5">
        <v>7968</v>
      </c>
    </row>
    <row r="1400" spans="1:8">
      <c r="A1400" s="5">
        <v>2022</v>
      </c>
      <c r="B1400" s="6">
        <v>44713</v>
      </c>
      <c r="C1400" s="5" t="s">
        <v>31</v>
      </c>
      <c r="D1400" s="3" t="str" cm="1">
        <f t="array" ref="D1400">_xlfn.IFS(
 ISNUMBER(SEARCH("WHISK",C1400)),"Whiskey",
 ISNUMBER(SEARCH("BOURBON",C1400)),"Whiskey",
 ISNUMBER(SEARCH("SCOTCH",C1400)),"Whiskey",
 ISNUMBER(SEARCH("RYE",C1400)),"Whiskey",
 ISNUMBER(SEARCH("VODKA",C1400)),"Vodka",
 ISNUMBER(SEARCH("TEQUILA",C1400)),"Tequila/Mezcal",
 ISNUMBER(SEARCH("MEZCAL",C1400)),"Tequila/Mezcal",
 ISNUMBER(SEARCH("RUM",C1400)),"Rum",
 ISNUMBER(SEARCH("BRAND",C1400)),"Brandy",
 ISNUMBER(SEARCH("COGNAC",C1400)),"Brandy",
 ISNUMBER(SEARCH("LIQUEUR",C1400)),"Liqueurs",
 ISNUMBER(SEARCH("CORDIAL",C1400)),"Liqueurs",
 ISNUMBER(SEARCH("SCHNAPP",C1400)),"Liqueurs",
 ISNUMBER(SEARCH("GIN",C1400)),"Gin",
 TRUE,"Other")</f>
        <v>Liqueurs</v>
      </c>
      <c r="E1400" s="5">
        <v>32665</v>
      </c>
      <c r="F1400" s="5">
        <v>549580.99999999709</v>
      </c>
      <c r="G1400" s="5"/>
      <c r="H1400" s="5">
        <v>3460</v>
      </c>
    </row>
    <row r="1401" spans="1:8">
      <c r="A1401" s="5">
        <v>2022</v>
      </c>
      <c r="B1401" s="6">
        <v>44713</v>
      </c>
      <c r="C1401" s="5" t="s">
        <v>42</v>
      </c>
      <c r="D1401" s="3" t="str" cm="1">
        <f t="array" ref="D1401">_xlfn.IFS(
 ISNUMBER(SEARCH("WHISK",C1401)),"Whiskey",
 ISNUMBER(SEARCH("BOURBON",C1401)),"Whiskey",
 ISNUMBER(SEARCH("SCOTCH",C1401)),"Whiskey",
 ISNUMBER(SEARCH("RYE",C1401)),"Whiskey",
 ISNUMBER(SEARCH("VODKA",C1401)),"Vodka",
 ISNUMBER(SEARCH("TEQUILA",C1401)),"Tequila/Mezcal",
 ISNUMBER(SEARCH("MEZCAL",C1401)),"Tequila/Mezcal",
 ISNUMBER(SEARCH("RUM",C1401)),"Rum",
 ISNUMBER(SEARCH("BRAND",C1401)),"Brandy",
 ISNUMBER(SEARCH("COGNAC",C1401)),"Brandy",
 ISNUMBER(SEARCH("LIQUEUR",C1401)),"Liqueurs",
 ISNUMBER(SEARCH("CORDIAL",C1401)),"Liqueurs",
 ISNUMBER(SEARCH("SCHNAPP",C1401)),"Liqueurs",
 ISNUMBER(SEARCH("GIN",C1401)),"Gin",
 TRUE,"Other")</f>
        <v>Rum</v>
      </c>
      <c r="E1401" s="5">
        <v>121422</v>
      </c>
      <c r="F1401" s="5">
        <v>1732713.5900000017</v>
      </c>
      <c r="G1401" s="5"/>
      <c r="H1401" s="5">
        <v>9666</v>
      </c>
    </row>
    <row r="1402" spans="1:8">
      <c r="A1402" s="5">
        <v>2022</v>
      </c>
      <c r="B1402" s="6">
        <v>44713</v>
      </c>
      <c r="C1402" s="5" t="s">
        <v>50</v>
      </c>
      <c r="D1402" s="3" t="str" cm="1">
        <f t="array" ref="D1402">_xlfn.IFS(
 ISNUMBER(SEARCH("WHISK",C1402)),"Whiskey",
 ISNUMBER(SEARCH("BOURBON",C1402)),"Whiskey",
 ISNUMBER(SEARCH("SCOTCH",C1402)),"Whiskey",
 ISNUMBER(SEARCH("RYE",C1402)),"Whiskey",
 ISNUMBER(SEARCH("VODKA",C1402)),"Vodka",
 ISNUMBER(SEARCH("TEQUILA",C1402)),"Tequila/Mezcal",
 ISNUMBER(SEARCH("MEZCAL",C1402)),"Tequila/Mezcal",
 ISNUMBER(SEARCH("RUM",C1402)),"Rum",
 ISNUMBER(SEARCH("BRAND",C1402)),"Brandy",
 ISNUMBER(SEARCH("COGNAC",C1402)),"Brandy",
 ISNUMBER(SEARCH("LIQUEUR",C1402)),"Liqueurs",
 ISNUMBER(SEARCH("CORDIAL",C1402)),"Liqueurs",
 ISNUMBER(SEARCH("SCHNAPP",C1402)),"Liqueurs",
 ISNUMBER(SEARCH("GIN",C1402)),"Gin",
 TRUE,"Other")</f>
        <v>Tequila/Mezcal</v>
      </c>
      <c r="E1402" s="5">
        <v>85275</v>
      </c>
      <c r="F1402" s="5">
        <v>2558184.0399999227</v>
      </c>
      <c r="G1402" s="5"/>
      <c r="H1402" s="5">
        <v>10030</v>
      </c>
    </row>
    <row r="1403" spans="1:8">
      <c r="A1403" s="5">
        <v>2022</v>
      </c>
      <c r="B1403" s="6">
        <v>44713</v>
      </c>
      <c r="C1403" s="5" t="s">
        <v>8</v>
      </c>
      <c r="D1403" s="3" t="str" cm="1">
        <f t="array" ref="D1403">_xlfn.IFS(
 ISNUMBER(SEARCH("WHISK",C1403)),"Whiskey",
 ISNUMBER(SEARCH("BOURBON",C1403)),"Whiskey",
 ISNUMBER(SEARCH("SCOTCH",C1403)),"Whiskey",
 ISNUMBER(SEARCH("RYE",C1403)),"Whiskey",
 ISNUMBER(SEARCH("VODKA",C1403)),"Vodka",
 ISNUMBER(SEARCH("TEQUILA",C1403)),"Tequila/Mezcal",
 ISNUMBER(SEARCH("MEZCAL",C1403)),"Tequila/Mezcal",
 ISNUMBER(SEARCH("RUM",C1403)),"Rum",
 ISNUMBER(SEARCH("BRAND",C1403)),"Brandy",
 ISNUMBER(SEARCH("COGNAC",C1403)),"Brandy",
 ISNUMBER(SEARCH("LIQUEUR",C1403)),"Liqueurs",
 ISNUMBER(SEARCH("CORDIAL",C1403)),"Liqueurs",
 ISNUMBER(SEARCH("SCHNAPP",C1403)),"Liqueurs",
 ISNUMBER(SEARCH("GIN",C1403)),"Gin",
 TRUE,"Other")</f>
        <v>Brandy</v>
      </c>
      <c r="E1403" s="5">
        <v>61710</v>
      </c>
      <c r="F1403" s="5">
        <v>391596.4800000008</v>
      </c>
      <c r="G1403" s="5"/>
      <c r="H1403" s="5">
        <v>5182</v>
      </c>
    </row>
    <row r="1404" spans="1:8">
      <c r="A1404" s="5">
        <v>2022</v>
      </c>
      <c r="B1404" s="6">
        <v>44713</v>
      </c>
      <c r="C1404" s="5" t="s">
        <v>10</v>
      </c>
      <c r="D1404" s="3" t="str" cm="1">
        <f t="array" ref="D1404">_xlfn.IFS(
 ISNUMBER(SEARCH("WHISK",C1404)),"Whiskey",
 ISNUMBER(SEARCH("BOURBON",C1404)),"Whiskey",
 ISNUMBER(SEARCH("SCOTCH",C1404)),"Whiskey",
 ISNUMBER(SEARCH("RYE",C1404)),"Whiskey",
 ISNUMBER(SEARCH("VODKA",C1404)),"Vodka",
 ISNUMBER(SEARCH("TEQUILA",C1404)),"Tequila/Mezcal",
 ISNUMBER(SEARCH("MEZCAL",C1404)),"Tequila/Mezcal",
 ISNUMBER(SEARCH("RUM",C1404)),"Rum",
 ISNUMBER(SEARCH("BRAND",C1404)),"Brandy",
 ISNUMBER(SEARCH("COGNAC",C1404)),"Brandy",
 ISNUMBER(SEARCH("LIQUEUR",C1404)),"Liqueurs",
 ISNUMBER(SEARCH("CORDIAL",C1404)),"Liqueurs",
 ISNUMBER(SEARCH("SCHNAPP",C1404)),"Liqueurs",
 ISNUMBER(SEARCH("GIN",C1404)),"Gin",
 TRUE,"Other")</f>
        <v>Other</v>
      </c>
      <c r="E1404" s="5">
        <v>5843</v>
      </c>
      <c r="F1404" s="5">
        <v>109231.67999999959</v>
      </c>
      <c r="G1404" s="5"/>
      <c r="H1404" s="5">
        <v>957</v>
      </c>
    </row>
    <row r="1405" spans="1:8">
      <c r="A1405" s="5">
        <v>2022</v>
      </c>
      <c r="B1405" s="6">
        <v>44713</v>
      </c>
      <c r="C1405" s="5" t="s">
        <v>11</v>
      </c>
      <c r="D1405" s="3" t="str" cm="1">
        <f t="array" ref="D1405">_xlfn.IFS(
 ISNUMBER(SEARCH("WHISK",C1405)),"Whiskey",
 ISNUMBER(SEARCH("BOURBON",C1405)),"Whiskey",
 ISNUMBER(SEARCH("SCOTCH",C1405)),"Whiskey",
 ISNUMBER(SEARCH("RYE",C1405)),"Whiskey",
 ISNUMBER(SEARCH("VODKA",C1405)),"Vodka",
 ISNUMBER(SEARCH("TEQUILA",C1405)),"Tequila/Mezcal",
 ISNUMBER(SEARCH("MEZCAL",C1405)),"Tequila/Mezcal",
 ISNUMBER(SEARCH("RUM",C1405)),"Rum",
 ISNUMBER(SEARCH("BRAND",C1405)),"Brandy",
 ISNUMBER(SEARCH("COGNAC",C1405)),"Brandy",
 ISNUMBER(SEARCH("LIQUEUR",C1405)),"Liqueurs",
 ISNUMBER(SEARCH("CORDIAL",C1405)),"Liqueurs",
 ISNUMBER(SEARCH("SCHNAPP",C1405)),"Liqueurs",
 ISNUMBER(SEARCH("GIN",C1405)),"Gin",
 TRUE,"Other")</f>
        <v>Gin</v>
      </c>
      <c r="E1405" s="5">
        <v>40700</v>
      </c>
      <c r="F1405" s="5">
        <v>329745.60000000248</v>
      </c>
      <c r="G1405" s="5"/>
      <c r="H1405" s="5">
        <v>3295</v>
      </c>
    </row>
    <row r="1406" spans="1:8">
      <c r="A1406" s="5">
        <v>2022</v>
      </c>
      <c r="B1406" s="6">
        <v>44713</v>
      </c>
      <c r="C1406" s="5" t="s">
        <v>13</v>
      </c>
      <c r="D1406" s="3" t="str" cm="1">
        <f t="array" ref="D1406">_xlfn.IFS(
 ISNUMBER(SEARCH("WHISK",C1406)),"Whiskey",
 ISNUMBER(SEARCH("BOURBON",C1406)),"Whiskey",
 ISNUMBER(SEARCH("SCOTCH",C1406)),"Whiskey",
 ISNUMBER(SEARCH("RYE",C1406)),"Whiskey",
 ISNUMBER(SEARCH("VODKA",C1406)),"Vodka",
 ISNUMBER(SEARCH("TEQUILA",C1406)),"Tequila/Mezcal",
 ISNUMBER(SEARCH("MEZCAL",C1406)),"Tequila/Mezcal",
 ISNUMBER(SEARCH("RUM",C1406)),"Rum",
 ISNUMBER(SEARCH("BRAND",C1406)),"Brandy",
 ISNUMBER(SEARCH("COGNAC",C1406)),"Brandy",
 ISNUMBER(SEARCH("LIQUEUR",C1406)),"Liqueurs",
 ISNUMBER(SEARCH("CORDIAL",C1406)),"Liqueurs",
 ISNUMBER(SEARCH("SCHNAPP",C1406)),"Liqueurs",
 ISNUMBER(SEARCH("GIN",C1406)),"Gin",
 TRUE,"Other")</f>
        <v>Liqueurs</v>
      </c>
      <c r="E1406" s="5">
        <v>72099</v>
      </c>
      <c r="F1406" s="5">
        <v>580126.74000000174</v>
      </c>
      <c r="G1406" s="5"/>
      <c r="H1406" s="5">
        <v>7622</v>
      </c>
    </row>
    <row r="1407" spans="1:8">
      <c r="A1407" s="5">
        <v>2022</v>
      </c>
      <c r="B1407" s="6">
        <v>44713</v>
      </c>
      <c r="C1407" s="5" t="s">
        <v>16</v>
      </c>
      <c r="D1407" s="3" t="str" cm="1">
        <f t="array" ref="D1407">_xlfn.IFS(
 ISNUMBER(SEARCH("WHISK",C1407)),"Whiskey",
 ISNUMBER(SEARCH("BOURBON",C1407)),"Whiskey",
 ISNUMBER(SEARCH("SCOTCH",C1407)),"Whiskey",
 ISNUMBER(SEARCH("RYE",C1407)),"Whiskey",
 ISNUMBER(SEARCH("VODKA",C1407)),"Vodka",
 ISNUMBER(SEARCH("TEQUILA",C1407)),"Tequila/Mezcal",
 ISNUMBER(SEARCH("MEZCAL",C1407)),"Tequila/Mezcal",
 ISNUMBER(SEARCH("RUM",C1407)),"Rum",
 ISNUMBER(SEARCH("BRAND",C1407)),"Brandy",
 ISNUMBER(SEARCH("COGNAC",C1407)),"Brandy",
 ISNUMBER(SEARCH("LIQUEUR",C1407)),"Liqueurs",
 ISNUMBER(SEARCH("CORDIAL",C1407)),"Liqueurs",
 ISNUMBER(SEARCH("SCHNAPP",C1407)),"Liqueurs",
 ISNUMBER(SEARCH("GIN",C1407)),"Gin",
 TRUE,"Other")</f>
        <v>Whiskey</v>
      </c>
      <c r="E1407" s="5">
        <v>80092</v>
      </c>
      <c r="F1407" s="5">
        <v>1100083.2500000019</v>
      </c>
      <c r="G1407" s="5"/>
      <c r="H1407" s="5">
        <v>9082</v>
      </c>
    </row>
    <row r="1408" spans="1:8">
      <c r="A1408" s="5">
        <v>2022</v>
      </c>
      <c r="B1408" s="6">
        <v>44713</v>
      </c>
      <c r="C1408" s="5" t="s">
        <v>20</v>
      </c>
      <c r="D1408" s="3" t="str" cm="1">
        <f t="array" ref="D1408">_xlfn.IFS(
 ISNUMBER(SEARCH("WHISK",C1408)),"Whiskey",
 ISNUMBER(SEARCH("BOURBON",C1408)),"Whiskey",
 ISNUMBER(SEARCH("SCOTCH",C1408)),"Whiskey",
 ISNUMBER(SEARCH("RYE",C1408)),"Whiskey",
 ISNUMBER(SEARCH("VODKA",C1408)),"Vodka",
 ISNUMBER(SEARCH("TEQUILA",C1408)),"Tequila/Mezcal",
 ISNUMBER(SEARCH("MEZCAL",C1408)),"Tequila/Mezcal",
 ISNUMBER(SEARCH("RUM",C1408)),"Rum",
 ISNUMBER(SEARCH("BRAND",C1408)),"Brandy",
 ISNUMBER(SEARCH("COGNAC",C1408)),"Brandy",
 ISNUMBER(SEARCH("LIQUEUR",C1408)),"Liqueurs",
 ISNUMBER(SEARCH("CORDIAL",C1408)),"Liqueurs",
 ISNUMBER(SEARCH("SCHNAPP",C1408)),"Liqueurs",
 ISNUMBER(SEARCH("GIN",C1408)),"Gin",
 TRUE,"Other")</f>
        <v>Liqueurs</v>
      </c>
      <c r="E1408" s="5">
        <v>7205</v>
      </c>
      <c r="F1408" s="5">
        <v>131771.29000000106</v>
      </c>
      <c r="G1408" s="5"/>
      <c r="H1408" s="5">
        <v>1004</v>
      </c>
    </row>
    <row r="1409" spans="1:8">
      <c r="A1409" s="5">
        <v>2022</v>
      </c>
      <c r="B1409" s="6">
        <v>44713</v>
      </c>
      <c r="C1409" s="5" t="s">
        <v>22</v>
      </c>
      <c r="D1409" s="3" t="str" cm="1">
        <f t="array" ref="D1409">_xlfn.IFS(
 ISNUMBER(SEARCH("WHISK",C1409)),"Whiskey",
 ISNUMBER(SEARCH("BOURBON",C1409)),"Whiskey",
 ISNUMBER(SEARCH("SCOTCH",C1409)),"Whiskey",
 ISNUMBER(SEARCH("RYE",C1409)),"Whiskey",
 ISNUMBER(SEARCH("VODKA",C1409)),"Vodka",
 ISNUMBER(SEARCH("TEQUILA",C1409)),"Tequila/Mezcal",
 ISNUMBER(SEARCH("MEZCAL",C1409)),"Tequila/Mezcal",
 ISNUMBER(SEARCH("RUM",C1409)),"Rum",
 ISNUMBER(SEARCH("BRAND",C1409)),"Brandy",
 ISNUMBER(SEARCH("COGNAC",C1409)),"Brandy",
 ISNUMBER(SEARCH("LIQUEUR",C1409)),"Liqueurs",
 ISNUMBER(SEARCH("CORDIAL",C1409)),"Liqueurs",
 ISNUMBER(SEARCH("SCHNAPP",C1409)),"Liqueurs",
 ISNUMBER(SEARCH("GIN",C1409)),"Gin",
 TRUE,"Other")</f>
        <v>Liqueurs</v>
      </c>
      <c r="E1409" s="5">
        <v>25936</v>
      </c>
      <c r="F1409" s="5">
        <v>506719.10999999591</v>
      </c>
      <c r="G1409" s="5"/>
      <c r="H1409" s="5">
        <v>3874</v>
      </c>
    </row>
    <row r="1410" spans="1:8">
      <c r="A1410" s="5">
        <v>2022</v>
      </c>
      <c r="B1410" s="6">
        <v>44713</v>
      </c>
      <c r="C1410" s="5" t="s">
        <v>24</v>
      </c>
      <c r="D1410" s="3" t="str" cm="1">
        <f t="array" ref="D1410">_xlfn.IFS(
 ISNUMBER(SEARCH("WHISK",C1410)),"Whiskey",
 ISNUMBER(SEARCH("BOURBON",C1410)),"Whiskey",
 ISNUMBER(SEARCH("SCOTCH",C1410)),"Whiskey",
 ISNUMBER(SEARCH("RYE",C1410)),"Whiskey",
 ISNUMBER(SEARCH("VODKA",C1410)),"Vodka",
 ISNUMBER(SEARCH("TEQUILA",C1410)),"Tequila/Mezcal",
 ISNUMBER(SEARCH("MEZCAL",C1410)),"Tequila/Mezcal",
 ISNUMBER(SEARCH("RUM",C1410)),"Rum",
 ISNUMBER(SEARCH("BRAND",C1410)),"Brandy",
 ISNUMBER(SEARCH("COGNAC",C1410)),"Brandy",
 ISNUMBER(SEARCH("LIQUEUR",C1410)),"Liqueurs",
 ISNUMBER(SEARCH("CORDIAL",C1410)),"Liqueurs",
 ISNUMBER(SEARCH("SCHNAPP",C1410)),"Liqueurs",
 ISNUMBER(SEARCH("GIN",C1410)),"Gin",
 TRUE,"Other")</f>
        <v>Rum</v>
      </c>
      <c r="E1410" s="5">
        <v>61501</v>
      </c>
      <c r="F1410" s="5">
        <v>925129.38000000094</v>
      </c>
      <c r="G1410" s="5"/>
      <c r="H1410" s="5">
        <v>5434</v>
      </c>
    </row>
    <row r="1411" spans="1:8">
      <c r="A1411" s="5">
        <v>2022</v>
      </c>
      <c r="B1411" s="6">
        <v>44713</v>
      </c>
      <c r="C1411" s="5" t="s">
        <v>29</v>
      </c>
      <c r="D1411" s="3" t="str" cm="1">
        <f t="array" ref="D1411">_xlfn.IFS(
 ISNUMBER(SEARCH("WHISK",C1411)),"Whiskey",
 ISNUMBER(SEARCH("BOURBON",C1411)),"Whiskey",
 ISNUMBER(SEARCH("SCOTCH",C1411)),"Whiskey",
 ISNUMBER(SEARCH("RYE",C1411)),"Whiskey",
 ISNUMBER(SEARCH("VODKA",C1411)),"Vodka",
 ISNUMBER(SEARCH("TEQUILA",C1411)),"Tequila/Mezcal",
 ISNUMBER(SEARCH("MEZCAL",C1411)),"Tequila/Mezcal",
 ISNUMBER(SEARCH("RUM",C1411)),"Rum",
 ISNUMBER(SEARCH("BRAND",C1411)),"Brandy",
 ISNUMBER(SEARCH("COGNAC",C1411)),"Brandy",
 ISNUMBER(SEARCH("LIQUEUR",C1411)),"Liqueurs",
 ISNUMBER(SEARCH("CORDIAL",C1411)),"Liqueurs",
 ISNUMBER(SEARCH("SCHNAPP",C1411)),"Liqueurs",
 ISNUMBER(SEARCH("GIN",C1411)),"Gin",
 TRUE,"Other")</f>
        <v>Gin</v>
      </c>
      <c r="E1411" s="5">
        <v>21808</v>
      </c>
      <c r="F1411" s="5">
        <v>563581.69999999925</v>
      </c>
      <c r="G1411" s="5"/>
      <c r="H1411" s="5">
        <v>2496</v>
      </c>
    </row>
    <row r="1412" spans="1:8">
      <c r="A1412" s="5">
        <v>2022</v>
      </c>
      <c r="B1412" s="6">
        <v>44713</v>
      </c>
      <c r="C1412" s="5" t="s">
        <v>30</v>
      </c>
      <c r="D1412" s="3" t="str" cm="1">
        <f t="array" ref="D1412">_xlfn.IFS(
 ISNUMBER(SEARCH("WHISK",C1412)),"Whiskey",
 ISNUMBER(SEARCH("BOURBON",C1412)),"Whiskey",
 ISNUMBER(SEARCH("SCOTCH",C1412)),"Whiskey",
 ISNUMBER(SEARCH("RYE",C1412)),"Whiskey",
 ISNUMBER(SEARCH("VODKA",C1412)),"Vodka",
 ISNUMBER(SEARCH("TEQUILA",C1412)),"Tequila/Mezcal",
 ISNUMBER(SEARCH("MEZCAL",C1412)),"Tequila/Mezcal",
 ISNUMBER(SEARCH("RUM",C1412)),"Rum",
 ISNUMBER(SEARCH("BRAND",C1412)),"Brandy",
 ISNUMBER(SEARCH("COGNAC",C1412)),"Brandy",
 ISNUMBER(SEARCH("LIQUEUR",C1412)),"Liqueurs",
 ISNUMBER(SEARCH("CORDIAL",C1412)),"Liqueurs",
 ISNUMBER(SEARCH("SCHNAPP",C1412)),"Liqueurs",
 ISNUMBER(SEARCH("GIN",C1412)),"Gin",
 TRUE,"Other")</f>
        <v>Vodka</v>
      </c>
      <c r="E1412" s="5">
        <v>30459</v>
      </c>
      <c r="F1412" s="5">
        <v>526460.2299999987</v>
      </c>
      <c r="G1412" s="5"/>
      <c r="H1412" s="5">
        <v>3917</v>
      </c>
    </row>
    <row r="1413" spans="1:8">
      <c r="A1413" s="5">
        <v>2022</v>
      </c>
      <c r="B1413" s="6">
        <v>44713</v>
      </c>
      <c r="C1413" s="5" t="s">
        <v>32</v>
      </c>
      <c r="D1413" s="3" t="str" cm="1">
        <f t="array" ref="D1413">_xlfn.IFS(
 ISNUMBER(SEARCH("WHISK",C1413)),"Whiskey",
 ISNUMBER(SEARCH("BOURBON",C1413)),"Whiskey",
 ISNUMBER(SEARCH("SCOTCH",C1413)),"Whiskey",
 ISNUMBER(SEARCH("RYE",C1413)),"Whiskey",
 ISNUMBER(SEARCH("VODKA",C1413)),"Vodka",
 ISNUMBER(SEARCH("TEQUILA",C1413)),"Tequila/Mezcal",
 ISNUMBER(SEARCH("MEZCAL",C1413)),"Tequila/Mezcal",
 ISNUMBER(SEARCH("RUM",C1413)),"Rum",
 ISNUMBER(SEARCH("BRAND",C1413)),"Brandy",
 ISNUMBER(SEARCH("COGNAC",C1413)),"Brandy",
 ISNUMBER(SEARCH("LIQUEUR",C1413)),"Liqueurs",
 ISNUMBER(SEARCH("CORDIAL",C1413)),"Liqueurs",
 ISNUMBER(SEARCH("SCHNAPP",C1413)),"Liqueurs",
 ISNUMBER(SEARCH("GIN",C1413)),"Gin",
 TRUE,"Other")</f>
        <v>Vodka</v>
      </c>
      <c r="E1413" s="5">
        <v>75146</v>
      </c>
      <c r="F1413" s="5">
        <v>1281958.5499999449</v>
      </c>
      <c r="G1413" s="5"/>
      <c r="H1413" s="5">
        <v>6039</v>
      </c>
    </row>
    <row r="1414" spans="1:8">
      <c r="A1414" s="5">
        <v>2022</v>
      </c>
      <c r="B1414" s="6">
        <v>44713</v>
      </c>
      <c r="C1414" s="5" t="s">
        <v>33</v>
      </c>
      <c r="D1414" s="3" t="str" cm="1">
        <f t="array" ref="D1414">_xlfn.IFS(
 ISNUMBER(SEARCH("WHISK",C1414)),"Whiskey",
 ISNUMBER(SEARCH("BOURBON",C1414)),"Whiskey",
 ISNUMBER(SEARCH("SCOTCH",C1414)),"Whiskey",
 ISNUMBER(SEARCH("RYE",C1414)),"Whiskey",
 ISNUMBER(SEARCH("VODKA",C1414)),"Vodka",
 ISNUMBER(SEARCH("TEQUILA",C1414)),"Tequila/Mezcal",
 ISNUMBER(SEARCH("MEZCAL",C1414)),"Tequila/Mezcal",
 ISNUMBER(SEARCH("RUM",C1414)),"Rum",
 ISNUMBER(SEARCH("BRAND",C1414)),"Brandy",
 ISNUMBER(SEARCH("COGNAC",C1414)),"Brandy",
 ISNUMBER(SEARCH("LIQUEUR",C1414)),"Liqueurs",
 ISNUMBER(SEARCH("CORDIAL",C1414)),"Liqueurs",
 ISNUMBER(SEARCH("SCHNAPP",C1414)),"Liqueurs",
 ISNUMBER(SEARCH("GIN",C1414)),"Gin",
 TRUE,"Other")</f>
        <v>Whiskey</v>
      </c>
      <c r="E1414" s="5">
        <v>34522</v>
      </c>
      <c r="F1414" s="5">
        <v>879482.85999998834</v>
      </c>
      <c r="G1414" s="5"/>
      <c r="H1414" s="5">
        <v>2987</v>
      </c>
    </row>
    <row r="1415" spans="1:8">
      <c r="A1415" s="5">
        <v>2022</v>
      </c>
      <c r="B1415" s="6">
        <v>44713</v>
      </c>
      <c r="C1415" s="5" t="s">
        <v>35</v>
      </c>
      <c r="D1415" s="3" t="str" cm="1">
        <f t="array" ref="D1415">_xlfn.IFS(
 ISNUMBER(SEARCH("WHISK",C1415)),"Whiskey",
 ISNUMBER(SEARCH("BOURBON",C1415)),"Whiskey",
 ISNUMBER(SEARCH("SCOTCH",C1415)),"Whiskey",
 ISNUMBER(SEARCH("RYE",C1415)),"Whiskey",
 ISNUMBER(SEARCH("VODKA",C1415)),"Vodka",
 ISNUMBER(SEARCH("TEQUILA",C1415)),"Tequila/Mezcal",
 ISNUMBER(SEARCH("MEZCAL",C1415)),"Tequila/Mezcal",
 ISNUMBER(SEARCH("RUM",C1415)),"Rum",
 ISNUMBER(SEARCH("BRAND",C1415)),"Brandy",
 ISNUMBER(SEARCH("COGNAC",C1415)),"Brandy",
 ISNUMBER(SEARCH("LIQUEUR",C1415)),"Liqueurs",
 ISNUMBER(SEARCH("CORDIAL",C1415)),"Liqueurs",
 ISNUMBER(SEARCH("SCHNAPP",C1415)),"Liqueurs",
 ISNUMBER(SEARCH("GIN",C1415)),"Gin",
 TRUE,"Other")</f>
        <v>Tequila/Mezcal</v>
      </c>
      <c r="E1415" s="5">
        <v>75637</v>
      </c>
      <c r="F1415" s="5">
        <v>1048744.9599999727</v>
      </c>
      <c r="G1415" s="5"/>
      <c r="H1415" s="5">
        <v>5364</v>
      </c>
    </row>
    <row r="1416" spans="1:8">
      <c r="A1416" s="5">
        <v>2022</v>
      </c>
      <c r="B1416" s="6">
        <v>44713</v>
      </c>
      <c r="C1416" s="5" t="s">
        <v>36</v>
      </c>
      <c r="D1416" s="3" t="str" cm="1">
        <f t="array" ref="D1416">_xlfn.IFS(
 ISNUMBER(SEARCH("WHISK",C1416)),"Whiskey",
 ISNUMBER(SEARCH("BOURBON",C1416)),"Whiskey",
 ISNUMBER(SEARCH("SCOTCH",C1416)),"Whiskey",
 ISNUMBER(SEARCH("RYE",C1416)),"Whiskey",
 ISNUMBER(SEARCH("VODKA",C1416)),"Vodka",
 ISNUMBER(SEARCH("TEQUILA",C1416)),"Tequila/Mezcal",
 ISNUMBER(SEARCH("MEZCAL",C1416)),"Tequila/Mezcal",
 ISNUMBER(SEARCH("RUM",C1416)),"Rum",
 ISNUMBER(SEARCH("BRAND",C1416)),"Brandy",
 ISNUMBER(SEARCH("COGNAC",C1416)),"Brandy",
 ISNUMBER(SEARCH("LIQUEUR",C1416)),"Liqueurs",
 ISNUMBER(SEARCH("CORDIAL",C1416)),"Liqueurs",
 ISNUMBER(SEARCH("SCHNAPP",C1416)),"Liqueurs",
 ISNUMBER(SEARCH("GIN",C1416)),"Gin",
 TRUE,"Other")</f>
        <v>Other</v>
      </c>
      <c r="E1416" s="5">
        <v>3641</v>
      </c>
      <c r="F1416" s="5">
        <v>55185.490000000005</v>
      </c>
      <c r="G1416" s="5"/>
      <c r="H1416" s="5">
        <v>415</v>
      </c>
    </row>
    <row r="1417" spans="1:8">
      <c r="A1417" s="5">
        <v>2022</v>
      </c>
      <c r="B1417" s="6">
        <v>44713</v>
      </c>
      <c r="C1417" s="5" t="s">
        <v>37</v>
      </c>
      <c r="D1417" s="3" t="str" cm="1">
        <f t="array" ref="D1417">_xlfn.IFS(
 ISNUMBER(SEARCH("WHISK",C1417)),"Whiskey",
 ISNUMBER(SEARCH("BOURBON",C1417)),"Whiskey",
 ISNUMBER(SEARCH("SCOTCH",C1417)),"Whiskey",
 ISNUMBER(SEARCH("RYE",C1417)),"Whiskey",
 ISNUMBER(SEARCH("VODKA",C1417)),"Vodka",
 ISNUMBER(SEARCH("TEQUILA",C1417)),"Tequila/Mezcal",
 ISNUMBER(SEARCH("MEZCAL",C1417)),"Tequila/Mezcal",
 ISNUMBER(SEARCH("RUM",C1417)),"Rum",
 ISNUMBER(SEARCH("BRAND",C1417)),"Brandy",
 ISNUMBER(SEARCH("COGNAC",C1417)),"Brandy",
 ISNUMBER(SEARCH("LIQUEUR",C1417)),"Liqueurs",
 ISNUMBER(SEARCH("CORDIAL",C1417)),"Liqueurs",
 ISNUMBER(SEARCH("SCHNAPP",C1417)),"Liqueurs",
 ISNUMBER(SEARCH("GIN",C1417)),"Gin",
 TRUE,"Other")</f>
        <v>Other</v>
      </c>
      <c r="E1417" s="5">
        <v>15814</v>
      </c>
      <c r="F1417" s="5">
        <v>262375.11000000255</v>
      </c>
      <c r="G1417" s="5"/>
      <c r="H1417" s="5">
        <v>2901</v>
      </c>
    </row>
    <row r="1418" spans="1:8">
      <c r="A1418" s="5">
        <v>2022</v>
      </c>
      <c r="B1418" s="6">
        <v>44713</v>
      </c>
      <c r="C1418" s="5" t="s">
        <v>38</v>
      </c>
      <c r="D1418" s="3" t="str" cm="1">
        <f t="array" ref="D1418">_xlfn.IFS(
 ISNUMBER(SEARCH("WHISK",C1418)),"Whiskey",
 ISNUMBER(SEARCH("BOURBON",C1418)),"Whiskey",
 ISNUMBER(SEARCH("SCOTCH",C1418)),"Whiskey",
 ISNUMBER(SEARCH("RYE",C1418)),"Whiskey",
 ISNUMBER(SEARCH("VODKA",C1418)),"Vodka",
 ISNUMBER(SEARCH("TEQUILA",C1418)),"Tequila/Mezcal",
 ISNUMBER(SEARCH("MEZCAL",C1418)),"Tequila/Mezcal",
 ISNUMBER(SEARCH("RUM",C1418)),"Rum",
 ISNUMBER(SEARCH("BRAND",C1418)),"Brandy",
 ISNUMBER(SEARCH("COGNAC",C1418)),"Brandy",
 ISNUMBER(SEARCH("LIQUEUR",C1418)),"Liqueurs",
 ISNUMBER(SEARCH("CORDIAL",C1418)),"Liqueurs",
 ISNUMBER(SEARCH("SCHNAPP",C1418)),"Liqueurs",
 ISNUMBER(SEARCH("GIN",C1418)),"Gin",
 TRUE,"Other")</f>
        <v>Whiskey</v>
      </c>
      <c r="E1418" s="5">
        <v>20607</v>
      </c>
      <c r="F1418" s="5">
        <v>584123.50999999896</v>
      </c>
      <c r="G1418" s="5"/>
      <c r="H1418" s="5">
        <v>3157</v>
      </c>
    </row>
    <row r="1419" spans="1:8">
      <c r="A1419" s="5">
        <v>2022</v>
      </c>
      <c r="B1419" s="6">
        <v>44713</v>
      </c>
      <c r="C1419" s="5" t="s">
        <v>43</v>
      </c>
      <c r="D1419" s="3" t="str" cm="1">
        <f t="array" ref="D1419">_xlfn.IFS(
 ISNUMBER(SEARCH("WHISK",C1419)),"Whiskey",
 ISNUMBER(SEARCH("BOURBON",C1419)),"Whiskey",
 ISNUMBER(SEARCH("SCOTCH",C1419)),"Whiskey",
 ISNUMBER(SEARCH("RYE",C1419)),"Whiskey",
 ISNUMBER(SEARCH("VODKA",C1419)),"Vodka",
 ISNUMBER(SEARCH("TEQUILA",C1419)),"Tequila/Mezcal",
 ISNUMBER(SEARCH("MEZCAL",C1419)),"Tequila/Mezcal",
 ISNUMBER(SEARCH("RUM",C1419)),"Rum",
 ISNUMBER(SEARCH("BRAND",C1419)),"Brandy",
 ISNUMBER(SEARCH("COGNAC",C1419)),"Brandy",
 ISNUMBER(SEARCH("LIQUEUR",C1419)),"Liqueurs",
 ISNUMBER(SEARCH("CORDIAL",C1419)),"Liqueurs",
 ISNUMBER(SEARCH("SCHNAPP",C1419)),"Liqueurs",
 ISNUMBER(SEARCH("GIN",C1419)),"Gin",
 TRUE,"Other")</f>
        <v>Whiskey</v>
      </c>
      <c r="E1419" s="5">
        <v>136738</v>
      </c>
      <c r="F1419" s="5">
        <v>2884289.7099999753</v>
      </c>
      <c r="G1419" s="5"/>
      <c r="H1419" s="5">
        <v>16006</v>
      </c>
    </row>
    <row r="1420" spans="1:8">
      <c r="A1420" s="5">
        <v>2022</v>
      </c>
      <c r="B1420" s="6">
        <v>44713</v>
      </c>
      <c r="C1420" s="5" t="s">
        <v>46</v>
      </c>
      <c r="D1420" s="3" t="str" cm="1">
        <f t="array" ref="D1420">_xlfn.IFS(
 ISNUMBER(SEARCH("WHISK",C1420)),"Whiskey",
 ISNUMBER(SEARCH("BOURBON",C1420)),"Whiskey",
 ISNUMBER(SEARCH("SCOTCH",C1420)),"Whiskey",
 ISNUMBER(SEARCH("RYE",C1420)),"Whiskey",
 ISNUMBER(SEARCH("VODKA",C1420)),"Vodka",
 ISNUMBER(SEARCH("TEQUILA",C1420)),"Tequila/Mezcal",
 ISNUMBER(SEARCH("MEZCAL",C1420)),"Tequila/Mezcal",
 ISNUMBER(SEARCH("RUM",C1420)),"Rum",
 ISNUMBER(SEARCH("BRAND",C1420)),"Brandy",
 ISNUMBER(SEARCH("COGNAC",C1420)),"Brandy",
 ISNUMBER(SEARCH("LIQUEUR",C1420)),"Liqueurs",
 ISNUMBER(SEARCH("CORDIAL",C1420)),"Liqueurs",
 ISNUMBER(SEARCH("SCHNAPP",C1420)),"Liqueurs",
 ISNUMBER(SEARCH("GIN",C1420)),"Gin",
 TRUE,"Other")</f>
        <v>Whiskey</v>
      </c>
      <c r="E1420" s="5">
        <v>69008</v>
      </c>
      <c r="F1420" s="5">
        <v>1590296.4099999652</v>
      </c>
      <c r="G1420" s="5"/>
      <c r="H1420" s="5">
        <v>6782</v>
      </c>
    </row>
    <row r="1421" spans="1:8">
      <c r="A1421" s="5">
        <v>2022</v>
      </c>
      <c r="B1421" s="6">
        <v>44713</v>
      </c>
      <c r="C1421" s="5" t="s">
        <v>48</v>
      </c>
      <c r="D1421" s="3" t="str" cm="1">
        <f t="array" ref="D1421">_xlfn.IFS(
 ISNUMBER(SEARCH("WHISK",C1421)),"Whiskey",
 ISNUMBER(SEARCH("BOURBON",C1421)),"Whiskey",
 ISNUMBER(SEARCH("SCOTCH",C1421)),"Whiskey",
 ISNUMBER(SEARCH("RYE",C1421)),"Whiskey",
 ISNUMBER(SEARCH("VODKA",C1421)),"Vodka",
 ISNUMBER(SEARCH("TEQUILA",C1421)),"Tequila/Mezcal",
 ISNUMBER(SEARCH("MEZCAL",C1421)),"Tequila/Mezcal",
 ISNUMBER(SEARCH("RUM",C1421)),"Rum",
 ISNUMBER(SEARCH("BRAND",C1421)),"Brandy",
 ISNUMBER(SEARCH("COGNAC",C1421)),"Brandy",
 ISNUMBER(SEARCH("LIQUEUR",C1421)),"Liqueurs",
 ISNUMBER(SEARCH("CORDIAL",C1421)),"Liqueurs",
 ISNUMBER(SEARCH("SCHNAPP",C1421)),"Liqueurs",
 ISNUMBER(SEARCH("GIN",C1421)),"Gin",
 TRUE,"Other")</f>
        <v>Whiskey</v>
      </c>
      <c r="E1421" s="5">
        <v>377610</v>
      </c>
      <c r="F1421" s="5">
        <v>2315103.5899999724</v>
      </c>
      <c r="G1421" s="5"/>
      <c r="H1421" s="5">
        <v>14191</v>
      </c>
    </row>
    <row r="1422" spans="1:8">
      <c r="A1422" s="5">
        <v>2022</v>
      </c>
      <c r="B1422" s="6">
        <v>44713</v>
      </c>
      <c r="C1422" s="5" t="s">
        <v>49</v>
      </c>
      <c r="D1422" s="3" t="str" cm="1">
        <f t="array" ref="D1422">_xlfn.IFS(
 ISNUMBER(SEARCH("WHISK",C1422)),"Whiskey",
 ISNUMBER(SEARCH("BOURBON",C1422)),"Whiskey",
 ISNUMBER(SEARCH("SCOTCH",C1422)),"Whiskey",
 ISNUMBER(SEARCH("RYE",C1422)),"Whiskey",
 ISNUMBER(SEARCH("VODKA",C1422)),"Vodka",
 ISNUMBER(SEARCH("TEQUILA",C1422)),"Tequila/Mezcal",
 ISNUMBER(SEARCH("MEZCAL",C1422)),"Tequila/Mezcal",
 ISNUMBER(SEARCH("RUM",C1422)),"Rum",
 ISNUMBER(SEARCH("BRAND",C1422)),"Brandy",
 ISNUMBER(SEARCH("COGNAC",C1422)),"Brandy",
 ISNUMBER(SEARCH("LIQUEUR",C1422)),"Liqueurs",
 ISNUMBER(SEARCH("CORDIAL",C1422)),"Liqueurs",
 ISNUMBER(SEARCH("SCHNAPP",C1422)),"Liqueurs",
 ISNUMBER(SEARCH("GIN",C1422)),"Gin",
 TRUE,"Other")</f>
        <v>Rum</v>
      </c>
      <c r="E1422" s="5">
        <v>53455</v>
      </c>
      <c r="F1422" s="5">
        <v>632980.21000000357</v>
      </c>
      <c r="G1422" s="5"/>
      <c r="H1422" s="5">
        <v>4912</v>
      </c>
    </row>
    <row r="1423" spans="1:8">
      <c r="A1423" s="5">
        <v>2022</v>
      </c>
      <c r="B1423" s="6">
        <v>44713</v>
      </c>
      <c r="C1423" s="5" t="s">
        <v>59</v>
      </c>
      <c r="D1423" s="3" t="str" cm="1">
        <f t="array" ref="D1423">_xlfn.IFS(
 ISNUMBER(SEARCH("WHISK",C1423)),"Whiskey",
 ISNUMBER(SEARCH("BOURBON",C1423)),"Whiskey",
 ISNUMBER(SEARCH("SCOTCH",C1423)),"Whiskey",
 ISNUMBER(SEARCH("RYE",C1423)),"Whiskey",
 ISNUMBER(SEARCH("VODKA",C1423)),"Vodka",
 ISNUMBER(SEARCH("TEQUILA",C1423)),"Tequila/Mezcal",
 ISNUMBER(SEARCH("MEZCAL",C1423)),"Tequila/Mezcal",
 ISNUMBER(SEARCH("RUM",C1423)),"Rum",
 ISNUMBER(SEARCH("BRAND",C1423)),"Brandy",
 ISNUMBER(SEARCH("COGNAC",C1423)),"Brandy",
 ISNUMBER(SEARCH("LIQUEUR",C1423)),"Liqueurs",
 ISNUMBER(SEARCH("CORDIAL",C1423)),"Liqueurs",
 ISNUMBER(SEARCH("SCHNAPP",C1423)),"Liqueurs",
 ISNUMBER(SEARCH("GIN",C1423)),"Gin",
 TRUE,"Other")</f>
        <v>Liqueurs</v>
      </c>
      <c r="E1423" s="5">
        <v>45569</v>
      </c>
      <c r="F1423" s="5">
        <v>413719.26000000979</v>
      </c>
      <c r="G1423" s="5"/>
      <c r="H1423" s="5">
        <v>6214</v>
      </c>
    </row>
    <row r="1424" spans="1:8">
      <c r="A1424" s="5">
        <v>2022</v>
      </c>
      <c r="B1424" s="6">
        <v>44713</v>
      </c>
      <c r="C1424" s="5" t="s">
        <v>25</v>
      </c>
      <c r="D1424" s="3" t="str" cm="1">
        <f t="array" ref="D1424">_xlfn.IFS(
 ISNUMBER(SEARCH("WHISK",C1424)),"Whiskey",
 ISNUMBER(SEARCH("BOURBON",C1424)),"Whiskey",
 ISNUMBER(SEARCH("SCOTCH",C1424)),"Whiskey",
 ISNUMBER(SEARCH("RYE",C1424)),"Whiskey",
 ISNUMBER(SEARCH("VODKA",C1424)),"Vodka",
 ISNUMBER(SEARCH("TEQUILA",C1424)),"Tequila/Mezcal",
 ISNUMBER(SEARCH("MEZCAL",C1424)),"Tequila/Mezcal",
 ISNUMBER(SEARCH("RUM",C1424)),"Rum",
 ISNUMBER(SEARCH("BRAND",C1424)),"Brandy",
 ISNUMBER(SEARCH("COGNAC",C1424)),"Brandy",
 ISNUMBER(SEARCH("LIQUEUR",C1424)),"Liqueurs",
 ISNUMBER(SEARCH("CORDIAL",C1424)),"Liqueurs",
 ISNUMBER(SEARCH("SCHNAPP",C1424)),"Liqueurs",
 ISNUMBER(SEARCH("GIN",C1424)),"Gin",
 TRUE,"Other")</f>
        <v>Rum</v>
      </c>
      <c r="E1424" s="5">
        <v>7994</v>
      </c>
      <c r="F1424" s="5">
        <v>102593.42999999975</v>
      </c>
      <c r="G1424" s="5"/>
      <c r="H1424" s="5">
        <v>1124</v>
      </c>
    </row>
    <row r="1425" spans="1:8">
      <c r="A1425" s="5">
        <v>2022</v>
      </c>
      <c r="B1425" s="6">
        <v>44713</v>
      </c>
      <c r="C1425" s="5" t="s">
        <v>26</v>
      </c>
      <c r="D1425" s="3" t="str" cm="1">
        <f t="array" ref="D1425">_xlfn.IFS(
 ISNUMBER(SEARCH("WHISK",C1425)),"Whiskey",
 ISNUMBER(SEARCH("BOURBON",C1425)),"Whiskey",
 ISNUMBER(SEARCH("SCOTCH",C1425)),"Whiskey",
 ISNUMBER(SEARCH("RYE",C1425)),"Whiskey",
 ISNUMBER(SEARCH("VODKA",C1425)),"Vodka",
 ISNUMBER(SEARCH("TEQUILA",C1425)),"Tequila/Mezcal",
 ISNUMBER(SEARCH("MEZCAL",C1425)),"Tequila/Mezcal",
 ISNUMBER(SEARCH("RUM",C1425)),"Rum",
 ISNUMBER(SEARCH("BRAND",C1425)),"Brandy",
 ISNUMBER(SEARCH("COGNAC",C1425)),"Brandy",
 ISNUMBER(SEARCH("LIQUEUR",C1425)),"Liqueurs",
 ISNUMBER(SEARCH("CORDIAL",C1425)),"Liqueurs",
 ISNUMBER(SEARCH("SCHNAPP",C1425)),"Liqueurs",
 ISNUMBER(SEARCH("GIN",C1425)),"Gin",
 TRUE,"Other")</f>
        <v>Brandy</v>
      </c>
      <c r="E1425" s="5">
        <v>44267</v>
      </c>
      <c r="F1425" s="5">
        <v>1203501.2099999727</v>
      </c>
      <c r="G1425" s="5"/>
      <c r="H1425" s="5">
        <v>3918</v>
      </c>
    </row>
    <row r="1426" spans="1:8">
      <c r="A1426" s="5">
        <v>2022</v>
      </c>
      <c r="B1426" s="6">
        <v>44713</v>
      </c>
      <c r="C1426" s="5" t="s">
        <v>60</v>
      </c>
      <c r="D1426" s="3" t="str" cm="1">
        <f t="array" ref="D1426">_xlfn.IFS(
 ISNUMBER(SEARCH("WHISK",C1426)),"Whiskey",
 ISNUMBER(SEARCH("BOURBON",C1426)),"Whiskey",
 ISNUMBER(SEARCH("SCOTCH",C1426)),"Whiskey",
 ISNUMBER(SEARCH("RYE",C1426)),"Whiskey",
 ISNUMBER(SEARCH("VODKA",C1426)),"Vodka",
 ISNUMBER(SEARCH("TEQUILA",C1426)),"Tequila/Mezcal",
 ISNUMBER(SEARCH("MEZCAL",C1426)),"Tequila/Mezcal",
 ISNUMBER(SEARCH("RUM",C1426)),"Rum",
 ISNUMBER(SEARCH("BRAND",C1426)),"Brandy",
 ISNUMBER(SEARCH("COGNAC",C1426)),"Brandy",
 ISNUMBER(SEARCH("LIQUEUR",C1426)),"Liqueurs",
 ISNUMBER(SEARCH("CORDIAL",C1426)),"Liqueurs",
 ISNUMBER(SEARCH("SCHNAPP",C1426)),"Liqueurs",
 ISNUMBER(SEARCH("GIN",C1426)),"Gin",
 TRUE,"Other")</f>
        <v>Liqueurs</v>
      </c>
      <c r="E1426" s="5">
        <v>54444</v>
      </c>
      <c r="F1426" s="5">
        <v>1225205.1400000053</v>
      </c>
      <c r="G1426" s="5"/>
      <c r="H1426" s="5">
        <v>5586</v>
      </c>
    </row>
    <row r="1427" spans="1:8">
      <c r="A1427" s="5">
        <v>2022</v>
      </c>
      <c r="B1427" s="6">
        <v>44713</v>
      </c>
      <c r="C1427" s="5" t="s">
        <v>40</v>
      </c>
      <c r="D1427" s="3" t="str" cm="1">
        <f t="array" ref="D1427">_xlfn.IFS(
 ISNUMBER(SEARCH("WHISK",C1427)),"Whiskey",
 ISNUMBER(SEARCH("BOURBON",C1427)),"Whiskey",
 ISNUMBER(SEARCH("SCOTCH",C1427)),"Whiskey",
 ISNUMBER(SEARCH("RYE",C1427)),"Whiskey",
 ISNUMBER(SEARCH("VODKA",C1427)),"Vodka",
 ISNUMBER(SEARCH("TEQUILA",C1427)),"Tequila/Mezcal",
 ISNUMBER(SEARCH("MEZCAL",C1427)),"Tequila/Mezcal",
 ISNUMBER(SEARCH("RUM",C1427)),"Rum",
 ISNUMBER(SEARCH("BRAND",C1427)),"Brandy",
 ISNUMBER(SEARCH("COGNAC",C1427)),"Brandy",
 ISNUMBER(SEARCH("LIQUEUR",C1427)),"Liqueurs",
 ISNUMBER(SEARCH("CORDIAL",C1427)),"Liqueurs",
 ISNUMBER(SEARCH("SCHNAPP",C1427)),"Liqueurs",
 ISNUMBER(SEARCH("GIN",C1427)),"Gin",
 TRUE,"Other")</f>
        <v>Whiskey</v>
      </c>
      <c r="E1427" s="5">
        <v>7492</v>
      </c>
      <c r="F1427" s="5">
        <v>363454.41999999981</v>
      </c>
      <c r="G1427" s="5"/>
      <c r="H1427" s="5">
        <v>1660</v>
      </c>
    </row>
    <row r="1428" spans="1:8">
      <c r="A1428" s="5">
        <v>2022</v>
      </c>
      <c r="B1428" s="6">
        <v>44713</v>
      </c>
      <c r="C1428" s="5" t="s">
        <v>45</v>
      </c>
      <c r="D1428" s="3" t="str" cm="1">
        <f t="array" ref="D1428">_xlfn.IFS(
 ISNUMBER(SEARCH("WHISK",C1428)),"Whiskey",
 ISNUMBER(SEARCH("BOURBON",C1428)),"Whiskey",
 ISNUMBER(SEARCH("SCOTCH",C1428)),"Whiskey",
 ISNUMBER(SEARCH("RYE",C1428)),"Whiskey",
 ISNUMBER(SEARCH("VODKA",C1428)),"Vodka",
 ISNUMBER(SEARCH("TEQUILA",C1428)),"Tequila/Mezcal",
 ISNUMBER(SEARCH("MEZCAL",C1428)),"Tequila/Mezcal",
 ISNUMBER(SEARCH("RUM",C1428)),"Rum",
 ISNUMBER(SEARCH("BRAND",C1428)),"Brandy",
 ISNUMBER(SEARCH("COGNAC",C1428)),"Brandy",
 ISNUMBER(SEARCH("LIQUEUR",C1428)),"Liqueurs",
 ISNUMBER(SEARCH("CORDIAL",C1428)),"Liqueurs",
 ISNUMBER(SEARCH("SCHNAPP",C1428)),"Liqueurs",
 ISNUMBER(SEARCH("GIN",C1428)),"Gin",
 TRUE,"Other")</f>
        <v>Other</v>
      </c>
      <c r="E1428" s="5">
        <v>22493</v>
      </c>
      <c r="F1428" s="5">
        <v>682053.69999998854</v>
      </c>
      <c r="G1428" s="5"/>
      <c r="H1428" s="5">
        <v>6081</v>
      </c>
    </row>
    <row r="1429" spans="1:8">
      <c r="A1429" s="5">
        <v>2022</v>
      </c>
      <c r="B1429" s="6">
        <v>44713</v>
      </c>
      <c r="C1429" s="5" t="s">
        <v>17</v>
      </c>
      <c r="D1429" s="3" t="str" cm="1">
        <f t="array" ref="D1429">_xlfn.IFS(
 ISNUMBER(SEARCH("WHISK",C1429)),"Whiskey",
 ISNUMBER(SEARCH("BOURBON",C1429)),"Whiskey",
 ISNUMBER(SEARCH("SCOTCH",C1429)),"Whiskey",
 ISNUMBER(SEARCH("RYE",C1429)),"Whiskey",
 ISNUMBER(SEARCH("VODKA",C1429)),"Vodka",
 ISNUMBER(SEARCH("TEQUILA",C1429)),"Tequila/Mezcal",
 ISNUMBER(SEARCH("MEZCAL",C1429)),"Tequila/Mezcal",
 ISNUMBER(SEARCH("RUM",C1429)),"Rum",
 ISNUMBER(SEARCH("BRAND",C1429)),"Brandy",
 ISNUMBER(SEARCH("COGNAC",C1429)),"Brandy",
 ISNUMBER(SEARCH("LIQUEUR",C1429)),"Liqueurs",
 ISNUMBER(SEARCH("CORDIAL",C1429)),"Liqueurs",
 ISNUMBER(SEARCH("SCHNAPP",C1429)),"Liqueurs",
 ISNUMBER(SEARCH("GIN",C1429)),"Gin",
 TRUE,"Other")</f>
        <v>Whiskey</v>
      </c>
      <c r="E1429" s="5">
        <v>2824</v>
      </c>
      <c r="F1429" s="5">
        <v>80109.090000000011</v>
      </c>
      <c r="G1429" s="5"/>
      <c r="H1429" s="5">
        <v>785</v>
      </c>
    </row>
    <row r="1430" spans="1:8">
      <c r="A1430" s="5">
        <v>2022</v>
      </c>
      <c r="B1430" s="6">
        <v>44713</v>
      </c>
      <c r="C1430" s="5" t="s">
        <v>44</v>
      </c>
      <c r="D1430" s="3" t="str" cm="1">
        <f t="array" ref="D1430">_xlfn.IFS(
 ISNUMBER(SEARCH("WHISK",C1430)),"Whiskey",
 ISNUMBER(SEARCH("BOURBON",C1430)),"Whiskey",
 ISNUMBER(SEARCH("SCOTCH",C1430)),"Whiskey",
 ISNUMBER(SEARCH("RYE",C1430)),"Whiskey",
 ISNUMBER(SEARCH("VODKA",C1430)),"Vodka",
 ISNUMBER(SEARCH("TEQUILA",C1430)),"Tequila/Mezcal",
 ISNUMBER(SEARCH("MEZCAL",C1430)),"Tequila/Mezcal",
 ISNUMBER(SEARCH("RUM",C1430)),"Rum",
 ISNUMBER(SEARCH("BRAND",C1430)),"Brandy",
 ISNUMBER(SEARCH("COGNAC",C1430)),"Brandy",
 ISNUMBER(SEARCH("LIQUEUR",C1430)),"Liqueurs",
 ISNUMBER(SEARCH("CORDIAL",C1430)),"Liqueurs",
 ISNUMBER(SEARCH("SCHNAPP",C1430)),"Liqueurs",
 ISNUMBER(SEARCH("GIN",C1430)),"Gin",
 TRUE,"Other")</f>
        <v>Whiskey</v>
      </c>
      <c r="E1430" s="5">
        <v>10354</v>
      </c>
      <c r="F1430" s="5">
        <v>319895.66000000201</v>
      </c>
      <c r="G1430" s="5"/>
      <c r="H1430" s="5">
        <v>1751</v>
      </c>
    </row>
    <row r="1431" spans="1:8">
      <c r="A1431" s="5">
        <v>2022</v>
      </c>
      <c r="B1431" s="6">
        <v>44713</v>
      </c>
      <c r="C1431" s="5" t="s">
        <v>7</v>
      </c>
      <c r="D1431" s="3" t="str" cm="1">
        <f t="array" ref="D1431">_xlfn.IFS(
 ISNUMBER(SEARCH("WHISK",C1431)),"Whiskey",
 ISNUMBER(SEARCH("BOURBON",C1431)),"Whiskey",
 ISNUMBER(SEARCH("SCOTCH",C1431)),"Whiskey",
 ISNUMBER(SEARCH("RYE",C1431)),"Whiskey",
 ISNUMBER(SEARCH("VODKA",C1431)),"Vodka",
 ISNUMBER(SEARCH("TEQUILA",C1431)),"Tequila/Mezcal",
 ISNUMBER(SEARCH("MEZCAL",C1431)),"Tequila/Mezcal",
 ISNUMBER(SEARCH("RUM",C1431)),"Rum",
 ISNUMBER(SEARCH("BRAND",C1431)),"Brandy",
 ISNUMBER(SEARCH("COGNAC",C1431)),"Brandy",
 ISNUMBER(SEARCH("LIQUEUR",C1431)),"Liqueurs",
 ISNUMBER(SEARCH("CORDIAL",C1431)),"Liqueurs",
 ISNUMBER(SEARCH("SCHNAPP",C1431)),"Liqueurs",
 ISNUMBER(SEARCH("GIN",C1431)),"Gin",
 TRUE,"Other")</f>
        <v>Rum</v>
      </c>
      <c r="E1431" s="5">
        <v>4819</v>
      </c>
      <c r="F1431" s="5">
        <v>102839.30000000019</v>
      </c>
      <c r="G1431" s="5"/>
      <c r="H1431" s="5">
        <v>834</v>
      </c>
    </row>
    <row r="1432" spans="1:8">
      <c r="A1432" s="5">
        <v>2022</v>
      </c>
      <c r="B1432" s="6">
        <v>44713</v>
      </c>
      <c r="C1432" s="5" t="s">
        <v>28</v>
      </c>
      <c r="D1432" s="3" t="str" cm="1">
        <f t="array" ref="D1432">_xlfn.IFS(
 ISNUMBER(SEARCH("WHISK",C1432)),"Whiskey",
 ISNUMBER(SEARCH("BOURBON",C1432)),"Whiskey",
 ISNUMBER(SEARCH("SCOTCH",C1432)),"Whiskey",
 ISNUMBER(SEARCH("RYE",C1432)),"Whiskey",
 ISNUMBER(SEARCH("VODKA",C1432)),"Vodka",
 ISNUMBER(SEARCH("TEQUILA",C1432)),"Tequila/Mezcal",
 ISNUMBER(SEARCH("MEZCAL",C1432)),"Tequila/Mezcal",
 ISNUMBER(SEARCH("RUM",C1432)),"Rum",
 ISNUMBER(SEARCH("BRAND",C1432)),"Brandy",
 ISNUMBER(SEARCH("COGNAC",C1432)),"Brandy",
 ISNUMBER(SEARCH("LIQUEUR",C1432)),"Liqueurs",
 ISNUMBER(SEARCH("CORDIAL",C1432)),"Liqueurs",
 ISNUMBER(SEARCH("SCHNAPP",C1432)),"Liqueurs",
 ISNUMBER(SEARCH("GIN",C1432)),"Gin",
 TRUE,"Other")</f>
        <v>Other</v>
      </c>
      <c r="E1432" s="5">
        <v>24951</v>
      </c>
      <c r="F1432" s="5">
        <v>221119.19000000003</v>
      </c>
      <c r="G1432" s="5"/>
      <c r="H1432" s="5">
        <v>548</v>
      </c>
    </row>
    <row r="1433" spans="1:8">
      <c r="A1433" s="5">
        <v>2022</v>
      </c>
      <c r="B1433" s="6">
        <v>44713</v>
      </c>
      <c r="C1433" s="5" t="s">
        <v>41</v>
      </c>
      <c r="D1433" s="3" t="str" cm="1">
        <f t="array" ref="D1433">_xlfn.IFS(
 ISNUMBER(SEARCH("WHISK",C1433)),"Whiskey",
 ISNUMBER(SEARCH("BOURBON",C1433)),"Whiskey",
 ISNUMBER(SEARCH("SCOTCH",C1433)),"Whiskey",
 ISNUMBER(SEARCH("RYE",C1433)),"Whiskey",
 ISNUMBER(SEARCH("VODKA",C1433)),"Vodka",
 ISNUMBER(SEARCH("TEQUILA",C1433)),"Tequila/Mezcal",
 ISNUMBER(SEARCH("MEZCAL",C1433)),"Tequila/Mezcal",
 ISNUMBER(SEARCH("RUM",C1433)),"Rum",
 ISNUMBER(SEARCH("BRAND",C1433)),"Brandy",
 ISNUMBER(SEARCH("COGNAC",C1433)),"Brandy",
 ISNUMBER(SEARCH("LIQUEUR",C1433)),"Liqueurs",
 ISNUMBER(SEARCH("CORDIAL",C1433)),"Liqueurs",
 ISNUMBER(SEARCH("SCHNAPP",C1433)),"Liqueurs",
 ISNUMBER(SEARCH("GIN",C1433)),"Gin",
 TRUE,"Other")</f>
        <v>Other</v>
      </c>
      <c r="E1433" s="5">
        <v>12093</v>
      </c>
      <c r="F1433" s="5">
        <v>149376.04000000004</v>
      </c>
      <c r="G1433" s="5"/>
      <c r="H1433" s="5">
        <v>161</v>
      </c>
    </row>
    <row r="1434" spans="1:8">
      <c r="A1434" s="5">
        <v>2022</v>
      </c>
      <c r="B1434" s="6">
        <v>44713</v>
      </c>
      <c r="C1434" s="5" t="s">
        <v>47</v>
      </c>
      <c r="D1434" s="3" t="str" cm="1">
        <f t="array" ref="D1434">_xlfn.IFS(
 ISNUMBER(SEARCH("WHISK",C1434)),"Whiskey",
 ISNUMBER(SEARCH("BOURBON",C1434)),"Whiskey",
 ISNUMBER(SEARCH("SCOTCH",C1434)),"Whiskey",
 ISNUMBER(SEARCH("RYE",C1434)),"Whiskey",
 ISNUMBER(SEARCH("VODKA",C1434)),"Vodka",
 ISNUMBER(SEARCH("TEQUILA",C1434)),"Tequila/Mezcal",
 ISNUMBER(SEARCH("MEZCAL",C1434)),"Tequila/Mezcal",
 ISNUMBER(SEARCH("RUM",C1434)),"Rum",
 ISNUMBER(SEARCH("BRAND",C1434)),"Brandy",
 ISNUMBER(SEARCH("COGNAC",C1434)),"Brandy",
 ISNUMBER(SEARCH("LIQUEUR",C1434)),"Liqueurs",
 ISNUMBER(SEARCH("CORDIAL",C1434)),"Liqueurs",
 ISNUMBER(SEARCH("SCHNAPP",C1434)),"Liqueurs",
 ISNUMBER(SEARCH("GIN",C1434)),"Gin",
 TRUE,"Other")</f>
        <v>Other</v>
      </c>
      <c r="E1434" s="5">
        <v>19660</v>
      </c>
      <c r="F1434" s="5">
        <v>79240.399999999732</v>
      </c>
      <c r="G1434" s="5"/>
      <c r="H1434" s="5">
        <v>774</v>
      </c>
    </row>
    <row r="1435" spans="1:8">
      <c r="A1435" s="5">
        <v>2022</v>
      </c>
      <c r="B1435" s="6">
        <v>44713</v>
      </c>
      <c r="C1435" s="5" t="s">
        <v>39</v>
      </c>
      <c r="D1435" s="3" t="str" cm="1">
        <f t="array" ref="D1435">_xlfn.IFS(
 ISNUMBER(SEARCH("WHISK",C1435)),"Whiskey",
 ISNUMBER(SEARCH("BOURBON",C1435)),"Whiskey",
 ISNUMBER(SEARCH("SCOTCH",C1435)),"Whiskey",
 ISNUMBER(SEARCH("RYE",C1435)),"Whiskey",
 ISNUMBER(SEARCH("VODKA",C1435)),"Vodka",
 ISNUMBER(SEARCH("TEQUILA",C1435)),"Tequila/Mezcal",
 ISNUMBER(SEARCH("MEZCAL",C1435)),"Tequila/Mezcal",
 ISNUMBER(SEARCH("RUM",C1435)),"Rum",
 ISNUMBER(SEARCH("BRAND",C1435)),"Brandy",
 ISNUMBER(SEARCH("COGNAC",C1435)),"Brandy",
 ISNUMBER(SEARCH("LIQUEUR",C1435)),"Liqueurs",
 ISNUMBER(SEARCH("CORDIAL",C1435)),"Liqueurs",
 ISNUMBER(SEARCH("SCHNAPP",C1435)),"Liqueurs",
 ISNUMBER(SEARCH("GIN",C1435)),"Gin",
 TRUE,"Other")</f>
        <v>Whiskey</v>
      </c>
      <c r="E1435" s="5">
        <v>2440</v>
      </c>
      <c r="F1435" s="5">
        <v>84474.39000000029</v>
      </c>
      <c r="G1435" s="5"/>
      <c r="H1435" s="5">
        <v>367</v>
      </c>
    </row>
    <row r="1436" spans="1:8">
      <c r="A1436" s="5">
        <v>2022</v>
      </c>
      <c r="B1436" s="6">
        <v>44713</v>
      </c>
      <c r="C1436" s="5" t="s">
        <v>21</v>
      </c>
      <c r="D1436" s="3" t="str" cm="1">
        <f t="array" ref="D1436">_xlfn.IFS(
 ISNUMBER(SEARCH("WHISK",C1436)),"Whiskey",
 ISNUMBER(SEARCH("BOURBON",C1436)),"Whiskey",
 ISNUMBER(SEARCH("SCOTCH",C1436)),"Whiskey",
 ISNUMBER(SEARCH("RYE",C1436)),"Whiskey",
 ISNUMBER(SEARCH("VODKA",C1436)),"Vodka",
 ISNUMBER(SEARCH("TEQUILA",C1436)),"Tequila/Mezcal",
 ISNUMBER(SEARCH("MEZCAL",C1436)),"Tequila/Mezcal",
 ISNUMBER(SEARCH("RUM",C1436)),"Rum",
 ISNUMBER(SEARCH("BRAND",C1436)),"Brandy",
 ISNUMBER(SEARCH("COGNAC",C1436)),"Brandy",
 ISNUMBER(SEARCH("LIQUEUR",C1436)),"Liqueurs",
 ISNUMBER(SEARCH("CORDIAL",C1436)),"Liqueurs",
 ISNUMBER(SEARCH("SCHNAPP",C1436)),"Liqueurs",
 ISNUMBER(SEARCH("GIN",C1436)),"Gin",
 TRUE,"Other")</f>
        <v>Whiskey</v>
      </c>
      <c r="E1436" s="5">
        <v>932</v>
      </c>
      <c r="F1436" s="5">
        <v>22735.559999999994</v>
      </c>
      <c r="G1436" s="5"/>
      <c r="H1436" s="5">
        <v>153</v>
      </c>
    </row>
    <row r="1437" spans="1:8">
      <c r="A1437" s="5">
        <v>2022</v>
      </c>
      <c r="B1437" s="6">
        <v>44713</v>
      </c>
      <c r="C1437" s="5" t="s">
        <v>23</v>
      </c>
      <c r="D1437" s="3" t="str" cm="1">
        <f t="array" ref="D1437">_xlfn.IFS(
 ISNUMBER(SEARCH("WHISK",C1437)),"Whiskey",
 ISNUMBER(SEARCH("BOURBON",C1437)),"Whiskey",
 ISNUMBER(SEARCH("SCOTCH",C1437)),"Whiskey",
 ISNUMBER(SEARCH("RYE",C1437)),"Whiskey",
 ISNUMBER(SEARCH("VODKA",C1437)),"Vodka",
 ISNUMBER(SEARCH("TEQUILA",C1437)),"Tequila/Mezcal",
 ISNUMBER(SEARCH("MEZCAL",C1437)),"Tequila/Mezcal",
 ISNUMBER(SEARCH("RUM",C1437)),"Rum",
 ISNUMBER(SEARCH("BRAND",C1437)),"Brandy",
 ISNUMBER(SEARCH("COGNAC",C1437)),"Brandy",
 ISNUMBER(SEARCH("LIQUEUR",C1437)),"Liqueurs",
 ISNUMBER(SEARCH("CORDIAL",C1437)),"Liqueurs",
 ISNUMBER(SEARCH("SCHNAPP",C1437)),"Liqueurs",
 ISNUMBER(SEARCH("GIN",C1437)),"Gin",
 TRUE,"Other")</f>
        <v>Gin</v>
      </c>
      <c r="E1437" s="5">
        <v>2279</v>
      </c>
      <c r="F1437" s="5">
        <v>59352.289999999979</v>
      </c>
      <c r="G1437" s="5"/>
      <c r="H1437" s="5">
        <v>262</v>
      </c>
    </row>
    <row r="1438" spans="1:8">
      <c r="A1438" s="5">
        <v>2022</v>
      </c>
      <c r="B1438" s="6">
        <v>44713</v>
      </c>
      <c r="C1438" s="5" t="s">
        <v>34</v>
      </c>
      <c r="D1438" s="3" t="str" cm="1">
        <f t="array" ref="D1438">_xlfn.IFS(
 ISNUMBER(SEARCH("WHISK",C1438)),"Whiskey",
 ISNUMBER(SEARCH("BOURBON",C1438)),"Whiskey",
 ISNUMBER(SEARCH("SCOTCH",C1438)),"Whiskey",
 ISNUMBER(SEARCH("RYE",C1438)),"Whiskey",
 ISNUMBER(SEARCH("VODKA",C1438)),"Vodka",
 ISNUMBER(SEARCH("TEQUILA",C1438)),"Tequila/Mezcal",
 ISNUMBER(SEARCH("MEZCAL",C1438)),"Tequila/Mezcal",
 ISNUMBER(SEARCH("RUM",C1438)),"Rum",
 ISNUMBER(SEARCH("BRAND",C1438)),"Brandy",
 ISNUMBER(SEARCH("COGNAC",C1438)),"Brandy",
 ISNUMBER(SEARCH("LIQUEUR",C1438)),"Liqueurs",
 ISNUMBER(SEARCH("CORDIAL",C1438)),"Liqueurs",
 ISNUMBER(SEARCH("SCHNAPP",C1438)),"Liqueurs",
 ISNUMBER(SEARCH("GIN",C1438)),"Gin",
 TRUE,"Other")</f>
        <v>Tequila/Mezcal</v>
      </c>
      <c r="E1438" s="5">
        <v>1385</v>
      </c>
      <c r="F1438" s="5">
        <v>46799.829999999994</v>
      </c>
      <c r="G1438" s="5"/>
      <c r="H1438" s="5">
        <v>267</v>
      </c>
    </row>
    <row r="1439" spans="1:8">
      <c r="A1439" s="5">
        <v>2022</v>
      </c>
      <c r="B1439" s="6">
        <v>44713</v>
      </c>
      <c r="C1439" s="5" t="s">
        <v>14</v>
      </c>
      <c r="D1439" s="3" t="str" cm="1">
        <f t="array" ref="D1439">_xlfn.IFS(
 ISNUMBER(SEARCH("WHISK",C1439)),"Whiskey",
 ISNUMBER(SEARCH("BOURBON",C1439)),"Whiskey",
 ISNUMBER(SEARCH("SCOTCH",C1439)),"Whiskey",
 ISNUMBER(SEARCH("RYE",C1439)),"Whiskey",
 ISNUMBER(SEARCH("VODKA",C1439)),"Vodka",
 ISNUMBER(SEARCH("TEQUILA",C1439)),"Tequila/Mezcal",
 ISNUMBER(SEARCH("MEZCAL",C1439)),"Tequila/Mezcal",
 ISNUMBER(SEARCH("RUM",C1439)),"Rum",
 ISNUMBER(SEARCH("BRAND",C1439)),"Brandy",
 ISNUMBER(SEARCH("COGNAC",C1439)),"Brandy",
 ISNUMBER(SEARCH("LIQUEUR",C1439)),"Liqueurs",
 ISNUMBER(SEARCH("CORDIAL",C1439)),"Liqueurs",
 ISNUMBER(SEARCH("SCHNAPP",C1439)),"Liqueurs",
 ISNUMBER(SEARCH("GIN",C1439)),"Gin",
 TRUE,"Other")</f>
        <v>Gin</v>
      </c>
      <c r="E1439" s="5">
        <v>230</v>
      </c>
      <c r="F1439" s="5">
        <v>1869.900000000001</v>
      </c>
      <c r="G1439" s="5"/>
      <c r="H1439" s="5">
        <v>50</v>
      </c>
    </row>
    <row r="1440" spans="1:8">
      <c r="A1440" s="5">
        <v>2022</v>
      </c>
      <c r="B1440" s="6">
        <v>44835</v>
      </c>
      <c r="C1440" s="5" t="s">
        <v>48</v>
      </c>
      <c r="D1440" s="3" t="str" cm="1">
        <f t="array" ref="D1440">_xlfn.IFS(
 ISNUMBER(SEARCH("WHISK",C1440)),"Whiskey",
 ISNUMBER(SEARCH("BOURBON",C1440)),"Whiskey",
 ISNUMBER(SEARCH("SCOTCH",C1440)),"Whiskey",
 ISNUMBER(SEARCH("RYE",C1440)),"Whiskey",
 ISNUMBER(SEARCH("VODKA",C1440)),"Vodka",
 ISNUMBER(SEARCH("TEQUILA",C1440)),"Tequila/Mezcal",
 ISNUMBER(SEARCH("MEZCAL",C1440)),"Tequila/Mezcal",
 ISNUMBER(SEARCH("RUM",C1440)),"Rum",
 ISNUMBER(SEARCH("BRAND",C1440)),"Brandy",
 ISNUMBER(SEARCH("COGNAC",C1440)),"Brandy",
 ISNUMBER(SEARCH("LIQUEUR",C1440)),"Liqueurs",
 ISNUMBER(SEARCH("CORDIAL",C1440)),"Liqueurs",
 ISNUMBER(SEARCH("SCHNAPP",C1440)),"Liqueurs",
 ISNUMBER(SEARCH("GIN",C1440)),"Gin",
 TRUE,"Other")</f>
        <v>Whiskey</v>
      </c>
      <c r="E1440" s="5">
        <v>367559</v>
      </c>
      <c r="F1440" s="5">
        <v>2407284.139999955</v>
      </c>
      <c r="G1440" s="5"/>
      <c r="H1440" s="5">
        <v>13327</v>
      </c>
    </row>
    <row r="1441" spans="1:8">
      <c r="A1441" s="5">
        <v>2022</v>
      </c>
      <c r="B1441" s="6">
        <v>44835</v>
      </c>
      <c r="C1441" s="5" t="s">
        <v>49</v>
      </c>
      <c r="D1441" s="3" t="str" cm="1">
        <f t="array" ref="D1441">_xlfn.IFS(
 ISNUMBER(SEARCH("WHISK",C1441)),"Whiskey",
 ISNUMBER(SEARCH("BOURBON",C1441)),"Whiskey",
 ISNUMBER(SEARCH("SCOTCH",C1441)),"Whiskey",
 ISNUMBER(SEARCH("RYE",C1441)),"Whiskey",
 ISNUMBER(SEARCH("VODKA",C1441)),"Vodka",
 ISNUMBER(SEARCH("TEQUILA",C1441)),"Tequila/Mezcal",
 ISNUMBER(SEARCH("MEZCAL",C1441)),"Tequila/Mezcal",
 ISNUMBER(SEARCH("RUM",C1441)),"Rum",
 ISNUMBER(SEARCH("BRAND",C1441)),"Brandy",
 ISNUMBER(SEARCH("COGNAC",C1441)),"Brandy",
 ISNUMBER(SEARCH("LIQUEUR",C1441)),"Liqueurs",
 ISNUMBER(SEARCH("CORDIAL",C1441)),"Liqueurs",
 ISNUMBER(SEARCH("SCHNAPP",C1441)),"Liqueurs",
 ISNUMBER(SEARCH("GIN",C1441)),"Gin",
 TRUE,"Other")</f>
        <v>Rum</v>
      </c>
      <c r="E1441" s="5">
        <v>45197</v>
      </c>
      <c r="F1441" s="5">
        <v>526352.63999999594</v>
      </c>
      <c r="G1441" s="5"/>
      <c r="H1441" s="5">
        <v>3934</v>
      </c>
    </row>
    <row r="1442" spans="1:8">
      <c r="A1442" s="5">
        <v>2022</v>
      </c>
      <c r="B1442" s="6">
        <v>44835</v>
      </c>
      <c r="C1442" s="5" t="s">
        <v>15</v>
      </c>
      <c r="D1442" s="3" t="str" cm="1">
        <f t="array" ref="D1442">_xlfn.IFS(
 ISNUMBER(SEARCH("WHISK",C1442)),"Whiskey",
 ISNUMBER(SEARCH("BOURBON",C1442)),"Whiskey",
 ISNUMBER(SEARCH("SCOTCH",C1442)),"Whiskey",
 ISNUMBER(SEARCH("RYE",C1442)),"Whiskey",
 ISNUMBER(SEARCH("VODKA",C1442)),"Vodka",
 ISNUMBER(SEARCH("TEQUILA",C1442)),"Tequila/Mezcal",
 ISNUMBER(SEARCH("MEZCAL",C1442)),"Tequila/Mezcal",
 ISNUMBER(SEARCH("RUM",C1442)),"Rum",
 ISNUMBER(SEARCH("BRAND",C1442)),"Brandy",
 ISNUMBER(SEARCH("COGNAC",C1442)),"Brandy",
 ISNUMBER(SEARCH("LIQUEUR",C1442)),"Liqueurs",
 ISNUMBER(SEARCH("CORDIAL",C1442)),"Liqueurs",
 ISNUMBER(SEARCH("SCHNAPP",C1442)),"Liqueurs",
 ISNUMBER(SEARCH("GIN",C1442)),"Gin",
 TRUE,"Other")</f>
        <v>Vodka</v>
      </c>
      <c r="E1442" s="5">
        <v>549147</v>
      </c>
      <c r="F1442" s="5">
        <v>5670613.5699994583</v>
      </c>
      <c r="G1442" s="5"/>
      <c r="H1442" s="5">
        <v>33336</v>
      </c>
    </row>
    <row r="1443" spans="1:8">
      <c r="A1443" s="5">
        <v>2022</v>
      </c>
      <c r="B1443" s="6">
        <v>44835</v>
      </c>
      <c r="C1443" s="5" t="s">
        <v>50</v>
      </c>
      <c r="D1443" s="3" t="str" cm="1">
        <f t="array" ref="D1443">_xlfn.IFS(
 ISNUMBER(SEARCH("WHISK",C1443)),"Whiskey",
 ISNUMBER(SEARCH("BOURBON",C1443)),"Whiskey",
 ISNUMBER(SEARCH("SCOTCH",C1443)),"Whiskey",
 ISNUMBER(SEARCH("RYE",C1443)),"Whiskey",
 ISNUMBER(SEARCH("VODKA",C1443)),"Vodka",
 ISNUMBER(SEARCH("TEQUILA",C1443)),"Tequila/Mezcal",
 ISNUMBER(SEARCH("MEZCAL",C1443)),"Tequila/Mezcal",
 ISNUMBER(SEARCH("RUM",C1443)),"Rum",
 ISNUMBER(SEARCH("BRAND",C1443)),"Brandy",
 ISNUMBER(SEARCH("COGNAC",C1443)),"Brandy",
 ISNUMBER(SEARCH("LIQUEUR",C1443)),"Liqueurs",
 ISNUMBER(SEARCH("CORDIAL",C1443)),"Liqueurs",
 ISNUMBER(SEARCH("SCHNAPP",C1443)),"Liqueurs",
 ISNUMBER(SEARCH("GIN",C1443)),"Gin",
 TRUE,"Other")</f>
        <v>Tequila/Mezcal</v>
      </c>
      <c r="E1443" s="5">
        <v>87222</v>
      </c>
      <c r="F1443" s="5">
        <v>2593701.0299999509</v>
      </c>
      <c r="G1443" s="5"/>
      <c r="H1443" s="5">
        <v>8735</v>
      </c>
    </row>
    <row r="1444" spans="1:8">
      <c r="A1444" s="5">
        <v>2022</v>
      </c>
      <c r="B1444" s="6">
        <v>44835</v>
      </c>
      <c r="C1444" s="5" t="s">
        <v>59</v>
      </c>
      <c r="D1444" s="3" t="str" cm="1">
        <f t="array" ref="D1444">_xlfn.IFS(
 ISNUMBER(SEARCH("WHISK",C1444)),"Whiskey",
 ISNUMBER(SEARCH("BOURBON",C1444)),"Whiskey",
 ISNUMBER(SEARCH("SCOTCH",C1444)),"Whiskey",
 ISNUMBER(SEARCH("RYE",C1444)),"Whiskey",
 ISNUMBER(SEARCH("VODKA",C1444)),"Vodka",
 ISNUMBER(SEARCH("TEQUILA",C1444)),"Tequila/Mezcal",
 ISNUMBER(SEARCH("MEZCAL",C1444)),"Tequila/Mezcal",
 ISNUMBER(SEARCH("RUM",C1444)),"Rum",
 ISNUMBER(SEARCH("BRAND",C1444)),"Brandy",
 ISNUMBER(SEARCH("COGNAC",C1444)),"Brandy",
 ISNUMBER(SEARCH("LIQUEUR",C1444)),"Liqueurs",
 ISNUMBER(SEARCH("CORDIAL",C1444)),"Liqueurs",
 ISNUMBER(SEARCH("SCHNAPP",C1444)),"Liqueurs",
 ISNUMBER(SEARCH("GIN",C1444)),"Gin",
 TRUE,"Other")</f>
        <v>Liqueurs</v>
      </c>
      <c r="E1444" s="5">
        <v>46535</v>
      </c>
      <c r="F1444" s="5">
        <v>381202.40000000567</v>
      </c>
      <c r="G1444" s="5"/>
      <c r="H1444" s="5">
        <v>5741</v>
      </c>
    </row>
    <row r="1445" spans="1:8">
      <c r="A1445" s="5">
        <v>2022</v>
      </c>
      <c r="B1445" s="6">
        <v>44835</v>
      </c>
      <c r="C1445" s="5" t="s">
        <v>13</v>
      </c>
      <c r="D1445" s="3" t="str" cm="1">
        <f t="array" ref="D1445">_xlfn.IFS(
 ISNUMBER(SEARCH("WHISK",C1445)),"Whiskey",
 ISNUMBER(SEARCH("BOURBON",C1445)),"Whiskey",
 ISNUMBER(SEARCH("SCOTCH",C1445)),"Whiskey",
 ISNUMBER(SEARCH("RYE",C1445)),"Whiskey",
 ISNUMBER(SEARCH("VODKA",C1445)),"Vodka",
 ISNUMBER(SEARCH("TEQUILA",C1445)),"Tequila/Mezcal",
 ISNUMBER(SEARCH("MEZCAL",C1445)),"Tequila/Mezcal",
 ISNUMBER(SEARCH("RUM",C1445)),"Rum",
 ISNUMBER(SEARCH("BRAND",C1445)),"Brandy",
 ISNUMBER(SEARCH("COGNAC",C1445)),"Brandy",
 ISNUMBER(SEARCH("LIQUEUR",C1445)),"Liqueurs",
 ISNUMBER(SEARCH("CORDIAL",C1445)),"Liqueurs",
 ISNUMBER(SEARCH("SCHNAPP",C1445)),"Liqueurs",
 ISNUMBER(SEARCH("GIN",C1445)),"Gin",
 TRUE,"Other")</f>
        <v>Liqueurs</v>
      </c>
      <c r="E1445" s="5">
        <v>66538</v>
      </c>
      <c r="F1445" s="5">
        <v>532783.76000000199</v>
      </c>
      <c r="G1445" s="5"/>
      <c r="H1445" s="5">
        <v>6814</v>
      </c>
    </row>
    <row r="1446" spans="1:8">
      <c r="A1446" s="5">
        <v>2022</v>
      </c>
      <c r="B1446" s="6">
        <v>44835</v>
      </c>
      <c r="C1446" s="5" t="s">
        <v>16</v>
      </c>
      <c r="D1446" s="3" t="str" cm="1">
        <f t="array" ref="D1446">_xlfn.IFS(
 ISNUMBER(SEARCH("WHISK",C1446)),"Whiskey",
 ISNUMBER(SEARCH("BOURBON",C1446)),"Whiskey",
 ISNUMBER(SEARCH("SCOTCH",C1446)),"Whiskey",
 ISNUMBER(SEARCH("RYE",C1446)),"Whiskey",
 ISNUMBER(SEARCH("VODKA",C1446)),"Vodka",
 ISNUMBER(SEARCH("TEQUILA",C1446)),"Tequila/Mezcal",
 ISNUMBER(SEARCH("MEZCAL",C1446)),"Tequila/Mezcal",
 ISNUMBER(SEARCH("RUM",C1446)),"Rum",
 ISNUMBER(SEARCH("BRAND",C1446)),"Brandy",
 ISNUMBER(SEARCH("COGNAC",C1446)),"Brandy",
 ISNUMBER(SEARCH("LIQUEUR",C1446)),"Liqueurs",
 ISNUMBER(SEARCH("CORDIAL",C1446)),"Liqueurs",
 ISNUMBER(SEARCH("SCHNAPP",C1446)),"Liqueurs",
 ISNUMBER(SEARCH("GIN",C1446)),"Gin",
 TRUE,"Other")</f>
        <v>Whiskey</v>
      </c>
      <c r="E1446" s="5">
        <v>71057</v>
      </c>
      <c r="F1446" s="5">
        <v>900202.41000000236</v>
      </c>
      <c r="G1446" s="5"/>
      <c r="H1446" s="5">
        <v>7352</v>
      </c>
    </row>
    <row r="1447" spans="1:8">
      <c r="A1447" s="5">
        <v>2022</v>
      </c>
      <c r="B1447" s="6">
        <v>44835</v>
      </c>
      <c r="C1447" s="5" t="s">
        <v>18</v>
      </c>
      <c r="D1447" s="3" t="str" cm="1">
        <f t="array" ref="D1447">_xlfn.IFS(
 ISNUMBER(SEARCH("WHISK",C1447)),"Whiskey",
 ISNUMBER(SEARCH("BOURBON",C1447)),"Whiskey",
 ISNUMBER(SEARCH("SCOTCH",C1447)),"Whiskey",
 ISNUMBER(SEARCH("RYE",C1447)),"Whiskey",
 ISNUMBER(SEARCH("VODKA",C1447)),"Vodka",
 ISNUMBER(SEARCH("TEQUILA",C1447)),"Tequila/Mezcal",
 ISNUMBER(SEARCH("MEZCAL",C1447)),"Tequila/Mezcal",
 ISNUMBER(SEARCH("RUM",C1447)),"Rum",
 ISNUMBER(SEARCH("BRAND",C1447)),"Brandy",
 ISNUMBER(SEARCH("COGNAC",C1447)),"Brandy",
 ISNUMBER(SEARCH("LIQUEUR",C1447)),"Liqueurs",
 ISNUMBER(SEARCH("CORDIAL",C1447)),"Liqueurs",
 ISNUMBER(SEARCH("SCHNAPP",C1447)),"Liqueurs",
 ISNUMBER(SEARCH("GIN",C1447)),"Gin",
 TRUE,"Other")</f>
        <v>Whiskey</v>
      </c>
      <c r="E1447" s="5">
        <v>252349</v>
      </c>
      <c r="F1447" s="5">
        <v>4003084.0599999623</v>
      </c>
      <c r="G1447" s="5"/>
      <c r="H1447" s="5">
        <v>19305</v>
      </c>
    </row>
    <row r="1448" spans="1:8">
      <c r="A1448" s="5">
        <v>2022</v>
      </c>
      <c r="B1448" s="6">
        <v>44835</v>
      </c>
      <c r="C1448" s="5" t="s">
        <v>22</v>
      </c>
      <c r="D1448" s="3" t="str" cm="1">
        <f t="array" ref="D1448">_xlfn.IFS(
 ISNUMBER(SEARCH("WHISK",C1448)),"Whiskey",
 ISNUMBER(SEARCH("BOURBON",C1448)),"Whiskey",
 ISNUMBER(SEARCH("SCOTCH",C1448)),"Whiskey",
 ISNUMBER(SEARCH("RYE",C1448)),"Whiskey",
 ISNUMBER(SEARCH("VODKA",C1448)),"Vodka",
 ISNUMBER(SEARCH("TEQUILA",C1448)),"Tequila/Mezcal",
 ISNUMBER(SEARCH("MEZCAL",C1448)),"Tequila/Mezcal",
 ISNUMBER(SEARCH("RUM",C1448)),"Rum",
 ISNUMBER(SEARCH("BRAND",C1448)),"Brandy",
 ISNUMBER(SEARCH("COGNAC",C1448)),"Brandy",
 ISNUMBER(SEARCH("LIQUEUR",C1448)),"Liqueurs",
 ISNUMBER(SEARCH("CORDIAL",C1448)),"Liqueurs",
 ISNUMBER(SEARCH("SCHNAPP",C1448)),"Liqueurs",
 ISNUMBER(SEARCH("GIN",C1448)),"Gin",
 TRUE,"Other")</f>
        <v>Liqueurs</v>
      </c>
      <c r="E1448" s="5">
        <v>45511</v>
      </c>
      <c r="F1448" s="5">
        <v>903456.31000000052</v>
      </c>
      <c r="G1448" s="5"/>
      <c r="H1448" s="5">
        <v>4135</v>
      </c>
    </row>
    <row r="1449" spans="1:8">
      <c r="A1449" s="5">
        <v>2022</v>
      </c>
      <c r="B1449" s="6">
        <v>44835</v>
      </c>
      <c r="C1449" s="5" t="s">
        <v>30</v>
      </c>
      <c r="D1449" s="3" t="str" cm="1">
        <f t="array" ref="D1449">_xlfn.IFS(
 ISNUMBER(SEARCH("WHISK",C1449)),"Whiskey",
 ISNUMBER(SEARCH("BOURBON",C1449)),"Whiskey",
 ISNUMBER(SEARCH("SCOTCH",C1449)),"Whiskey",
 ISNUMBER(SEARCH("RYE",C1449)),"Whiskey",
 ISNUMBER(SEARCH("VODKA",C1449)),"Vodka",
 ISNUMBER(SEARCH("TEQUILA",C1449)),"Tequila/Mezcal",
 ISNUMBER(SEARCH("MEZCAL",C1449)),"Tequila/Mezcal",
 ISNUMBER(SEARCH("RUM",C1449)),"Rum",
 ISNUMBER(SEARCH("BRAND",C1449)),"Brandy",
 ISNUMBER(SEARCH("COGNAC",C1449)),"Brandy",
 ISNUMBER(SEARCH("LIQUEUR",C1449)),"Liqueurs",
 ISNUMBER(SEARCH("CORDIAL",C1449)),"Liqueurs",
 ISNUMBER(SEARCH("SCHNAPP",C1449)),"Liqueurs",
 ISNUMBER(SEARCH("GIN",C1449)),"Gin",
 TRUE,"Other")</f>
        <v>Vodka</v>
      </c>
      <c r="E1449" s="5">
        <v>30155</v>
      </c>
      <c r="F1449" s="5">
        <v>506047.51000000042</v>
      </c>
      <c r="G1449" s="5"/>
      <c r="H1449" s="5">
        <v>2683</v>
      </c>
    </row>
    <row r="1450" spans="1:8">
      <c r="A1450" s="5">
        <v>2022</v>
      </c>
      <c r="B1450" s="6">
        <v>44835</v>
      </c>
      <c r="C1450" s="5" t="s">
        <v>31</v>
      </c>
      <c r="D1450" s="3" t="str" cm="1">
        <f t="array" ref="D1450">_xlfn.IFS(
 ISNUMBER(SEARCH("WHISK",C1450)),"Whiskey",
 ISNUMBER(SEARCH("BOURBON",C1450)),"Whiskey",
 ISNUMBER(SEARCH("SCOTCH",C1450)),"Whiskey",
 ISNUMBER(SEARCH("RYE",C1450)),"Whiskey",
 ISNUMBER(SEARCH("VODKA",C1450)),"Vodka",
 ISNUMBER(SEARCH("TEQUILA",C1450)),"Tequila/Mezcal",
 ISNUMBER(SEARCH("MEZCAL",C1450)),"Tequila/Mezcal",
 ISNUMBER(SEARCH("RUM",C1450)),"Rum",
 ISNUMBER(SEARCH("BRAND",C1450)),"Brandy",
 ISNUMBER(SEARCH("COGNAC",C1450)),"Brandy",
 ISNUMBER(SEARCH("LIQUEUR",C1450)),"Liqueurs",
 ISNUMBER(SEARCH("CORDIAL",C1450)),"Liqueurs",
 ISNUMBER(SEARCH("SCHNAPP",C1450)),"Liqueurs",
 ISNUMBER(SEARCH("GIN",C1450)),"Gin",
 TRUE,"Other")</f>
        <v>Liqueurs</v>
      </c>
      <c r="E1450" s="5">
        <v>30517</v>
      </c>
      <c r="F1450" s="5">
        <v>521541.98000000039</v>
      </c>
      <c r="G1450" s="5"/>
      <c r="H1450" s="5">
        <v>2983</v>
      </c>
    </row>
    <row r="1451" spans="1:8">
      <c r="A1451" s="5">
        <v>2022</v>
      </c>
      <c r="B1451" s="6">
        <v>44835</v>
      </c>
      <c r="C1451" s="5" t="s">
        <v>32</v>
      </c>
      <c r="D1451" s="3" t="str" cm="1">
        <f t="array" ref="D1451">_xlfn.IFS(
 ISNUMBER(SEARCH("WHISK",C1451)),"Whiskey",
 ISNUMBER(SEARCH("BOURBON",C1451)),"Whiskey",
 ISNUMBER(SEARCH("SCOTCH",C1451)),"Whiskey",
 ISNUMBER(SEARCH("RYE",C1451)),"Whiskey",
 ISNUMBER(SEARCH("VODKA",C1451)),"Vodka",
 ISNUMBER(SEARCH("TEQUILA",C1451)),"Tequila/Mezcal",
 ISNUMBER(SEARCH("MEZCAL",C1451)),"Tequila/Mezcal",
 ISNUMBER(SEARCH("RUM",C1451)),"Rum",
 ISNUMBER(SEARCH("BRAND",C1451)),"Brandy",
 ISNUMBER(SEARCH("COGNAC",C1451)),"Brandy",
 ISNUMBER(SEARCH("LIQUEUR",C1451)),"Liqueurs",
 ISNUMBER(SEARCH("CORDIAL",C1451)),"Liqueurs",
 ISNUMBER(SEARCH("SCHNAPP",C1451)),"Liqueurs",
 ISNUMBER(SEARCH("GIN",C1451)),"Gin",
 TRUE,"Other")</f>
        <v>Vodka</v>
      </c>
      <c r="E1451" s="5">
        <v>74089</v>
      </c>
      <c r="F1451" s="5">
        <v>1198938.1299999626</v>
      </c>
      <c r="G1451" s="5"/>
      <c r="H1451" s="5">
        <v>4777</v>
      </c>
    </row>
    <row r="1452" spans="1:8">
      <c r="A1452" s="5">
        <v>2022</v>
      </c>
      <c r="B1452" s="6">
        <v>44835</v>
      </c>
      <c r="C1452" s="5" t="s">
        <v>35</v>
      </c>
      <c r="D1452" s="3" t="str" cm="1">
        <f t="array" ref="D1452">_xlfn.IFS(
 ISNUMBER(SEARCH("WHISK",C1452)),"Whiskey",
 ISNUMBER(SEARCH("BOURBON",C1452)),"Whiskey",
 ISNUMBER(SEARCH("SCOTCH",C1452)),"Whiskey",
 ISNUMBER(SEARCH("RYE",C1452)),"Whiskey",
 ISNUMBER(SEARCH("VODKA",C1452)),"Vodka",
 ISNUMBER(SEARCH("TEQUILA",C1452)),"Tequila/Mezcal",
 ISNUMBER(SEARCH("MEZCAL",C1452)),"Tequila/Mezcal",
 ISNUMBER(SEARCH("RUM",C1452)),"Rum",
 ISNUMBER(SEARCH("BRAND",C1452)),"Brandy",
 ISNUMBER(SEARCH("COGNAC",C1452)),"Brandy",
 ISNUMBER(SEARCH("LIQUEUR",C1452)),"Liqueurs",
 ISNUMBER(SEARCH("CORDIAL",C1452)),"Liqueurs",
 ISNUMBER(SEARCH("SCHNAPP",C1452)),"Liqueurs",
 ISNUMBER(SEARCH("GIN",C1452)),"Gin",
 TRUE,"Other")</f>
        <v>Tequila/Mezcal</v>
      </c>
      <c r="E1452" s="5">
        <v>72293</v>
      </c>
      <c r="F1452" s="5">
        <v>1036839.2100000051</v>
      </c>
      <c r="G1452" s="5"/>
      <c r="H1452" s="5">
        <v>4520</v>
      </c>
    </row>
    <row r="1453" spans="1:8">
      <c r="A1453" s="5">
        <v>2022</v>
      </c>
      <c r="B1453" s="6">
        <v>44835</v>
      </c>
      <c r="C1453" s="5" t="s">
        <v>42</v>
      </c>
      <c r="D1453" s="3" t="str" cm="1">
        <f t="array" ref="D1453">_xlfn.IFS(
 ISNUMBER(SEARCH("WHISK",C1453)),"Whiskey",
 ISNUMBER(SEARCH("BOURBON",C1453)),"Whiskey",
 ISNUMBER(SEARCH("SCOTCH",C1453)),"Whiskey",
 ISNUMBER(SEARCH("RYE",C1453)),"Whiskey",
 ISNUMBER(SEARCH("VODKA",C1453)),"Vodka",
 ISNUMBER(SEARCH("TEQUILA",C1453)),"Tequila/Mezcal",
 ISNUMBER(SEARCH("MEZCAL",C1453)),"Tequila/Mezcal",
 ISNUMBER(SEARCH("RUM",C1453)),"Rum",
 ISNUMBER(SEARCH("BRAND",C1453)),"Brandy",
 ISNUMBER(SEARCH("COGNAC",C1453)),"Brandy",
 ISNUMBER(SEARCH("LIQUEUR",C1453)),"Liqueurs",
 ISNUMBER(SEARCH("CORDIAL",C1453)),"Liqueurs",
 ISNUMBER(SEARCH("SCHNAPP",C1453)),"Liqueurs",
 ISNUMBER(SEARCH("GIN",C1453)),"Gin",
 TRUE,"Other")</f>
        <v>Rum</v>
      </c>
      <c r="E1453" s="5">
        <v>111122</v>
      </c>
      <c r="F1453" s="5">
        <v>1507207.2399999674</v>
      </c>
      <c r="G1453" s="5"/>
      <c r="H1453" s="5">
        <v>8644</v>
      </c>
    </row>
    <row r="1454" spans="1:8">
      <c r="A1454" s="5">
        <v>2022</v>
      </c>
      <c r="B1454" s="6">
        <v>44835</v>
      </c>
      <c r="C1454" s="5" t="s">
        <v>46</v>
      </c>
      <c r="D1454" s="3" t="str" cm="1">
        <f t="array" ref="D1454">_xlfn.IFS(
 ISNUMBER(SEARCH("WHISK",C1454)),"Whiskey",
 ISNUMBER(SEARCH("BOURBON",C1454)),"Whiskey",
 ISNUMBER(SEARCH("SCOTCH",C1454)),"Whiskey",
 ISNUMBER(SEARCH("RYE",C1454)),"Whiskey",
 ISNUMBER(SEARCH("VODKA",C1454)),"Vodka",
 ISNUMBER(SEARCH("TEQUILA",C1454)),"Tequila/Mezcal",
 ISNUMBER(SEARCH("MEZCAL",C1454)),"Tequila/Mezcal",
 ISNUMBER(SEARCH("RUM",C1454)),"Rum",
 ISNUMBER(SEARCH("BRAND",C1454)),"Brandy",
 ISNUMBER(SEARCH("COGNAC",C1454)),"Brandy",
 ISNUMBER(SEARCH("LIQUEUR",C1454)),"Liqueurs",
 ISNUMBER(SEARCH("CORDIAL",C1454)),"Liqueurs",
 ISNUMBER(SEARCH("SCHNAPP",C1454)),"Liqueurs",
 ISNUMBER(SEARCH("GIN",C1454)),"Gin",
 TRUE,"Other")</f>
        <v>Whiskey</v>
      </c>
      <c r="E1454" s="5">
        <v>64582</v>
      </c>
      <c r="F1454" s="5">
        <v>1523239.0299999681</v>
      </c>
      <c r="G1454" s="5"/>
      <c r="H1454" s="5">
        <v>6018</v>
      </c>
    </row>
    <row r="1455" spans="1:8">
      <c r="A1455" s="5">
        <v>2022</v>
      </c>
      <c r="B1455" s="6">
        <v>44835</v>
      </c>
      <c r="C1455" s="5" t="s">
        <v>8</v>
      </c>
      <c r="D1455" s="3" t="str" cm="1">
        <f t="array" ref="D1455">_xlfn.IFS(
 ISNUMBER(SEARCH("WHISK",C1455)),"Whiskey",
 ISNUMBER(SEARCH("BOURBON",C1455)),"Whiskey",
 ISNUMBER(SEARCH("SCOTCH",C1455)),"Whiskey",
 ISNUMBER(SEARCH("RYE",C1455)),"Whiskey",
 ISNUMBER(SEARCH("VODKA",C1455)),"Vodka",
 ISNUMBER(SEARCH("TEQUILA",C1455)),"Tequila/Mezcal",
 ISNUMBER(SEARCH("MEZCAL",C1455)),"Tequila/Mezcal",
 ISNUMBER(SEARCH("RUM",C1455)),"Rum",
 ISNUMBER(SEARCH("BRAND",C1455)),"Brandy",
 ISNUMBER(SEARCH("COGNAC",C1455)),"Brandy",
 ISNUMBER(SEARCH("LIQUEUR",C1455)),"Liqueurs",
 ISNUMBER(SEARCH("CORDIAL",C1455)),"Liqueurs",
 ISNUMBER(SEARCH("SCHNAPP",C1455)),"Liqueurs",
 ISNUMBER(SEARCH("GIN",C1455)),"Gin",
 TRUE,"Other")</f>
        <v>Brandy</v>
      </c>
      <c r="E1455" s="5">
        <v>62647</v>
      </c>
      <c r="F1455" s="5">
        <v>410919.45000000112</v>
      </c>
      <c r="G1455" s="5"/>
      <c r="H1455" s="5">
        <v>5053</v>
      </c>
    </row>
    <row r="1456" spans="1:8">
      <c r="A1456" s="5">
        <v>2022</v>
      </c>
      <c r="B1456" s="6">
        <v>44835</v>
      </c>
      <c r="C1456" s="5" t="s">
        <v>10</v>
      </c>
      <c r="D1456" s="3" t="str" cm="1">
        <f t="array" ref="D1456">_xlfn.IFS(
 ISNUMBER(SEARCH("WHISK",C1456)),"Whiskey",
 ISNUMBER(SEARCH("BOURBON",C1456)),"Whiskey",
 ISNUMBER(SEARCH("SCOTCH",C1456)),"Whiskey",
 ISNUMBER(SEARCH("RYE",C1456)),"Whiskey",
 ISNUMBER(SEARCH("VODKA",C1456)),"Vodka",
 ISNUMBER(SEARCH("TEQUILA",C1456)),"Tequila/Mezcal",
 ISNUMBER(SEARCH("MEZCAL",C1456)),"Tequila/Mezcal",
 ISNUMBER(SEARCH("RUM",C1456)),"Rum",
 ISNUMBER(SEARCH("BRAND",C1456)),"Brandy",
 ISNUMBER(SEARCH("COGNAC",C1456)),"Brandy",
 ISNUMBER(SEARCH("LIQUEUR",C1456)),"Liqueurs",
 ISNUMBER(SEARCH("CORDIAL",C1456)),"Liqueurs",
 ISNUMBER(SEARCH("SCHNAPP",C1456)),"Liqueurs",
 ISNUMBER(SEARCH("GIN",C1456)),"Gin",
 TRUE,"Other")</f>
        <v>Other</v>
      </c>
      <c r="E1456" s="5">
        <v>9073</v>
      </c>
      <c r="F1456" s="5">
        <v>195510.17999999996</v>
      </c>
      <c r="G1456" s="5"/>
      <c r="H1456" s="5">
        <v>894</v>
      </c>
    </row>
    <row r="1457" spans="1:8">
      <c r="A1457" s="5">
        <v>2022</v>
      </c>
      <c r="B1457" s="6">
        <v>44835</v>
      </c>
      <c r="C1457" s="5" t="s">
        <v>11</v>
      </c>
      <c r="D1457" s="3" t="str" cm="1">
        <f t="array" ref="D1457">_xlfn.IFS(
 ISNUMBER(SEARCH("WHISK",C1457)),"Whiskey",
 ISNUMBER(SEARCH("BOURBON",C1457)),"Whiskey",
 ISNUMBER(SEARCH("SCOTCH",C1457)),"Whiskey",
 ISNUMBER(SEARCH("RYE",C1457)),"Whiskey",
 ISNUMBER(SEARCH("VODKA",C1457)),"Vodka",
 ISNUMBER(SEARCH("TEQUILA",C1457)),"Tequila/Mezcal",
 ISNUMBER(SEARCH("MEZCAL",C1457)),"Tequila/Mezcal",
 ISNUMBER(SEARCH("RUM",C1457)),"Rum",
 ISNUMBER(SEARCH("BRAND",C1457)),"Brandy",
 ISNUMBER(SEARCH("COGNAC",C1457)),"Brandy",
 ISNUMBER(SEARCH("LIQUEUR",C1457)),"Liqueurs",
 ISNUMBER(SEARCH("CORDIAL",C1457)),"Liqueurs",
 ISNUMBER(SEARCH("SCHNAPP",C1457)),"Liqueurs",
 ISNUMBER(SEARCH("GIN",C1457)),"Gin",
 TRUE,"Other")</f>
        <v>Gin</v>
      </c>
      <c r="E1457" s="5">
        <v>29627</v>
      </c>
      <c r="F1457" s="5">
        <v>276120.50000000128</v>
      </c>
      <c r="G1457" s="5"/>
      <c r="H1457" s="5">
        <v>2726</v>
      </c>
    </row>
    <row r="1458" spans="1:8">
      <c r="A1458" s="5">
        <v>2022</v>
      </c>
      <c r="B1458" s="6">
        <v>44835</v>
      </c>
      <c r="C1458" s="5" t="s">
        <v>12</v>
      </c>
      <c r="D1458" s="3" t="str" cm="1">
        <f t="array" ref="D1458">_xlfn.IFS(
 ISNUMBER(SEARCH("WHISK",C1458)),"Whiskey",
 ISNUMBER(SEARCH("BOURBON",C1458)),"Whiskey",
 ISNUMBER(SEARCH("SCOTCH",C1458)),"Whiskey",
 ISNUMBER(SEARCH("RYE",C1458)),"Whiskey",
 ISNUMBER(SEARCH("VODKA",C1458)),"Vodka",
 ISNUMBER(SEARCH("TEQUILA",C1458)),"Tequila/Mezcal",
 ISNUMBER(SEARCH("MEZCAL",C1458)),"Tequila/Mezcal",
 ISNUMBER(SEARCH("RUM",C1458)),"Rum",
 ISNUMBER(SEARCH("BRAND",C1458)),"Brandy",
 ISNUMBER(SEARCH("COGNAC",C1458)),"Brandy",
 ISNUMBER(SEARCH("LIQUEUR",C1458)),"Liqueurs",
 ISNUMBER(SEARCH("CORDIAL",C1458)),"Liqueurs",
 ISNUMBER(SEARCH("SCHNAPP",C1458)),"Liqueurs",
 ISNUMBER(SEARCH("GIN",C1458)),"Gin",
 TRUE,"Other")</f>
        <v>Vodka</v>
      </c>
      <c r="E1458" s="5">
        <v>85605</v>
      </c>
      <c r="F1458" s="5">
        <v>916580.55000003742</v>
      </c>
      <c r="G1458" s="5"/>
      <c r="H1458" s="5">
        <v>9477</v>
      </c>
    </row>
    <row r="1459" spans="1:8">
      <c r="A1459" s="5">
        <v>2022</v>
      </c>
      <c r="B1459" s="6">
        <v>44835</v>
      </c>
      <c r="C1459" s="5" t="s">
        <v>24</v>
      </c>
      <c r="D1459" s="3" t="str" cm="1">
        <f t="array" ref="D1459">_xlfn.IFS(
 ISNUMBER(SEARCH("WHISK",C1459)),"Whiskey",
 ISNUMBER(SEARCH("BOURBON",C1459)),"Whiskey",
 ISNUMBER(SEARCH("SCOTCH",C1459)),"Whiskey",
 ISNUMBER(SEARCH("RYE",C1459)),"Whiskey",
 ISNUMBER(SEARCH("VODKA",C1459)),"Vodka",
 ISNUMBER(SEARCH("TEQUILA",C1459)),"Tequila/Mezcal",
 ISNUMBER(SEARCH("MEZCAL",C1459)),"Tequila/Mezcal",
 ISNUMBER(SEARCH("RUM",C1459)),"Rum",
 ISNUMBER(SEARCH("BRAND",C1459)),"Brandy",
 ISNUMBER(SEARCH("COGNAC",C1459)),"Brandy",
 ISNUMBER(SEARCH("LIQUEUR",C1459)),"Liqueurs",
 ISNUMBER(SEARCH("CORDIAL",C1459)),"Liqueurs",
 ISNUMBER(SEARCH("SCHNAPP",C1459)),"Liqueurs",
 ISNUMBER(SEARCH("GIN",C1459)),"Gin",
 TRUE,"Other")</f>
        <v>Rum</v>
      </c>
      <c r="E1459" s="5">
        <v>43770</v>
      </c>
      <c r="F1459" s="5">
        <v>647561.20000000123</v>
      </c>
      <c r="G1459" s="5"/>
      <c r="H1459" s="5">
        <v>3976</v>
      </c>
    </row>
    <row r="1460" spans="1:8">
      <c r="A1460" s="5">
        <v>2022</v>
      </c>
      <c r="B1460" s="6">
        <v>44835</v>
      </c>
      <c r="C1460" s="5" t="s">
        <v>60</v>
      </c>
      <c r="D1460" s="3" t="str" cm="1">
        <f t="array" ref="D1460">_xlfn.IFS(
 ISNUMBER(SEARCH("WHISK",C1460)),"Whiskey",
 ISNUMBER(SEARCH("BOURBON",C1460)),"Whiskey",
 ISNUMBER(SEARCH("SCOTCH",C1460)),"Whiskey",
 ISNUMBER(SEARCH("RYE",C1460)),"Whiskey",
 ISNUMBER(SEARCH("VODKA",C1460)),"Vodka",
 ISNUMBER(SEARCH("TEQUILA",C1460)),"Tequila/Mezcal",
 ISNUMBER(SEARCH("MEZCAL",C1460)),"Tequila/Mezcal",
 ISNUMBER(SEARCH("RUM",C1460)),"Rum",
 ISNUMBER(SEARCH("BRAND",C1460)),"Brandy",
 ISNUMBER(SEARCH("COGNAC",C1460)),"Brandy",
 ISNUMBER(SEARCH("LIQUEUR",C1460)),"Liqueurs",
 ISNUMBER(SEARCH("CORDIAL",C1460)),"Liqueurs",
 ISNUMBER(SEARCH("SCHNAPP",C1460)),"Liqueurs",
 ISNUMBER(SEARCH("GIN",C1460)),"Gin",
 TRUE,"Other")</f>
        <v>Liqueurs</v>
      </c>
      <c r="E1460" s="5">
        <v>42365</v>
      </c>
      <c r="F1460" s="5">
        <v>987321.35000000789</v>
      </c>
      <c r="G1460" s="5"/>
      <c r="H1460" s="5">
        <v>4341</v>
      </c>
    </row>
    <row r="1461" spans="1:8">
      <c r="A1461" s="5">
        <v>2022</v>
      </c>
      <c r="B1461" s="6">
        <v>44835</v>
      </c>
      <c r="C1461" s="5" t="s">
        <v>28</v>
      </c>
      <c r="D1461" s="3" t="str" cm="1">
        <f t="array" ref="D1461">_xlfn.IFS(
 ISNUMBER(SEARCH("WHISK",C1461)),"Whiskey",
 ISNUMBER(SEARCH("BOURBON",C1461)),"Whiskey",
 ISNUMBER(SEARCH("SCOTCH",C1461)),"Whiskey",
 ISNUMBER(SEARCH("RYE",C1461)),"Whiskey",
 ISNUMBER(SEARCH("VODKA",C1461)),"Vodka",
 ISNUMBER(SEARCH("TEQUILA",C1461)),"Tequila/Mezcal",
 ISNUMBER(SEARCH("MEZCAL",C1461)),"Tequila/Mezcal",
 ISNUMBER(SEARCH("RUM",C1461)),"Rum",
 ISNUMBER(SEARCH("BRAND",C1461)),"Brandy",
 ISNUMBER(SEARCH("COGNAC",C1461)),"Brandy",
 ISNUMBER(SEARCH("LIQUEUR",C1461)),"Liqueurs",
 ISNUMBER(SEARCH("CORDIAL",C1461)),"Liqueurs",
 ISNUMBER(SEARCH("SCHNAPP",C1461)),"Liqueurs",
 ISNUMBER(SEARCH("GIN",C1461)),"Gin",
 TRUE,"Other")</f>
        <v>Other</v>
      </c>
      <c r="E1461" s="5">
        <v>29099</v>
      </c>
      <c r="F1461" s="5">
        <v>228147.93999999986</v>
      </c>
      <c r="G1461" s="5"/>
      <c r="H1461" s="5">
        <v>416</v>
      </c>
    </row>
    <row r="1462" spans="1:8">
      <c r="A1462" s="5">
        <v>2022</v>
      </c>
      <c r="B1462" s="6">
        <v>44835</v>
      </c>
      <c r="C1462" s="5" t="s">
        <v>33</v>
      </c>
      <c r="D1462" s="3" t="str" cm="1">
        <f t="array" ref="D1462">_xlfn.IFS(
 ISNUMBER(SEARCH("WHISK",C1462)),"Whiskey",
 ISNUMBER(SEARCH("BOURBON",C1462)),"Whiskey",
 ISNUMBER(SEARCH("SCOTCH",C1462)),"Whiskey",
 ISNUMBER(SEARCH("RYE",C1462)),"Whiskey",
 ISNUMBER(SEARCH("VODKA",C1462)),"Vodka",
 ISNUMBER(SEARCH("TEQUILA",C1462)),"Tequila/Mezcal",
 ISNUMBER(SEARCH("MEZCAL",C1462)),"Tequila/Mezcal",
 ISNUMBER(SEARCH("RUM",C1462)),"Rum",
 ISNUMBER(SEARCH("BRAND",C1462)),"Brandy",
 ISNUMBER(SEARCH("COGNAC",C1462)),"Brandy",
 ISNUMBER(SEARCH("LIQUEUR",C1462)),"Liqueurs",
 ISNUMBER(SEARCH("CORDIAL",C1462)),"Liqueurs",
 ISNUMBER(SEARCH("SCHNAPP",C1462)),"Liqueurs",
 ISNUMBER(SEARCH("GIN",C1462)),"Gin",
 TRUE,"Other")</f>
        <v>Whiskey</v>
      </c>
      <c r="E1462" s="5">
        <v>38612</v>
      </c>
      <c r="F1462" s="5">
        <v>1040879.5099999884</v>
      </c>
      <c r="G1462" s="5"/>
      <c r="H1462" s="5">
        <v>2386</v>
      </c>
    </row>
    <row r="1463" spans="1:8">
      <c r="A1463" s="5">
        <v>2022</v>
      </c>
      <c r="B1463" s="6">
        <v>44835</v>
      </c>
      <c r="C1463" s="5" t="s">
        <v>36</v>
      </c>
      <c r="D1463" s="3" t="str" cm="1">
        <f t="array" ref="D1463">_xlfn.IFS(
 ISNUMBER(SEARCH("WHISK",C1463)),"Whiskey",
 ISNUMBER(SEARCH("BOURBON",C1463)),"Whiskey",
 ISNUMBER(SEARCH("SCOTCH",C1463)),"Whiskey",
 ISNUMBER(SEARCH("RYE",C1463)),"Whiskey",
 ISNUMBER(SEARCH("VODKA",C1463)),"Vodka",
 ISNUMBER(SEARCH("TEQUILA",C1463)),"Tequila/Mezcal",
 ISNUMBER(SEARCH("MEZCAL",C1463)),"Tequila/Mezcal",
 ISNUMBER(SEARCH("RUM",C1463)),"Rum",
 ISNUMBER(SEARCH("BRAND",C1463)),"Brandy",
 ISNUMBER(SEARCH("COGNAC",C1463)),"Brandy",
 ISNUMBER(SEARCH("LIQUEUR",C1463)),"Liqueurs",
 ISNUMBER(SEARCH("CORDIAL",C1463)),"Liqueurs",
 ISNUMBER(SEARCH("SCHNAPP",C1463)),"Liqueurs",
 ISNUMBER(SEARCH("GIN",C1463)),"Gin",
 TRUE,"Other")</f>
        <v>Other</v>
      </c>
      <c r="E1463" s="5">
        <v>5043</v>
      </c>
      <c r="F1463" s="5">
        <v>72723.22000000003</v>
      </c>
      <c r="G1463" s="5"/>
      <c r="H1463" s="5">
        <v>550</v>
      </c>
    </row>
    <row r="1464" spans="1:8">
      <c r="A1464" s="5">
        <v>2022</v>
      </c>
      <c r="B1464" s="6">
        <v>44835</v>
      </c>
      <c r="C1464" s="5" t="s">
        <v>43</v>
      </c>
      <c r="D1464" s="3" t="str" cm="1">
        <f t="array" ref="D1464">_xlfn.IFS(
 ISNUMBER(SEARCH("WHISK",C1464)),"Whiskey",
 ISNUMBER(SEARCH("BOURBON",C1464)),"Whiskey",
 ISNUMBER(SEARCH("SCOTCH",C1464)),"Whiskey",
 ISNUMBER(SEARCH("RYE",C1464)),"Whiskey",
 ISNUMBER(SEARCH("VODKA",C1464)),"Vodka",
 ISNUMBER(SEARCH("TEQUILA",C1464)),"Tequila/Mezcal",
 ISNUMBER(SEARCH("MEZCAL",C1464)),"Tequila/Mezcal",
 ISNUMBER(SEARCH("RUM",C1464)),"Rum",
 ISNUMBER(SEARCH("BRAND",C1464)),"Brandy",
 ISNUMBER(SEARCH("COGNAC",C1464)),"Brandy",
 ISNUMBER(SEARCH("LIQUEUR",C1464)),"Liqueurs",
 ISNUMBER(SEARCH("CORDIAL",C1464)),"Liqueurs",
 ISNUMBER(SEARCH("SCHNAPP",C1464)),"Liqueurs",
 ISNUMBER(SEARCH("GIN",C1464)),"Gin",
 TRUE,"Other")</f>
        <v>Whiskey</v>
      </c>
      <c r="E1464" s="5">
        <v>173751</v>
      </c>
      <c r="F1464" s="5">
        <v>3967385.0299999882</v>
      </c>
      <c r="G1464" s="5"/>
      <c r="H1464" s="5">
        <v>15916</v>
      </c>
    </row>
    <row r="1465" spans="1:8">
      <c r="A1465" s="5">
        <v>2022</v>
      </c>
      <c r="B1465" s="6">
        <v>44835</v>
      </c>
      <c r="C1465" s="5" t="s">
        <v>44</v>
      </c>
      <c r="D1465" s="3" t="str" cm="1">
        <f t="array" ref="D1465">_xlfn.IFS(
 ISNUMBER(SEARCH("WHISK",C1465)),"Whiskey",
 ISNUMBER(SEARCH("BOURBON",C1465)),"Whiskey",
 ISNUMBER(SEARCH("SCOTCH",C1465)),"Whiskey",
 ISNUMBER(SEARCH("RYE",C1465)),"Whiskey",
 ISNUMBER(SEARCH("VODKA",C1465)),"Vodka",
 ISNUMBER(SEARCH("TEQUILA",C1465)),"Tequila/Mezcal",
 ISNUMBER(SEARCH("MEZCAL",C1465)),"Tequila/Mezcal",
 ISNUMBER(SEARCH("RUM",C1465)),"Rum",
 ISNUMBER(SEARCH("BRAND",C1465)),"Brandy",
 ISNUMBER(SEARCH("COGNAC",C1465)),"Brandy",
 ISNUMBER(SEARCH("LIQUEUR",C1465)),"Liqueurs",
 ISNUMBER(SEARCH("CORDIAL",C1465)),"Liqueurs",
 ISNUMBER(SEARCH("SCHNAPP",C1465)),"Liqueurs",
 ISNUMBER(SEARCH("GIN",C1465)),"Gin",
 TRUE,"Other")</f>
        <v>Whiskey</v>
      </c>
      <c r="E1465" s="5">
        <v>16732</v>
      </c>
      <c r="F1465" s="5">
        <v>551299.89000000153</v>
      </c>
      <c r="G1465" s="5"/>
      <c r="H1465" s="5">
        <v>1743</v>
      </c>
    </row>
    <row r="1466" spans="1:8">
      <c r="A1466" s="5">
        <v>2022</v>
      </c>
      <c r="B1466" s="6">
        <v>44835</v>
      </c>
      <c r="C1466" s="5" t="s">
        <v>45</v>
      </c>
      <c r="D1466" s="3" t="str" cm="1">
        <f t="array" ref="D1466">_xlfn.IFS(
 ISNUMBER(SEARCH("WHISK",C1466)),"Whiskey",
 ISNUMBER(SEARCH("BOURBON",C1466)),"Whiskey",
 ISNUMBER(SEARCH("SCOTCH",C1466)),"Whiskey",
 ISNUMBER(SEARCH("RYE",C1466)),"Whiskey",
 ISNUMBER(SEARCH("VODKA",C1466)),"Vodka",
 ISNUMBER(SEARCH("TEQUILA",C1466)),"Tequila/Mezcal",
 ISNUMBER(SEARCH("MEZCAL",C1466)),"Tequila/Mezcal",
 ISNUMBER(SEARCH("RUM",C1466)),"Rum",
 ISNUMBER(SEARCH("BRAND",C1466)),"Brandy",
 ISNUMBER(SEARCH("COGNAC",C1466)),"Brandy",
 ISNUMBER(SEARCH("LIQUEUR",C1466)),"Liqueurs",
 ISNUMBER(SEARCH("CORDIAL",C1466)),"Liqueurs",
 ISNUMBER(SEARCH("SCHNAPP",C1466)),"Liqueurs",
 ISNUMBER(SEARCH("GIN",C1466)),"Gin",
 TRUE,"Other")</f>
        <v>Other</v>
      </c>
      <c r="E1466" s="5">
        <v>83219</v>
      </c>
      <c r="F1466" s="5">
        <v>2186893.2699998897</v>
      </c>
      <c r="G1466" s="5"/>
      <c r="H1466" s="5">
        <v>10265</v>
      </c>
    </row>
    <row r="1467" spans="1:8">
      <c r="A1467" s="5">
        <v>2022</v>
      </c>
      <c r="B1467" s="6">
        <v>44835</v>
      </c>
      <c r="C1467" s="5" t="s">
        <v>47</v>
      </c>
      <c r="D1467" s="3" t="str" cm="1">
        <f t="array" ref="D1467">_xlfn.IFS(
 ISNUMBER(SEARCH("WHISK",C1467)),"Whiskey",
 ISNUMBER(SEARCH("BOURBON",C1467)),"Whiskey",
 ISNUMBER(SEARCH("SCOTCH",C1467)),"Whiskey",
 ISNUMBER(SEARCH("RYE",C1467)),"Whiskey",
 ISNUMBER(SEARCH("VODKA",C1467)),"Vodka",
 ISNUMBER(SEARCH("TEQUILA",C1467)),"Tequila/Mezcal",
 ISNUMBER(SEARCH("MEZCAL",C1467)),"Tequila/Mezcal",
 ISNUMBER(SEARCH("RUM",C1467)),"Rum",
 ISNUMBER(SEARCH("BRAND",C1467)),"Brandy",
 ISNUMBER(SEARCH("COGNAC",C1467)),"Brandy",
 ISNUMBER(SEARCH("LIQUEUR",C1467)),"Liqueurs",
 ISNUMBER(SEARCH("CORDIAL",C1467)),"Liqueurs",
 ISNUMBER(SEARCH("SCHNAPP",C1467)),"Liqueurs",
 ISNUMBER(SEARCH("GIN",C1467)),"Gin",
 TRUE,"Other")</f>
        <v>Other</v>
      </c>
      <c r="E1467" s="5">
        <v>16037</v>
      </c>
      <c r="F1467" s="5">
        <v>64035.179999999942</v>
      </c>
      <c r="G1467" s="5"/>
      <c r="H1467" s="5">
        <v>525</v>
      </c>
    </row>
    <row r="1468" spans="1:8">
      <c r="A1468" s="5">
        <v>2022</v>
      </c>
      <c r="B1468" s="6">
        <v>44835</v>
      </c>
      <c r="C1468" s="5" t="s">
        <v>37</v>
      </c>
      <c r="D1468" s="3" t="str" cm="1">
        <f t="array" ref="D1468">_xlfn.IFS(
 ISNUMBER(SEARCH("WHISK",C1468)),"Whiskey",
 ISNUMBER(SEARCH("BOURBON",C1468)),"Whiskey",
 ISNUMBER(SEARCH("SCOTCH",C1468)),"Whiskey",
 ISNUMBER(SEARCH("RYE",C1468)),"Whiskey",
 ISNUMBER(SEARCH("VODKA",C1468)),"Vodka",
 ISNUMBER(SEARCH("TEQUILA",C1468)),"Tequila/Mezcal",
 ISNUMBER(SEARCH("MEZCAL",C1468)),"Tequila/Mezcal",
 ISNUMBER(SEARCH("RUM",C1468)),"Rum",
 ISNUMBER(SEARCH("BRAND",C1468)),"Brandy",
 ISNUMBER(SEARCH("COGNAC",C1468)),"Brandy",
 ISNUMBER(SEARCH("LIQUEUR",C1468)),"Liqueurs",
 ISNUMBER(SEARCH("CORDIAL",C1468)),"Liqueurs",
 ISNUMBER(SEARCH("SCHNAPP",C1468)),"Liqueurs",
 ISNUMBER(SEARCH("GIN",C1468)),"Gin",
 TRUE,"Other")</f>
        <v>Other</v>
      </c>
      <c r="E1468" s="5">
        <v>16640</v>
      </c>
      <c r="F1468" s="5">
        <v>277797.9500000031</v>
      </c>
      <c r="G1468" s="5"/>
      <c r="H1468" s="5">
        <v>3163</v>
      </c>
    </row>
    <row r="1469" spans="1:8">
      <c r="A1469" s="5">
        <v>2022</v>
      </c>
      <c r="B1469" s="6">
        <v>44835</v>
      </c>
      <c r="C1469" s="5" t="s">
        <v>19</v>
      </c>
      <c r="D1469" s="3" t="str" cm="1">
        <f t="array" ref="D1469">_xlfn.IFS(
 ISNUMBER(SEARCH("WHISK",C1469)),"Whiskey",
 ISNUMBER(SEARCH("BOURBON",C1469)),"Whiskey",
 ISNUMBER(SEARCH("SCOTCH",C1469)),"Whiskey",
 ISNUMBER(SEARCH("RYE",C1469)),"Whiskey",
 ISNUMBER(SEARCH("VODKA",C1469)),"Vodka",
 ISNUMBER(SEARCH("TEQUILA",C1469)),"Tequila/Mezcal",
 ISNUMBER(SEARCH("MEZCAL",C1469)),"Tequila/Mezcal",
 ISNUMBER(SEARCH("RUM",C1469)),"Rum",
 ISNUMBER(SEARCH("BRAND",C1469)),"Brandy",
 ISNUMBER(SEARCH("COGNAC",C1469)),"Brandy",
 ISNUMBER(SEARCH("LIQUEUR",C1469)),"Liqueurs",
 ISNUMBER(SEARCH("CORDIAL",C1469)),"Liqueurs",
 ISNUMBER(SEARCH("SCHNAPP",C1469)),"Liqueurs",
 ISNUMBER(SEARCH("GIN",C1469)),"Gin",
 TRUE,"Other")</f>
        <v>Other</v>
      </c>
      <c r="E1469" s="5">
        <v>39515</v>
      </c>
      <c r="F1469" s="5">
        <v>490054.94999998581</v>
      </c>
      <c r="G1469" s="5"/>
      <c r="H1469" s="5">
        <v>5596</v>
      </c>
    </row>
    <row r="1470" spans="1:8">
      <c r="A1470" s="5">
        <v>2022</v>
      </c>
      <c r="B1470" s="6">
        <v>44835</v>
      </c>
      <c r="C1470" s="5" t="s">
        <v>38</v>
      </c>
      <c r="D1470" s="3" t="str" cm="1">
        <f t="array" ref="D1470">_xlfn.IFS(
 ISNUMBER(SEARCH("WHISK",C1470)),"Whiskey",
 ISNUMBER(SEARCH("BOURBON",C1470)),"Whiskey",
 ISNUMBER(SEARCH("SCOTCH",C1470)),"Whiskey",
 ISNUMBER(SEARCH("RYE",C1470)),"Whiskey",
 ISNUMBER(SEARCH("VODKA",C1470)),"Vodka",
 ISNUMBER(SEARCH("TEQUILA",C1470)),"Tequila/Mezcal",
 ISNUMBER(SEARCH("MEZCAL",C1470)),"Tequila/Mezcal",
 ISNUMBER(SEARCH("RUM",C1470)),"Rum",
 ISNUMBER(SEARCH("BRAND",C1470)),"Brandy",
 ISNUMBER(SEARCH("COGNAC",C1470)),"Brandy",
 ISNUMBER(SEARCH("LIQUEUR",C1470)),"Liqueurs",
 ISNUMBER(SEARCH("CORDIAL",C1470)),"Liqueurs",
 ISNUMBER(SEARCH("SCHNAPP",C1470)),"Liqueurs",
 ISNUMBER(SEARCH("GIN",C1470)),"Gin",
 TRUE,"Other")</f>
        <v>Whiskey</v>
      </c>
      <c r="E1470" s="5">
        <v>16784</v>
      </c>
      <c r="F1470" s="5">
        <v>480378.70999999874</v>
      </c>
      <c r="G1470" s="5"/>
      <c r="H1470" s="5">
        <v>2581</v>
      </c>
    </row>
    <row r="1471" spans="1:8">
      <c r="A1471" s="5">
        <v>2022</v>
      </c>
      <c r="B1471" s="6">
        <v>44835</v>
      </c>
      <c r="C1471" s="5" t="s">
        <v>7</v>
      </c>
      <c r="D1471" s="3" t="str" cm="1">
        <f t="array" ref="D1471">_xlfn.IFS(
 ISNUMBER(SEARCH("WHISK",C1471)),"Whiskey",
 ISNUMBER(SEARCH("BOURBON",C1471)),"Whiskey",
 ISNUMBER(SEARCH("SCOTCH",C1471)),"Whiskey",
 ISNUMBER(SEARCH("RYE",C1471)),"Whiskey",
 ISNUMBER(SEARCH("VODKA",C1471)),"Vodka",
 ISNUMBER(SEARCH("TEQUILA",C1471)),"Tequila/Mezcal",
 ISNUMBER(SEARCH("MEZCAL",C1471)),"Tequila/Mezcal",
 ISNUMBER(SEARCH("RUM",C1471)),"Rum",
 ISNUMBER(SEARCH("BRAND",C1471)),"Brandy",
 ISNUMBER(SEARCH("COGNAC",C1471)),"Brandy",
 ISNUMBER(SEARCH("LIQUEUR",C1471)),"Liqueurs",
 ISNUMBER(SEARCH("CORDIAL",C1471)),"Liqueurs",
 ISNUMBER(SEARCH("SCHNAPP",C1471)),"Liqueurs",
 ISNUMBER(SEARCH("GIN",C1471)),"Gin",
 TRUE,"Other")</f>
        <v>Rum</v>
      </c>
      <c r="E1471" s="5">
        <v>3476</v>
      </c>
      <c r="F1471" s="5">
        <v>74309.96000000005</v>
      </c>
      <c r="G1471" s="5"/>
      <c r="H1471" s="5">
        <v>588</v>
      </c>
    </row>
    <row r="1472" spans="1:8">
      <c r="A1472" s="5">
        <v>2022</v>
      </c>
      <c r="B1472" s="6">
        <v>44835</v>
      </c>
      <c r="C1472" s="5" t="s">
        <v>20</v>
      </c>
      <c r="D1472" s="3" t="str" cm="1">
        <f t="array" ref="D1472">_xlfn.IFS(
 ISNUMBER(SEARCH("WHISK",C1472)),"Whiskey",
 ISNUMBER(SEARCH("BOURBON",C1472)),"Whiskey",
 ISNUMBER(SEARCH("SCOTCH",C1472)),"Whiskey",
 ISNUMBER(SEARCH("RYE",C1472)),"Whiskey",
 ISNUMBER(SEARCH("VODKA",C1472)),"Vodka",
 ISNUMBER(SEARCH("TEQUILA",C1472)),"Tequila/Mezcal",
 ISNUMBER(SEARCH("MEZCAL",C1472)),"Tequila/Mezcal",
 ISNUMBER(SEARCH("RUM",C1472)),"Rum",
 ISNUMBER(SEARCH("BRAND",C1472)),"Brandy",
 ISNUMBER(SEARCH("COGNAC",C1472)),"Brandy",
 ISNUMBER(SEARCH("LIQUEUR",C1472)),"Liqueurs",
 ISNUMBER(SEARCH("CORDIAL",C1472)),"Liqueurs",
 ISNUMBER(SEARCH("SCHNAPP",C1472)),"Liqueurs",
 ISNUMBER(SEARCH("GIN",C1472)),"Gin",
 TRUE,"Other")</f>
        <v>Liqueurs</v>
      </c>
      <c r="E1472" s="5">
        <v>10691</v>
      </c>
      <c r="F1472" s="5">
        <v>231876.21000000124</v>
      </c>
      <c r="G1472" s="5"/>
      <c r="H1472" s="5">
        <v>891</v>
      </c>
    </row>
    <row r="1473" spans="1:8">
      <c r="A1473" s="5">
        <v>2022</v>
      </c>
      <c r="B1473" s="6">
        <v>44835</v>
      </c>
      <c r="C1473" s="5" t="s">
        <v>23</v>
      </c>
      <c r="D1473" s="3" t="str" cm="1">
        <f t="array" ref="D1473">_xlfn.IFS(
 ISNUMBER(SEARCH("WHISK",C1473)),"Whiskey",
 ISNUMBER(SEARCH("BOURBON",C1473)),"Whiskey",
 ISNUMBER(SEARCH("SCOTCH",C1473)),"Whiskey",
 ISNUMBER(SEARCH("RYE",C1473)),"Whiskey",
 ISNUMBER(SEARCH("VODKA",C1473)),"Vodka",
 ISNUMBER(SEARCH("TEQUILA",C1473)),"Tequila/Mezcal",
 ISNUMBER(SEARCH("MEZCAL",C1473)),"Tequila/Mezcal",
 ISNUMBER(SEARCH("RUM",C1473)),"Rum",
 ISNUMBER(SEARCH("BRAND",C1473)),"Brandy",
 ISNUMBER(SEARCH("COGNAC",C1473)),"Brandy",
 ISNUMBER(SEARCH("LIQUEUR",C1473)),"Liqueurs",
 ISNUMBER(SEARCH("CORDIAL",C1473)),"Liqueurs",
 ISNUMBER(SEARCH("SCHNAPP",C1473)),"Liqueurs",
 ISNUMBER(SEARCH("GIN",C1473)),"Gin",
 TRUE,"Other")</f>
        <v>Gin</v>
      </c>
      <c r="E1473" s="5">
        <v>2937</v>
      </c>
      <c r="F1473" s="5">
        <v>71920.86000000003</v>
      </c>
      <c r="G1473" s="5"/>
      <c r="H1473" s="5">
        <v>293</v>
      </c>
    </row>
    <row r="1474" spans="1:8">
      <c r="A1474" s="5">
        <v>2022</v>
      </c>
      <c r="B1474" s="6">
        <v>44835</v>
      </c>
      <c r="C1474" s="5" t="s">
        <v>29</v>
      </c>
      <c r="D1474" s="3" t="str" cm="1">
        <f t="array" ref="D1474">_xlfn.IFS(
 ISNUMBER(SEARCH("WHISK",C1474)),"Whiskey",
 ISNUMBER(SEARCH("BOURBON",C1474)),"Whiskey",
 ISNUMBER(SEARCH("SCOTCH",C1474)),"Whiskey",
 ISNUMBER(SEARCH("RYE",C1474)),"Whiskey",
 ISNUMBER(SEARCH("VODKA",C1474)),"Vodka",
 ISNUMBER(SEARCH("TEQUILA",C1474)),"Tequila/Mezcal",
 ISNUMBER(SEARCH("MEZCAL",C1474)),"Tequila/Mezcal",
 ISNUMBER(SEARCH("RUM",C1474)),"Rum",
 ISNUMBER(SEARCH("BRAND",C1474)),"Brandy",
 ISNUMBER(SEARCH("COGNAC",C1474)),"Brandy",
 ISNUMBER(SEARCH("LIQUEUR",C1474)),"Liqueurs",
 ISNUMBER(SEARCH("CORDIAL",C1474)),"Liqueurs",
 ISNUMBER(SEARCH("SCHNAPP",C1474)),"Liqueurs",
 ISNUMBER(SEARCH("GIN",C1474)),"Gin",
 TRUE,"Other")</f>
        <v>Gin</v>
      </c>
      <c r="E1474" s="5">
        <v>15617</v>
      </c>
      <c r="F1474" s="5">
        <v>421743.17000000068</v>
      </c>
      <c r="G1474" s="5"/>
      <c r="H1474" s="5">
        <v>1553</v>
      </c>
    </row>
    <row r="1475" spans="1:8">
      <c r="A1475" s="5">
        <v>2022</v>
      </c>
      <c r="B1475" s="6">
        <v>44835</v>
      </c>
      <c r="C1475" s="5" t="s">
        <v>14</v>
      </c>
      <c r="D1475" s="3" t="str" cm="1">
        <f t="array" ref="D1475">_xlfn.IFS(
 ISNUMBER(SEARCH("WHISK",C1475)),"Whiskey",
 ISNUMBER(SEARCH("BOURBON",C1475)),"Whiskey",
 ISNUMBER(SEARCH("SCOTCH",C1475)),"Whiskey",
 ISNUMBER(SEARCH("RYE",C1475)),"Whiskey",
 ISNUMBER(SEARCH("VODKA",C1475)),"Vodka",
 ISNUMBER(SEARCH("TEQUILA",C1475)),"Tequila/Mezcal",
 ISNUMBER(SEARCH("MEZCAL",C1475)),"Tequila/Mezcal",
 ISNUMBER(SEARCH("RUM",C1475)),"Rum",
 ISNUMBER(SEARCH("BRAND",C1475)),"Brandy",
 ISNUMBER(SEARCH("COGNAC",C1475)),"Brandy",
 ISNUMBER(SEARCH("LIQUEUR",C1475)),"Liqueurs",
 ISNUMBER(SEARCH("CORDIAL",C1475)),"Liqueurs",
 ISNUMBER(SEARCH("SCHNAPP",C1475)),"Liqueurs",
 ISNUMBER(SEARCH("GIN",C1475)),"Gin",
 TRUE,"Other")</f>
        <v>Gin</v>
      </c>
      <c r="E1475" s="5">
        <v>278</v>
      </c>
      <c r="F1475" s="5">
        <v>2260.1399999999994</v>
      </c>
      <c r="G1475" s="5"/>
      <c r="H1475" s="5">
        <v>54</v>
      </c>
    </row>
    <row r="1476" spans="1:8">
      <c r="A1476" s="5">
        <v>2022</v>
      </c>
      <c r="B1476" s="6">
        <v>44835</v>
      </c>
      <c r="C1476" s="5" t="s">
        <v>17</v>
      </c>
      <c r="D1476" s="3" t="str" cm="1">
        <f t="array" ref="D1476">_xlfn.IFS(
 ISNUMBER(SEARCH("WHISK",C1476)),"Whiskey",
 ISNUMBER(SEARCH("BOURBON",C1476)),"Whiskey",
 ISNUMBER(SEARCH("SCOTCH",C1476)),"Whiskey",
 ISNUMBER(SEARCH("RYE",C1476)),"Whiskey",
 ISNUMBER(SEARCH("VODKA",C1476)),"Vodka",
 ISNUMBER(SEARCH("TEQUILA",C1476)),"Tequila/Mezcal",
 ISNUMBER(SEARCH("MEZCAL",C1476)),"Tequila/Mezcal",
 ISNUMBER(SEARCH("RUM",C1476)),"Rum",
 ISNUMBER(SEARCH("BRAND",C1476)),"Brandy",
 ISNUMBER(SEARCH("COGNAC",C1476)),"Brandy",
 ISNUMBER(SEARCH("LIQUEUR",C1476)),"Liqueurs",
 ISNUMBER(SEARCH("CORDIAL",C1476)),"Liqueurs",
 ISNUMBER(SEARCH("SCHNAPP",C1476)),"Liqueurs",
 ISNUMBER(SEARCH("GIN",C1476)),"Gin",
 TRUE,"Other")</f>
        <v>Whiskey</v>
      </c>
      <c r="E1476" s="5">
        <v>2808</v>
      </c>
      <c r="F1476" s="5">
        <v>81643.260000000024</v>
      </c>
      <c r="G1476" s="5"/>
      <c r="H1476" s="5">
        <v>813</v>
      </c>
    </row>
    <row r="1477" spans="1:8">
      <c r="A1477" s="5">
        <v>2022</v>
      </c>
      <c r="B1477" s="6">
        <v>44835</v>
      </c>
      <c r="C1477" s="5" t="s">
        <v>25</v>
      </c>
      <c r="D1477" s="3" t="str" cm="1">
        <f t="array" ref="D1477">_xlfn.IFS(
 ISNUMBER(SEARCH("WHISK",C1477)),"Whiskey",
 ISNUMBER(SEARCH("BOURBON",C1477)),"Whiskey",
 ISNUMBER(SEARCH("SCOTCH",C1477)),"Whiskey",
 ISNUMBER(SEARCH("RYE",C1477)),"Whiskey",
 ISNUMBER(SEARCH("VODKA",C1477)),"Vodka",
 ISNUMBER(SEARCH("TEQUILA",C1477)),"Tequila/Mezcal",
 ISNUMBER(SEARCH("MEZCAL",C1477)),"Tequila/Mezcal",
 ISNUMBER(SEARCH("RUM",C1477)),"Rum",
 ISNUMBER(SEARCH("BRAND",C1477)),"Brandy",
 ISNUMBER(SEARCH("COGNAC",C1477)),"Brandy",
 ISNUMBER(SEARCH("LIQUEUR",C1477)),"Liqueurs",
 ISNUMBER(SEARCH("CORDIAL",C1477)),"Liqueurs",
 ISNUMBER(SEARCH("SCHNAPP",C1477)),"Liqueurs",
 ISNUMBER(SEARCH("GIN",C1477)),"Gin",
 TRUE,"Other")</f>
        <v>Rum</v>
      </c>
      <c r="E1477" s="5">
        <v>6709</v>
      </c>
      <c r="F1477" s="5">
        <v>88476.669999999693</v>
      </c>
      <c r="G1477" s="5"/>
      <c r="H1477" s="5">
        <v>977</v>
      </c>
    </row>
    <row r="1478" spans="1:8">
      <c r="A1478" s="5">
        <v>2022</v>
      </c>
      <c r="B1478" s="6">
        <v>44835</v>
      </c>
      <c r="C1478" s="5" t="s">
        <v>26</v>
      </c>
      <c r="D1478" s="3" t="str" cm="1">
        <f t="array" ref="D1478">_xlfn.IFS(
 ISNUMBER(SEARCH("WHISK",C1478)),"Whiskey",
 ISNUMBER(SEARCH("BOURBON",C1478)),"Whiskey",
 ISNUMBER(SEARCH("SCOTCH",C1478)),"Whiskey",
 ISNUMBER(SEARCH("RYE",C1478)),"Whiskey",
 ISNUMBER(SEARCH("VODKA",C1478)),"Vodka",
 ISNUMBER(SEARCH("TEQUILA",C1478)),"Tequila/Mezcal",
 ISNUMBER(SEARCH("MEZCAL",C1478)),"Tequila/Mezcal",
 ISNUMBER(SEARCH("RUM",C1478)),"Rum",
 ISNUMBER(SEARCH("BRAND",C1478)),"Brandy",
 ISNUMBER(SEARCH("COGNAC",C1478)),"Brandy",
 ISNUMBER(SEARCH("LIQUEUR",C1478)),"Liqueurs",
 ISNUMBER(SEARCH("CORDIAL",C1478)),"Liqueurs",
 ISNUMBER(SEARCH("SCHNAPP",C1478)),"Liqueurs",
 ISNUMBER(SEARCH("GIN",C1478)),"Gin",
 TRUE,"Other")</f>
        <v>Brandy</v>
      </c>
      <c r="E1478" s="5">
        <v>40665</v>
      </c>
      <c r="F1478" s="5">
        <v>980935.67000000086</v>
      </c>
      <c r="G1478" s="5"/>
      <c r="H1478" s="5">
        <v>3441</v>
      </c>
    </row>
    <row r="1479" spans="1:8">
      <c r="A1479" s="5">
        <v>2022</v>
      </c>
      <c r="B1479" s="6">
        <v>44835</v>
      </c>
      <c r="C1479" s="5" t="s">
        <v>34</v>
      </c>
      <c r="D1479" s="3" t="str" cm="1">
        <f t="array" ref="D1479">_xlfn.IFS(
 ISNUMBER(SEARCH("WHISK",C1479)),"Whiskey",
 ISNUMBER(SEARCH("BOURBON",C1479)),"Whiskey",
 ISNUMBER(SEARCH("SCOTCH",C1479)),"Whiskey",
 ISNUMBER(SEARCH("RYE",C1479)),"Whiskey",
 ISNUMBER(SEARCH("VODKA",C1479)),"Vodka",
 ISNUMBER(SEARCH("TEQUILA",C1479)),"Tequila/Mezcal",
 ISNUMBER(SEARCH("MEZCAL",C1479)),"Tequila/Mezcal",
 ISNUMBER(SEARCH("RUM",C1479)),"Rum",
 ISNUMBER(SEARCH("BRAND",C1479)),"Brandy",
 ISNUMBER(SEARCH("COGNAC",C1479)),"Brandy",
 ISNUMBER(SEARCH("LIQUEUR",C1479)),"Liqueurs",
 ISNUMBER(SEARCH("CORDIAL",C1479)),"Liqueurs",
 ISNUMBER(SEARCH("SCHNAPP",C1479)),"Liqueurs",
 ISNUMBER(SEARCH("GIN",C1479)),"Gin",
 TRUE,"Other")</f>
        <v>Tequila/Mezcal</v>
      </c>
      <c r="E1479" s="5">
        <v>1269</v>
      </c>
      <c r="F1479" s="5">
        <v>42119.389999999978</v>
      </c>
      <c r="G1479" s="5"/>
      <c r="H1479" s="5">
        <v>247</v>
      </c>
    </row>
    <row r="1480" spans="1:8">
      <c r="A1480" s="5">
        <v>2022</v>
      </c>
      <c r="B1480" s="6">
        <v>44835</v>
      </c>
      <c r="C1480" s="5" t="s">
        <v>39</v>
      </c>
      <c r="D1480" s="3" t="str" cm="1">
        <f t="array" ref="D1480">_xlfn.IFS(
 ISNUMBER(SEARCH("WHISK",C1480)),"Whiskey",
 ISNUMBER(SEARCH("BOURBON",C1480)),"Whiskey",
 ISNUMBER(SEARCH("SCOTCH",C1480)),"Whiskey",
 ISNUMBER(SEARCH("RYE",C1480)),"Whiskey",
 ISNUMBER(SEARCH("VODKA",C1480)),"Vodka",
 ISNUMBER(SEARCH("TEQUILA",C1480)),"Tequila/Mezcal",
 ISNUMBER(SEARCH("MEZCAL",C1480)),"Tequila/Mezcal",
 ISNUMBER(SEARCH("RUM",C1480)),"Rum",
 ISNUMBER(SEARCH("BRAND",C1480)),"Brandy",
 ISNUMBER(SEARCH("COGNAC",C1480)),"Brandy",
 ISNUMBER(SEARCH("LIQUEUR",C1480)),"Liqueurs",
 ISNUMBER(SEARCH("CORDIAL",C1480)),"Liqueurs",
 ISNUMBER(SEARCH("SCHNAPP",C1480)),"Liqueurs",
 ISNUMBER(SEARCH("GIN",C1480)),"Gin",
 TRUE,"Other")</f>
        <v>Whiskey</v>
      </c>
      <c r="E1480" s="5">
        <v>3226</v>
      </c>
      <c r="F1480" s="5">
        <v>115979.84000000008</v>
      </c>
      <c r="G1480" s="5"/>
      <c r="H1480" s="5">
        <v>535</v>
      </c>
    </row>
    <row r="1481" spans="1:8">
      <c r="A1481" s="5">
        <v>2022</v>
      </c>
      <c r="B1481" s="6">
        <v>44835</v>
      </c>
      <c r="C1481" s="5" t="s">
        <v>40</v>
      </c>
      <c r="D1481" s="3" t="str" cm="1">
        <f t="array" ref="D1481">_xlfn.IFS(
 ISNUMBER(SEARCH("WHISK",C1481)),"Whiskey",
 ISNUMBER(SEARCH("BOURBON",C1481)),"Whiskey",
 ISNUMBER(SEARCH("SCOTCH",C1481)),"Whiskey",
 ISNUMBER(SEARCH("RYE",C1481)),"Whiskey",
 ISNUMBER(SEARCH("VODKA",C1481)),"Vodka",
 ISNUMBER(SEARCH("TEQUILA",C1481)),"Tequila/Mezcal",
 ISNUMBER(SEARCH("MEZCAL",C1481)),"Tequila/Mezcal",
 ISNUMBER(SEARCH("RUM",C1481)),"Rum",
 ISNUMBER(SEARCH("BRAND",C1481)),"Brandy",
 ISNUMBER(SEARCH("COGNAC",C1481)),"Brandy",
 ISNUMBER(SEARCH("LIQUEUR",C1481)),"Liqueurs",
 ISNUMBER(SEARCH("CORDIAL",C1481)),"Liqueurs",
 ISNUMBER(SEARCH("SCHNAPP",C1481)),"Liqueurs",
 ISNUMBER(SEARCH("GIN",C1481)),"Gin",
 TRUE,"Other")</f>
        <v>Whiskey</v>
      </c>
      <c r="E1481" s="5">
        <v>8318</v>
      </c>
      <c r="F1481" s="5">
        <v>424489.92999999993</v>
      </c>
      <c r="G1481" s="5"/>
      <c r="H1481" s="5">
        <v>1316</v>
      </c>
    </row>
    <row r="1482" spans="1:8">
      <c r="A1482" s="5">
        <v>2022</v>
      </c>
      <c r="B1482" s="6">
        <v>44835</v>
      </c>
      <c r="C1482" s="5" t="s">
        <v>41</v>
      </c>
      <c r="D1482" s="3" t="str" cm="1">
        <f t="array" ref="D1482">_xlfn.IFS(
 ISNUMBER(SEARCH("WHISK",C1482)),"Whiskey",
 ISNUMBER(SEARCH("BOURBON",C1482)),"Whiskey",
 ISNUMBER(SEARCH("SCOTCH",C1482)),"Whiskey",
 ISNUMBER(SEARCH("RYE",C1482)),"Whiskey",
 ISNUMBER(SEARCH("VODKA",C1482)),"Vodka",
 ISNUMBER(SEARCH("TEQUILA",C1482)),"Tequila/Mezcal",
 ISNUMBER(SEARCH("MEZCAL",C1482)),"Tequila/Mezcal",
 ISNUMBER(SEARCH("RUM",C1482)),"Rum",
 ISNUMBER(SEARCH("BRAND",C1482)),"Brandy",
 ISNUMBER(SEARCH("COGNAC",C1482)),"Brandy",
 ISNUMBER(SEARCH("LIQUEUR",C1482)),"Liqueurs",
 ISNUMBER(SEARCH("CORDIAL",C1482)),"Liqueurs",
 ISNUMBER(SEARCH("SCHNAPP",C1482)),"Liqueurs",
 ISNUMBER(SEARCH("GIN",C1482)),"Gin",
 TRUE,"Other")</f>
        <v>Other</v>
      </c>
      <c r="E1482" s="5">
        <v>8674</v>
      </c>
      <c r="F1482" s="5">
        <v>120854.11999999994</v>
      </c>
      <c r="G1482" s="5"/>
      <c r="H1482" s="5">
        <v>274</v>
      </c>
    </row>
    <row r="1483" spans="1:8">
      <c r="A1483" s="5">
        <v>2022</v>
      </c>
      <c r="B1483" s="6">
        <v>44835</v>
      </c>
      <c r="C1483" s="5" t="s">
        <v>21</v>
      </c>
      <c r="D1483" s="3" t="str" cm="1">
        <f t="array" ref="D1483">_xlfn.IFS(
 ISNUMBER(SEARCH("WHISK",C1483)),"Whiskey",
 ISNUMBER(SEARCH("BOURBON",C1483)),"Whiskey",
 ISNUMBER(SEARCH("SCOTCH",C1483)),"Whiskey",
 ISNUMBER(SEARCH("RYE",C1483)),"Whiskey",
 ISNUMBER(SEARCH("VODKA",C1483)),"Vodka",
 ISNUMBER(SEARCH("TEQUILA",C1483)),"Tequila/Mezcal",
 ISNUMBER(SEARCH("MEZCAL",C1483)),"Tequila/Mezcal",
 ISNUMBER(SEARCH("RUM",C1483)),"Rum",
 ISNUMBER(SEARCH("BRAND",C1483)),"Brandy",
 ISNUMBER(SEARCH("COGNAC",C1483)),"Brandy",
 ISNUMBER(SEARCH("LIQUEUR",C1483)),"Liqueurs",
 ISNUMBER(SEARCH("CORDIAL",C1483)),"Liqueurs",
 ISNUMBER(SEARCH("SCHNAPP",C1483)),"Liqueurs",
 ISNUMBER(SEARCH("GIN",C1483)),"Gin",
 TRUE,"Other")</f>
        <v>Whiskey</v>
      </c>
      <c r="E1483" s="5">
        <v>1002</v>
      </c>
      <c r="F1483" s="5">
        <v>25921.059999999998</v>
      </c>
      <c r="G1483" s="5"/>
      <c r="H1483" s="5">
        <v>120</v>
      </c>
    </row>
    <row r="1484" spans="1:8">
      <c r="A1484" s="5">
        <v>2022</v>
      </c>
      <c r="B1484" s="6">
        <v>44866</v>
      </c>
      <c r="C1484" s="5" t="s">
        <v>50</v>
      </c>
      <c r="D1484" s="3" t="str" cm="1">
        <f t="array" ref="D1484">_xlfn.IFS(
 ISNUMBER(SEARCH("WHISK",C1484)),"Whiskey",
 ISNUMBER(SEARCH("BOURBON",C1484)),"Whiskey",
 ISNUMBER(SEARCH("SCOTCH",C1484)),"Whiskey",
 ISNUMBER(SEARCH("RYE",C1484)),"Whiskey",
 ISNUMBER(SEARCH("VODKA",C1484)),"Vodka",
 ISNUMBER(SEARCH("TEQUILA",C1484)),"Tequila/Mezcal",
 ISNUMBER(SEARCH("MEZCAL",C1484)),"Tequila/Mezcal",
 ISNUMBER(SEARCH("RUM",C1484)),"Rum",
 ISNUMBER(SEARCH("BRAND",C1484)),"Brandy",
 ISNUMBER(SEARCH("COGNAC",C1484)),"Brandy",
 ISNUMBER(SEARCH("LIQUEUR",C1484)),"Liqueurs",
 ISNUMBER(SEARCH("CORDIAL",C1484)),"Liqueurs",
 ISNUMBER(SEARCH("SCHNAPP",C1484)),"Liqueurs",
 ISNUMBER(SEARCH("GIN",C1484)),"Gin",
 TRUE,"Other")</f>
        <v>Tequila/Mezcal</v>
      </c>
      <c r="E1484" s="5">
        <v>73987</v>
      </c>
      <c r="F1484" s="5">
        <v>2237785.2199999476</v>
      </c>
      <c r="G1484" s="5"/>
      <c r="H1484" s="5">
        <v>9021</v>
      </c>
    </row>
    <row r="1485" spans="1:8">
      <c r="A1485" s="5">
        <v>2022</v>
      </c>
      <c r="B1485" s="6">
        <v>44866</v>
      </c>
      <c r="C1485" s="5" t="s">
        <v>8</v>
      </c>
      <c r="D1485" s="3" t="str" cm="1">
        <f t="array" ref="D1485">_xlfn.IFS(
 ISNUMBER(SEARCH("WHISK",C1485)),"Whiskey",
 ISNUMBER(SEARCH("BOURBON",C1485)),"Whiskey",
 ISNUMBER(SEARCH("SCOTCH",C1485)),"Whiskey",
 ISNUMBER(SEARCH("RYE",C1485)),"Whiskey",
 ISNUMBER(SEARCH("VODKA",C1485)),"Vodka",
 ISNUMBER(SEARCH("TEQUILA",C1485)),"Tequila/Mezcal",
 ISNUMBER(SEARCH("MEZCAL",C1485)),"Tequila/Mezcal",
 ISNUMBER(SEARCH("RUM",C1485)),"Rum",
 ISNUMBER(SEARCH("BRAND",C1485)),"Brandy",
 ISNUMBER(SEARCH("COGNAC",C1485)),"Brandy",
 ISNUMBER(SEARCH("LIQUEUR",C1485)),"Liqueurs",
 ISNUMBER(SEARCH("CORDIAL",C1485)),"Liqueurs",
 ISNUMBER(SEARCH("SCHNAPP",C1485)),"Liqueurs",
 ISNUMBER(SEARCH("GIN",C1485)),"Gin",
 TRUE,"Other")</f>
        <v>Brandy</v>
      </c>
      <c r="E1485" s="5">
        <v>67101</v>
      </c>
      <c r="F1485" s="5">
        <v>445791.50000000116</v>
      </c>
      <c r="G1485" s="5"/>
      <c r="H1485" s="5">
        <v>5903</v>
      </c>
    </row>
    <row r="1486" spans="1:8">
      <c r="A1486" s="5">
        <v>2022</v>
      </c>
      <c r="B1486" s="6">
        <v>44866</v>
      </c>
      <c r="C1486" s="5" t="s">
        <v>10</v>
      </c>
      <c r="D1486" s="3" t="str" cm="1">
        <f t="array" ref="D1486">_xlfn.IFS(
 ISNUMBER(SEARCH("WHISK",C1486)),"Whiskey",
 ISNUMBER(SEARCH("BOURBON",C1486)),"Whiskey",
 ISNUMBER(SEARCH("SCOTCH",C1486)),"Whiskey",
 ISNUMBER(SEARCH("RYE",C1486)),"Whiskey",
 ISNUMBER(SEARCH("VODKA",C1486)),"Vodka",
 ISNUMBER(SEARCH("TEQUILA",C1486)),"Tequila/Mezcal",
 ISNUMBER(SEARCH("MEZCAL",C1486)),"Tequila/Mezcal",
 ISNUMBER(SEARCH("RUM",C1486)),"Rum",
 ISNUMBER(SEARCH("BRAND",C1486)),"Brandy",
 ISNUMBER(SEARCH("COGNAC",C1486)),"Brandy",
 ISNUMBER(SEARCH("LIQUEUR",C1486)),"Liqueurs",
 ISNUMBER(SEARCH("CORDIAL",C1486)),"Liqueurs",
 ISNUMBER(SEARCH("SCHNAPP",C1486)),"Liqueurs",
 ISNUMBER(SEARCH("GIN",C1486)),"Gin",
 TRUE,"Other")</f>
        <v>Other</v>
      </c>
      <c r="E1486" s="5">
        <v>8754</v>
      </c>
      <c r="F1486" s="5">
        <v>184609.83999999997</v>
      </c>
      <c r="G1486" s="5"/>
      <c r="H1486" s="5">
        <v>1073</v>
      </c>
    </row>
    <row r="1487" spans="1:8">
      <c r="A1487" s="5">
        <v>2022</v>
      </c>
      <c r="B1487" s="6">
        <v>44866</v>
      </c>
      <c r="C1487" s="5" t="s">
        <v>12</v>
      </c>
      <c r="D1487" s="3" t="str" cm="1">
        <f t="array" ref="D1487">_xlfn.IFS(
 ISNUMBER(SEARCH("WHISK",C1487)),"Whiskey",
 ISNUMBER(SEARCH("BOURBON",C1487)),"Whiskey",
 ISNUMBER(SEARCH("SCOTCH",C1487)),"Whiskey",
 ISNUMBER(SEARCH("RYE",C1487)),"Whiskey",
 ISNUMBER(SEARCH("VODKA",C1487)),"Vodka",
 ISNUMBER(SEARCH("TEQUILA",C1487)),"Tequila/Mezcal",
 ISNUMBER(SEARCH("MEZCAL",C1487)),"Tequila/Mezcal",
 ISNUMBER(SEARCH("RUM",C1487)),"Rum",
 ISNUMBER(SEARCH("BRAND",C1487)),"Brandy",
 ISNUMBER(SEARCH("COGNAC",C1487)),"Brandy",
 ISNUMBER(SEARCH("LIQUEUR",C1487)),"Liqueurs",
 ISNUMBER(SEARCH("CORDIAL",C1487)),"Liqueurs",
 ISNUMBER(SEARCH("SCHNAPP",C1487)),"Liqueurs",
 ISNUMBER(SEARCH("GIN",C1487)),"Gin",
 TRUE,"Other")</f>
        <v>Vodka</v>
      </c>
      <c r="E1487" s="5">
        <v>74352</v>
      </c>
      <c r="F1487" s="5">
        <v>795971.61000002665</v>
      </c>
      <c r="G1487" s="5"/>
      <c r="H1487" s="5">
        <v>9456</v>
      </c>
    </row>
    <row r="1488" spans="1:8">
      <c r="A1488" s="5">
        <v>2022</v>
      </c>
      <c r="B1488" s="6">
        <v>44866</v>
      </c>
      <c r="C1488" s="5" t="s">
        <v>13</v>
      </c>
      <c r="D1488" s="3" t="str" cm="1">
        <f t="array" ref="D1488">_xlfn.IFS(
 ISNUMBER(SEARCH("WHISK",C1488)),"Whiskey",
 ISNUMBER(SEARCH("BOURBON",C1488)),"Whiskey",
 ISNUMBER(SEARCH("SCOTCH",C1488)),"Whiskey",
 ISNUMBER(SEARCH("RYE",C1488)),"Whiskey",
 ISNUMBER(SEARCH("VODKA",C1488)),"Vodka",
 ISNUMBER(SEARCH("TEQUILA",C1488)),"Tequila/Mezcal",
 ISNUMBER(SEARCH("MEZCAL",C1488)),"Tequila/Mezcal",
 ISNUMBER(SEARCH("RUM",C1488)),"Rum",
 ISNUMBER(SEARCH("BRAND",C1488)),"Brandy",
 ISNUMBER(SEARCH("COGNAC",C1488)),"Brandy",
 ISNUMBER(SEARCH("LIQUEUR",C1488)),"Liqueurs",
 ISNUMBER(SEARCH("CORDIAL",C1488)),"Liqueurs",
 ISNUMBER(SEARCH("SCHNAPP",C1488)),"Liqueurs",
 ISNUMBER(SEARCH("GIN",C1488)),"Gin",
 TRUE,"Other")</f>
        <v>Liqueurs</v>
      </c>
      <c r="E1488" s="5">
        <v>71080</v>
      </c>
      <c r="F1488" s="5">
        <v>556648.65000000421</v>
      </c>
      <c r="G1488" s="5"/>
      <c r="H1488" s="5">
        <v>7494</v>
      </c>
    </row>
    <row r="1489" spans="1:8">
      <c r="A1489" s="5">
        <v>2022</v>
      </c>
      <c r="B1489" s="6">
        <v>44866</v>
      </c>
      <c r="C1489" s="5" t="s">
        <v>15</v>
      </c>
      <c r="D1489" s="3" t="str" cm="1">
        <f t="array" ref="D1489">_xlfn.IFS(
 ISNUMBER(SEARCH("WHISK",C1489)),"Whiskey",
 ISNUMBER(SEARCH("BOURBON",C1489)),"Whiskey",
 ISNUMBER(SEARCH("SCOTCH",C1489)),"Whiskey",
 ISNUMBER(SEARCH("RYE",C1489)),"Whiskey",
 ISNUMBER(SEARCH("VODKA",C1489)),"Vodka",
 ISNUMBER(SEARCH("TEQUILA",C1489)),"Tequila/Mezcal",
 ISNUMBER(SEARCH("MEZCAL",C1489)),"Tequila/Mezcal",
 ISNUMBER(SEARCH("RUM",C1489)),"Rum",
 ISNUMBER(SEARCH("BRAND",C1489)),"Brandy",
 ISNUMBER(SEARCH("COGNAC",C1489)),"Brandy",
 ISNUMBER(SEARCH("LIQUEUR",C1489)),"Liqueurs",
 ISNUMBER(SEARCH("CORDIAL",C1489)),"Liqueurs",
 ISNUMBER(SEARCH("SCHNAPP",C1489)),"Liqueurs",
 ISNUMBER(SEARCH("GIN",C1489)),"Gin",
 TRUE,"Other")</f>
        <v>Vodka</v>
      </c>
      <c r="E1489" s="5">
        <v>530329</v>
      </c>
      <c r="F1489" s="5">
        <v>5596745.9399993103</v>
      </c>
      <c r="G1489" s="5"/>
      <c r="H1489" s="5">
        <v>34274</v>
      </c>
    </row>
    <row r="1490" spans="1:8">
      <c r="A1490" s="5">
        <v>2022</v>
      </c>
      <c r="B1490" s="6">
        <v>44866</v>
      </c>
      <c r="C1490" s="5" t="s">
        <v>16</v>
      </c>
      <c r="D1490" s="3" t="str" cm="1">
        <f t="array" ref="D1490">_xlfn.IFS(
 ISNUMBER(SEARCH("WHISK",C1490)),"Whiskey",
 ISNUMBER(SEARCH("BOURBON",C1490)),"Whiskey",
 ISNUMBER(SEARCH("SCOTCH",C1490)),"Whiskey",
 ISNUMBER(SEARCH("RYE",C1490)),"Whiskey",
 ISNUMBER(SEARCH("VODKA",C1490)),"Vodka",
 ISNUMBER(SEARCH("TEQUILA",C1490)),"Tequila/Mezcal",
 ISNUMBER(SEARCH("MEZCAL",C1490)),"Tequila/Mezcal",
 ISNUMBER(SEARCH("RUM",C1490)),"Rum",
 ISNUMBER(SEARCH("BRAND",C1490)),"Brandy",
 ISNUMBER(SEARCH("COGNAC",C1490)),"Brandy",
 ISNUMBER(SEARCH("LIQUEUR",C1490)),"Liqueurs",
 ISNUMBER(SEARCH("CORDIAL",C1490)),"Liqueurs",
 ISNUMBER(SEARCH("SCHNAPP",C1490)),"Liqueurs",
 ISNUMBER(SEARCH("GIN",C1490)),"Gin",
 TRUE,"Other")</f>
        <v>Whiskey</v>
      </c>
      <c r="E1490" s="5">
        <v>71864</v>
      </c>
      <c r="F1490" s="5">
        <v>906270.86000000348</v>
      </c>
      <c r="G1490" s="5"/>
      <c r="H1490" s="5">
        <v>7875</v>
      </c>
    </row>
    <row r="1491" spans="1:8">
      <c r="A1491" s="5">
        <v>2022</v>
      </c>
      <c r="B1491" s="6">
        <v>44866</v>
      </c>
      <c r="C1491" s="5" t="s">
        <v>18</v>
      </c>
      <c r="D1491" s="3" t="str" cm="1">
        <f t="array" ref="D1491">_xlfn.IFS(
 ISNUMBER(SEARCH("WHISK",C1491)),"Whiskey",
 ISNUMBER(SEARCH("BOURBON",C1491)),"Whiskey",
 ISNUMBER(SEARCH("SCOTCH",C1491)),"Whiskey",
 ISNUMBER(SEARCH("RYE",C1491)),"Whiskey",
 ISNUMBER(SEARCH("VODKA",C1491)),"Vodka",
 ISNUMBER(SEARCH("TEQUILA",C1491)),"Tequila/Mezcal",
 ISNUMBER(SEARCH("MEZCAL",C1491)),"Tequila/Mezcal",
 ISNUMBER(SEARCH("RUM",C1491)),"Rum",
 ISNUMBER(SEARCH("BRAND",C1491)),"Brandy",
 ISNUMBER(SEARCH("COGNAC",C1491)),"Brandy",
 ISNUMBER(SEARCH("LIQUEUR",C1491)),"Liqueurs",
 ISNUMBER(SEARCH("CORDIAL",C1491)),"Liqueurs",
 ISNUMBER(SEARCH("SCHNAPP",C1491)),"Liqueurs",
 ISNUMBER(SEARCH("GIN",C1491)),"Gin",
 TRUE,"Other")</f>
        <v>Whiskey</v>
      </c>
      <c r="E1491" s="5">
        <v>233268</v>
      </c>
      <c r="F1491" s="5">
        <v>3706616.5299999956</v>
      </c>
      <c r="G1491" s="5"/>
      <c r="H1491" s="5">
        <v>21340</v>
      </c>
    </row>
    <row r="1492" spans="1:8">
      <c r="A1492" s="5">
        <v>2022</v>
      </c>
      <c r="B1492" s="6">
        <v>44866</v>
      </c>
      <c r="C1492" s="5" t="s">
        <v>19</v>
      </c>
      <c r="D1492" s="3" t="str" cm="1">
        <f t="array" ref="D1492">_xlfn.IFS(
 ISNUMBER(SEARCH("WHISK",C1492)),"Whiskey",
 ISNUMBER(SEARCH("BOURBON",C1492)),"Whiskey",
 ISNUMBER(SEARCH("SCOTCH",C1492)),"Whiskey",
 ISNUMBER(SEARCH("RYE",C1492)),"Whiskey",
 ISNUMBER(SEARCH("VODKA",C1492)),"Vodka",
 ISNUMBER(SEARCH("TEQUILA",C1492)),"Tequila/Mezcal",
 ISNUMBER(SEARCH("MEZCAL",C1492)),"Tequila/Mezcal",
 ISNUMBER(SEARCH("RUM",C1492)),"Rum",
 ISNUMBER(SEARCH("BRAND",C1492)),"Brandy",
 ISNUMBER(SEARCH("COGNAC",C1492)),"Brandy",
 ISNUMBER(SEARCH("LIQUEUR",C1492)),"Liqueurs",
 ISNUMBER(SEARCH("CORDIAL",C1492)),"Liqueurs",
 ISNUMBER(SEARCH("SCHNAPP",C1492)),"Liqueurs",
 ISNUMBER(SEARCH("GIN",C1492)),"Gin",
 TRUE,"Other")</f>
        <v>Other</v>
      </c>
      <c r="E1492" s="5">
        <v>35598</v>
      </c>
      <c r="F1492" s="5">
        <v>445934.5699999822</v>
      </c>
      <c r="G1492" s="5"/>
      <c r="H1492" s="5">
        <v>5585</v>
      </c>
    </row>
    <row r="1493" spans="1:8">
      <c r="A1493" s="5">
        <v>2022</v>
      </c>
      <c r="B1493" s="6">
        <v>44866</v>
      </c>
      <c r="C1493" s="5" t="s">
        <v>24</v>
      </c>
      <c r="D1493" s="3" t="str" cm="1">
        <f t="array" ref="D1493">_xlfn.IFS(
 ISNUMBER(SEARCH("WHISK",C1493)),"Whiskey",
 ISNUMBER(SEARCH("BOURBON",C1493)),"Whiskey",
 ISNUMBER(SEARCH("SCOTCH",C1493)),"Whiskey",
 ISNUMBER(SEARCH("RYE",C1493)),"Whiskey",
 ISNUMBER(SEARCH("VODKA",C1493)),"Vodka",
 ISNUMBER(SEARCH("TEQUILA",C1493)),"Tequila/Mezcal",
 ISNUMBER(SEARCH("MEZCAL",C1493)),"Tequila/Mezcal",
 ISNUMBER(SEARCH("RUM",C1493)),"Rum",
 ISNUMBER(SEARCH("BRAND",C1493)),"Brandy",
 ISNUMBER(SEARCH("COGNAC",C1493)),"Brandy",
 ISNUMBER(SEARCH("LIQUEUR",C1493)),"Liqueurs",
 ISNUMBER(SEARCH("CORDIAL",C1493)),"Liqueurs",
 ISNUMBER(SEARCH("SCHNAPP",C1493)),"Liqueurs",
 ISNUMBER(SEARCH("GIN",C1493)),"Gin",
 TRUE,"Other")</f>
        <v>Rum</v>
      </c>
      <c r="E1493" s="5">
        <v>41213</v>
      </c>
      <c r="F1493" s="5">
        <v>623387.52999999723</v>
      </c>
      <c r="G1493" s="5"/>
      <c r="H1493" s="5">
        <v>4373</v>
      </c>
    </row>
    <row r="1494" spans="1:8">
      <c r="A1494" s="5">
        <v>2022</v>
      </c>
      <c r="B1494" s="6">
        <v>44866</v>
      </c>
      <c r="C1494" s="5" t="s">
        <v>25</v>
      </c>
      <c r="D1494" s="3" t="str" cm="1">
        <f t="array" ref="D1494">_xlfn.IFS(
 ISNUMBER(SEARCH("WHISK",C1494)),"Whiskey",
 ISNUMBER(SEARCH("BOURBON",C1494)),"Whiskey",
 ISNUMBER(SEARCH("SCOTCH",C1494)),"Whiskey",
 ISNUMBER(SEARCH("RYE",C1494)),"Whiskey",
 ISNUMBER(SEARCH("VODKA",C1494)),"Vodka",
 ISNUMBER(SEARCH("TEQUILA",C1494)),"Tequila/Mezcal",
 ISNUMBER(SEARCH("MEZCAL",C1494)),"Tequila/Mezcal",
 ISNUMBER(SEARCH("RUM",C1494)),"Rum",
 ISNUMBER(SEARCH("BRAND",C1494)),"Brandy",
 ISNUMBER(SEARCH("COGNAC",C1494)),"Brandy",
 ISNUMBER(SEARCH("LIQUEUR",C1494)),"Liqueurs",
 ISNUMBER(SEARCH("CORDIAL",C1494)),"Liqueurs",
 ISNUMBER(SEARCH("SCHNAPP",C1494)),"Liqueurs",
 ISNUMBER(SEARCH("GIN",C1494)),"Gin",
 TRUE,"Other")</f>
        <v>Rum</v>
      </c>
      <c r="E1494" s="5">
        <v>6993</v>
      </c>
      <c r="F1494" s="5">
        <v>98834.429999999644</v>
      </c>
      <c r="G1494" s="5"/>
      <c r="H1494" s="5">
        <v>1037</v>
      </c>
    </row>
    <row r="1495" spans="1:8">
      <c r="A1495" s="5">
        <v>2022</v>
      </c>
      <c r="B1495" s="6">
        <v>44866</v>
      </c>
      <c r="C1495" s="5" t="s">
        <v>29</v>
      </c>
      <c r="D1495" s="3" t="str" cm="1">
        <f t="array" ref="D1495">_xlfn.IFS(
 ISNUMBER(SEARCH("WHISK",C1495)),"Whiskey",
 ISNUMBER(SEARCH("BOURBON",C1495)),"Whiskey",
 ISNUMBER(SEARCH("SCOTCH",C1495)),"Whiskey",
 ISNUMBER(SEARCH("RYE",C1495)),"Whiskey",
 ISNUMBER(SEARCH("VODKA",C1495)),"Vodka",
 ISNUMBER(SEARCH("TEQUILA",C1495)),"Tequila/Mezcal",
 ISNUMBER(SEARCH("MEZCAL",C1495)),"Tequila/Mezcal",
 ISNUMBER(SEARCH("RUM",C1495)),"Rum",
 ISNUMBER(SEARCH("BRAND",C1495)),"Brandy",
 ISNUMBER(SEARCH("COGNAC",C1495)),"Brandy",
 ISNUMBER(SEARCH("LIQUEUR",C1495)),"Liqueurs",
 ISNUMBER(SEARCH("CORDIAL",C1495)),"Liqueurs",
 ISNUMBER(SEARCH("SCHNAPP",C1495)),"Liqueurs",
 ISNUMBER(SEARCH("GIN",C1495)),"Gin",
 TRUE,"Other")</f>
        <v>Gin</v>
      </c>
      <c r="E1495" s="5">
        <v>17480</v>
      </c>
      <c r="F1495" s="5">
        <v>465787.92999999982</v>
      </c>
      <c r="G1495" s="5"/>
      <c r="H1495" s="5">
        <v>1957</v>
      </c>
    </row>
    <row r="1496" spans="1:8">
      <c r="A1496" s="5">
        <v>2022</v>
      </c>
      <c r="B1496" s="6">
        <v>44866</v>
      </c>
      <c r="C1496" s="5" t="s">
        <v>31</v>
      </c>
      <c r="D1496" s="3" t="str" cm="1">
        <f t="array" ref="D1496">_xlfn.IFS(
 ISNUMBER(SEARCH("WHISK",C1496)),"Whiskey",
 ISNUMBER(SEARCH("BOURBON",C1496)),"Whiskey",
 ISNUMBER(SEARCH("SCOTCH",C1496)),"Whiskey",
 ISNUMBER(SEARCH("RYE",C1496)),"Whiskey",
 ISNUMBER(SEARCH("VODKA",C1496)),"Vodka",
 ISNUMBER(SEARCH("TEQUILA",C1496)),"Tequila/Mezcal",
 ISNUMBER(SEARCH("MEZCAL",C1496)),"Tequila/Mezcal",
 ISNUMBER(SEARCH("RUM",C1496)),"Rum",
 ISNUMBER(SEARCH("BRAND",C1496)),"Brandy",
 ISNUMBER(SEARCH("COGNAC",C1496)),"Brandy",
 ISNUMBER(SEARCH("LIQUEUR",C1496)),"Liqueurs",
 ISNUMBER(SEARCH("CORDIAL",C1496)),"Liqueurs",
 ISNUMBER(SEARCH("SCHNAPP",C1496)),"Liqueurs",
 ISNUMBER(SEARCH("GIN",C1496)),"Gin",
 TRUE,"Other")</f>
        <v>Liqueurs</v>
      </c>
      <c r="E1496" s="5">
        <v>29882</v>
      </c>
      <c r="F1496" s="5">
        <v>511835.74999999994</v>
      </c>
      <c r="G1496" s="5"/>
      <c r="H1496" s="5">
        <v>3360</v>
      </c>
    </row>
    <row r="1497" spans="1:8">
      <c r="A1497" s="5">
        <v>2022</v>
      </c>
      <c r="B1497" s="6">
        <v>44866</v>
      </c>
      <c r="C1497" s="5" t="s">
        <v>32</v>
      </c>
      <c r="D1497" s="3" t="str" cm="1">
        <f t="array" ref="D1497">_xlfn.IFS(
 ISNUMBER(SEARCH("WHISK",C1497)),"Whiskey",
 ISNUMBER(SEARCH("BOURBON",C1497)),"Whiskey",
 ISNUMBER(SEARCH("SCOTCH",C1497)),"Whiskey",
 ISNUMBER(SEARCH("RYE",C1497)),"Whiskey",
 ISNUMBER(SEARCH("VODKA",C1497)),"Vodka",
 ISNUMBER(SEARCH("TEQUILA",C1497)),"Tequila/Mezcal",
 ISNUMBER(SEARCH("MEZCAL",C1497)),"Tequila/Mezcal",
 ISNUMBER(SEARCH("RUM",C1497)),"Rum",
 ISNUMBER(SEARCH("BRAND",C1497)),"Brandy",
 ISNUMBER(SEARCH("COGNAC",C1497)),"Brandy",
 ISNUMBER(SEARCH("LIQUEUR",C1497)),"Liqueurs",
 ISNUMBER(SEARCH("CORDIAL",C1497)),"Liqueurs",
 ISNUMBER(SEARCH("SCHNAPP",C1497)),"Liqueurs",
 ISNUMBER(SEARCH("GIN",C1497)),"Gin",
 TRUE,"Other")</f>
        <v>Vodka</v>
      </c>
      <c r="E1497" s="5">
        <v>56075</v>
      </c>
      <c r="F1497" s="5">
        <v>968547.42999998189</v>
      </c>
      <c r="G1497" s="5"/>
      <c r="H1497" s="5">
        <v>5113</v>
      </c>
    </row>
    <row r="1498" spans="1:8">
      <c r="A1498" s="5">
        <v>2022</v>
      </c>
      <c r="B1498" s="6">
        <v>44866</v>
      </c>
      <c r="C1498" s="5" t="s">
        <v>33</v>
      </c>
      <c r="D1498" s="3" t="str" cm="1">
        <f t="array" ref="D1498">_xlfn.IFS(
 ISNUMBER(SEARCH("WHISK",C1498)),"Whiskey",
 ISNUMBER(SEARCH("BOURBON",C1498)),"Whiskey",
 ISNUMBER(SEARCH("SCOTCH",C1498)),"Whiskey",
 ISNUMBER(SEARCH("RYE",C1498)),"Whiskey",
 ISNUMBER(SEARCH("VODKA",C1498)),"Vodka",
 ISNUMBER(SEARCH("TEQUILA",C1498)),"Tequila/Mezcal",
 ISNUMBER(SEARCH("MEZCAL",C1498)),"Tequila/Mezcal",
 ISNUMBER(SEARCH("RUM",C1498)),"Rum",
 ISNUMBER(SEARCH("BRAND",C1498)),"Brandy",
 ISNUMBER(SEARCH("COGNAC",C1498)),"Brandy",
 ISNUMBER(SEARCH("LIQUEUR",C1498)),"Liqueurs",
 ISNUMBER(SEARCH("CORDIAL",C1498)),"Liqueurs",
 ISNUMBER(SEARCH("SCHNAPP",C1498)),"Liqueurs",
 ISNUMBER(SEARCH("GIN",C1498)),"Gin",
 TRUE,"Other")</f>
        <v>Whiskey</v>
      </c>
      <c r="E1498" s="5">
        <v>27726</v>
      </c>
      <c r="F1498" s="5">
        <v>732702.6299999929</v>
      </c>
      <c r="G1498" s="5"/>
      <c r="H1498" s="5">
        <v>2790</v>
      </c>
    </row>
    <row r="1499" spans="1:8">
      <c r="A1499" s="5">
        <v>2022</v>
      </c>
      <c r="B1499" s="6">
        <v>44866</v>
      </c>
      <c r="C1499" s="5" t="s">
        <v>35</v>
      </c>
      <c r="D1499" s="3" t="str" cm="1">
        <f t="array" ref="D1499">_xlfn.IFS(
 ISNUMBER(SEARCH("WHISK",C1499)),"Whiskey",
 ISNUMBER(SEARCH("BOURBON",C1499)),"Whiskey",
 ISNUMBER(SEARCH("SCOTCH",C1499)),"Whiskey",
 ISNUMBER(SEARCH("RYE",C1499)),"Whiskey",
 ISNUMBER(SEARCH("VODKA",C1499)),"Vodka",
 ISNUMBER(SEARCH("TEQUILA",C1499)),"Tequila/Mezcal",
 ISNUMBER(SEARCH("MEZCAL",C1499)),"Tequila/Mezcal",
 ISNUMBER(SEARCH("RUM",C1499)),"Rum",
 ISNUMBER(SEARCH("BRAND",C1499)),"Brandy",
 ISNUMBER(SEARCH("COGNAC",C1499)),"Brandy",
 ISNUMBER(SEARCH("LIQUEUR",C1499)),"Liqueurs",
 ISNUMBER(SEARCH("CORDIAL",C1499)),"Liqueurs",
 ISNUMBER(SEARCH("SCHNAPP",C1499)),"Liqueurs",
 ISNUMBER(SEARCH("GIN",C1499)),"Gin",
 TRUE,"Other")</f>
        <v>Tequila/Mezcal</v>
      </c>
      <c r="E1499" s="5">
        <v>59225</v>
      </c>
      <c r="F1499" s="5">
        <v>772282.20000000438</v>
      </c>
      <c r="G1499" s="5"/>
      <c r="H1499" s="5">
        <v>4599</v>
      </c>
    </row>
    <row r="1500" spans="1:8">
      <c r="A1500" s="5">
        <v>2022</v>
      </c>
      <c r="B1500" s="6">
        <v>44866</v>
      </c>
      <c r="C1500" s="5" t="s">
        <v>36</v>
      </c>
      <c r="D1500" s="3" t="str" cm="1">
        <f t="array" ref="D1500">_xlfn.IFS(
 ISNUMBER(SEARCH("WHISK",C1500)),"Whiskey",
 ISNUMBER(SEARCH("BOURBON",C1500)),"Whiskey",
 ISNUMBER(SEARCH("SCOTCH",C1500)),"Whiskey",
 ISNUMBER(SEARCH("RYE",C1500)),"Whiskey",
 ISNUMBER(SEARCH("VODKA",C1500)),"Vodka",
 ISNUMBER(SEARCH("TEQUILA",C1500)),"Tequila/Mezcal",
 ISNUMBER(SEARCH("MEZCAL",C1500)),"Tequila/Mezcal",
 ISNUMBER(SEARCH("RUM",C1500)),"Rum",
 ISNUMBER(SEARCH("BRAND",C1500)),"Brandy",
 ISNUMBER(SEARCH("COGNAC",C1500)),"Brandy",
 ISNUMBER(SEARCH("LIQUEUR",C1500)),"Liqueurs",
 ISNUMBER(SEARCH("CORDIAL",C1500)),"Liqueurs",
 ISNUMBER(SEARCH("SCHNAPP",C1500)),"Liqueurs",
 ISNUMBER(SEARCH("GIN",C1500)),"Gin",
 TRUE,"Other")</f>
        <v>Other</v>
      </c>
      <c r="E1500" s="5">
        <v>5509</v>
      </c>
      <c r="F1500" s="5">
        <v>79963.589999999967</v>
      </c>
      <c r="G1500" s="5"/>
      <c r="H1500" s="5">
        <v>637</v>
      </c>
    </row>
    <row r="1501" spans="1:8">
      <c r="A1501" s="5">
        <v>2022</v>
      </c>
      <c r="B1501" s="6">
        <v>44866</v>
      </c>
      <c r="C1501" s="5" t="s">
        <v>37</v>
      </c>
      <c r="D1501" s="3" t="str" cm="1">
        <f t="array" ref="D1501">_xlfn.IFS(
 ISNUMBER(SEARCH("WHISK",C1501)),"Whiskey",
 ISNUMBER(SEARCH("BOURBON",C1501)),"Whiskey",
 ISNUMBER(SEARCH("SCOTCH",C1501)),"Whiskey",
 ISNUMBER(SEARCH("RYE",C1501)),"Whiskey",
 ISNUMBER(SEARCH("VODKA",C1501)),"Vodka",
 ISNUMBER(SEARCH("TEQUILA",C1501)),"Tequila/Mezcal",
 ISNUMBER(SEARCH("MEZCAL",C1501)),"Tequila/Mezcal",
 ISNUMBER(SEARCH("RUM",C1501)),"Rum",
 ISNUMBER(SEARCH("BRAND",C1501)),"Brandy",
 ISNUMBER(SEARCH("COGNAC",C1501)),"Brandy",
 ISNUMBER(SEARCH("LIQUEUR",C1501)),"Liqueurs",
 ISNUMBER(SEARCH("CORDIAL",C1501)),"Liqueurs",
 ISNUMBER(SEARCH("SCHNAPP",C1501)),"Liqueurs",
 ISNUMBER(SEARCH("GIN",C1501)),"Gin",
 TRUE,"Other")</f>
        <v>Other</v>
      </c>
      <c r="E1501" s="5">
        <v>18174</v>
      </c>
      <c r="F1501" s="5">
        <v>305346.5000000018</v>
      </c>
      <c r="G1501" s="5"/>
      <c r="H1501" s="5">
        <v>3265</v>
      </c>
    </row>
    <row r="1502" spans="1:8">
      <c r="A1502" s="5">
        <v>2022</v>
      </c>
      <c r="B1502" s="6">
        <v>44866</v>
      </c>
      <c r="C1502" s="5" t="s">
        <v>38</v>
      </c>
      <c r="D1502" s="3" t="str" cm="1">
        <f t="array" ref="D1502">_xlfn.IFS(
 ISNUMBER(SEARCH("WHISK",C1502)),"Whiskey",
 ISNUMBER(SEARCH("BOURBON",C1502)),"Whiskey",
 ISNUMBER(SEARCH("SCOTCH",C1502)),"Whiskey",
 ISNUMBER(SEARCH("RYE",C1502)),"Whiskey",
 ISNUMBER(SEARCH("VODKA",C1502)),"Vodka",
 ISNUMBER(SEARCH("TEQUILA",C1502)),"Tequila/Mezcal",
 ISNUMBER(SEARCH("MEZCAL",C1502)),"Tequila/Mezcal",
 ISNUMBER(SEARCH("RUM",C1502)),"Rum",
 ISNUMBER(SEARCH("BRAND",C1502)),"Brandy",
 ISNUMBER(SEARCH("COGNAC",C1502)),"Brandy",
 ISNUMBER(SEARCH("LIQUEUR",C1502)),"Liqueurs",
 ISNUMBER(SEARCH("CORDIAL",C1502)),"Liqueurs",
 ISNUMBER(SEARCH("SCHNAPP",C1502)),"Liqueurs",
 ISNUMBER(SEARCH("GIN",C1502)),"Gin",
 TRUE,"Other")</f>
        <v>Whiskey</v>
      </c>
      <c r="E1502" s="5">
        <v>16873</v>
      </c>
      <c r="F1502" s="5">
        <v>503827.40999999858</v>
      </c>
      <c r="G1502" s="5"/>
      <c r="H1502" s="5">
        <v>2851</v>
      </c>
    </row>
    <row r="1503" spans="1:8">
      <c r="A1503" s="5">
        <v>2022</v>
      </c>
      <c r="B1503" s="6">
        <v>44866</v>
      </c>
      <c r="C1503" s="5" t="s">
        <v>42</v>
      </c>
      <c r="D1503" s="3" t="str" cm="1">
        <f t="array" ref="D1503">_xlfn.IFS(
 ISNUMBER(SEARCH("WHISK",C1503)),"Whiskey",
 ISNUMBER(SEARCH("BOURBON",C1503)),"Whiskey",
 ISNUMBER(SEARCH("SCOTCH",C1503)),"Whiskey",
 ISNUMBER(SEARCH("RYE",C1503)),"Whiskey",
 ISNUMBER(SEARCH("VODKA",C1503)),"Vodka",
 ISNUMBER(SEARCH("TEQUILA",C1503)),"Tequila/Mezcal",
 ISNUMBER(SEARCH("MEZCAL",C1503)),"Tequila/Mezcal",
 ISNUMBER(SEARCH("RUM",C1503)),"Rum",
 ISNUMBER(SEARCH("BRAND",C1503)),"Brandy",
 ISNUMBER(SEARCH("COGNAC",C1503)),"Brandy",
 ISNUMBER(SEARCH("LIQUEUR",C1503)),"Liqueurs",
 ISNUMBER(SEARCH("CORDIAL",C1503)),"Liqueurs",
 ISNUMBER(SEARCH("SCHNAPP",C1503)),"Liqueurs",
 ISNUMBER(SEARCH("GIN",C1503)),"Gin",
 TRUE,"Other")</f>
        <v>Rum</v>
      </c>
      <c r="E1503" s="5">
        <v>154234</v>
      </c>
      <c r="F1503" s="5">
        <v>2735294.0699999528</v>
      </c>
      <c r="G1503" s="5"/>
      <c r="H1503" s="5">
        <v>9610</v>
      </c>
    </row>
    <row r="1504" spans="1:8">
      <c r="A1504" s="5">
        <v>2022</v>
      </c>
      <c r="B1504" s="6">
        <v>44866</v>
      </c>
      <c r="C1504" s="5" t="s">
        <v>43</v>
      </c>
      <c r="D1504" s="3" t="str" cm="1">
        <f t="array" ref="D1504">_xlfn.IFS(
 ISNUMBER(SEARCH("WHISK",C1504)),"Whiskey",
 ISNUMBER(SEARCH("BOURBON",C1504)),"Whiskey",
 ISNUMBER(SEARCH("SCOTCH",C1504)),"Whiskey",
 ISNUMBER(SEARCH("RYE",C1504)),"Whiskey",
 ISNUMBER(SEARCH("VODKA",C1504)),"Vodka",
 ISNUMBER(SEARCH("TEQUILA",C1504)),"Tequila/Mezcal",
 ISNUMBER(SEARCH("MEZCAL",C1504)),"Tequila/Mezcal",
 ISNUMBER(SEARCH("RUM",C1504)),"Rum",
 ISNUMBER(SEARCH("BRAND",C1504)),"Brandy",
 ISNUMBER(SEARCH("COGNAC",C1504)),"Brandy",
 ISNUMBER(SEARCH("LIQUEUR",C1504)),"Liqueurs",
 ISNUMBER(SEARCH("CORDIAL",C1504)),"Liqueurs",
 ISNUMBER(SEARCH("SCHNAPP",C1504)),"Liqueurs",
 ISNUMBER(SEARCH("GIN",C1504)),"Gin",
 TRUE,"Other")</f>
        <v>Whiskey</v>
      </c>
      <c r="E1504" s="5">
        <v>129855</v>
      </c>
      <c r="F1504" s="5">
        <v>2785303.7199999965</v>
      </c>
      <c r="G1504" s="5"/>
      <c r="H1504" s="5">
        <v>16422</v>
      </c>
    </row>
    <row r="1505" spans="1:8">
      <c r="A1505" s="5">
        <v>2022</v>
      </c>
      <c r="B1505" s="6">
        <v>44866</v>
      </c>
      <c r="C1505" s="5" t="s">
        <v>45</v>
      </c>
      <c r="D1505" s="3" t="str" cm="1">
        <f t="array" ref="D1505">_xlfn.IFS(
 ISNUMBER(SEARCH("WHISK",C1505)),"Whiskey",
 ISNUMBER(SEARCH("BOURBON",C1505)),"Whiskey",
 ISNUMBER(SEARCH("SCOTCH",C1505)),"Whiskey",
 ISNUMBER(SEARCH("RYE",C1505)),"Whiskey",
 ISNUMBER(SEARCH("VODKA",C1505)),"Vodka",
 ISNUMBER(SEARCH("TEQUILA",C1505)),"Tequila/Mezcal",
 ISNUMBER(SEARCH("MEZCAL",C1505)),"Tequila/Mezcal",
 ISNUMBER(SEARCH("RUM",C1505)),"Rum",
 ISNUMBER(SEARCH("BRAND",C1505)),"Brandy",
 ISNUMBER(SEARCH("COGNAC",C1505)),"Brandy",
 ISNUMBER(SEARCH("LIQUEUR",C1505)),"Liqueurs",
 ISNUMBER(SEARCH("CORDIAL",C1505)),"Liqueurs",
 ISNUMBER(SEARCH("SCHNAPP",C1505)),"Liqueurs",
 ISNUMBER(SEARCH("GIN",C1505)),"Gin",
 TRUE,"Other")</f>
        <v>Other</v>
      </c>
      <c r="E1505" s="5">
        <v>75721</v>
      </c>
      <c r="F1505" s="5">
        <v>2051624.5899999295</v>
      </c>
      <c r="G1505" s="5"/>
      <c r="H1505" s="5">
        <v>9540</v>
      </c>
    </row>
    <row r="1506" spans="1:8">
      <c r="A1506" s="5">
        <v>2022</v>
      </c>
      <c r="B1506" s="6">
        <v>44866</v>
      </c>
      <c r="C1506" s="5" t="s">
        <v>46</v>
      </c>
      <c r="D1506" s="3" t="str" cm="1">
        <f t="array" ref="D1506">_xlfn.IFS(
 ISNUMBER(SEARCH("WHISK",C1506)),"Whiskey",
 ISNUMBER(SEARCH("BOURBON",C1506)),"Whiskey",
 ISNUMBER(SEARCH("SCOTCH",C1506)),"Whiskey",
 ISNUMBER(SEARCH("RYE",C1506)),"Whiskey",
 ISNUMBER(SEARCH("VODKA",C1506)),"Vodka",
 ISNUMBER(SEARCH("TEQUILA",C1506)),"Tequila/Mezcal",
 ISNUMBER(SEARCH("MEZCAL",C1506)),"Tequila/Mezcal",
 ISNUMBER(SEARCH("RUM",C1506)),"Rum",
 ISNUMBER(SEARCH("BRAND",C1506)),"Brandy",
 ISNUMBER(SEARCH("COGNAC",C1506)),"Brandy",
 ISNUMBER(SEARCH("LIQUEUR",C1506)),"Liqueurs",
 ISNUMBER(SEARCH("CORDIAL",C1506)),"Liqueurs",
 ISNUMBER(SEARCH("SCHNAPP",C1506)),"Liqueurs",
 ISNUMBER(SEARCH("GIN",C1506)),"Gin",
 TRUE,"Other")</f>
        <v>Whiskey</v>
      </c>
      <c r="E1506" s="5">
        <v>60486</v>
      </c>
      <c r="F1506" s="5">
        <v>1394345.5299999635</v>
      </c>
      <c r="G1506" s="5"/>
      <c r="H1506" s="5">
        <v>6599</v>
      </c>
    </row>
    <row r="1507" spans="1:8">
      <c r="A1507" s="5">
        <v>2022</v>
      </c>
      <c r="B1507" s="6">
        <v>44866</v>
      </c>
      <c r="C1507" s="5" t="s">
        <v>48</v>
      </c>
      <c r="D1507" s="3" t="str" cm="1">
        <f t="array" ref="D1507">_xlfn.IFS(
 ISNUMBER(SEARCH("WHISK",C1507)),"Whiskey",
 ISNUMBER(SEARCH("BOURBON",C1507)),"Whiskey",
 ISNUMBER(SEARCH("SCOTCH",C1507)),"Whiskey",
 ISNUMBER(SEARCH("RYE",C1507)),"Whiskey",
 ISNUMBER(SEARCH("VODKA",C1507)),"Vodka",
 ISNUMBER(SEARCH("TEQUILA",C1507)),"Tequila/Mezcal",
 ISNUMBER(SEARCH("MEZCAL",C1507)),"Tequila/Mezcal",
 ISNUMBER(SEARCH("RUM",C1507)),"Rum",
 ISNUMBER(SEARCH("BRAND",C1507)),"Brandy",
 ISNUMBER(SEARCH("COGNAC",C1507)),"Brandy",
 ISNUMBER(SEARCH("LIQUEUR",C1507)),"Liqueurs",
 ISNUMBER(SEARCH("CORDIAL",C1507)),"Liqueurs",
 ISNUMBER(SEARCH("SCHNAPP",C1507)),"Liqueurs",
 ISNUMBER(SEARCH("GIN",C1507)),"Gin",
 TRUE,"Other")</f>
        <v>Whiskey</v>
      </c>
      <c r="E1507" s="5">
        <v>360310</v>
      </c>
      <c r="F1507" s="5">
        <v>2186455.1999999615</v>
      </c>
      <c r="G1507" s="5"/>
      <c r="H1507" s="5">
        <v>14372</v>
      </c>
    </row>
    <row r="1508" spans="1:8">
      <c r="A1508" s="5">
        <v>2022</v>
      </c>
      <c r="B1508" s="6">
        <v>44866</v>
      </c>
      <c r="C1508" s="5" t="s">
        <v>49</v>
      </c>
      <c r="D1508" s="3" t="str" cm="1">
        <f t="array" ref="D1508">_xlfn.IFS(
 ISNUMBER(SEARCH("WHISK",C1508)),"Whiskey",
 ISNUMBER(SEARCH("BOURBON",C1508)),"Whiskey",
 ISNUMBER(SEARCH("SCOTCH",C1508)),"Whiskey",
 ISNUMBER(SEARCH("RYE",C1508)),"Whiskey",
 ISNUMBER(SEARCH("VODKA",C1508)),"Vodka",
 ISNUMBER(SEARCH("TEQUILA",C1508)),"Tequila/Mezcal",
 ISNUMBER(SEARCH("MEZCAL",C1508)),"Tequila/Mezcal",
 ISNUMBER(SEARCH("RUM",C1508)),"Rum",
 ISNUMBER(SEARCH("BRAND",C1508)),"Brandy",
 ISNUMBER(SEARCH("COGNAC",C1508)),"Brandy",
 ISNUMBER(SEARCH("LIQUEUR",C1508)),"Liqueurs",
 ISNUMBER(SEARCH("CORDIAL",C1508)),"Liqueurs",
 ISNUMBER(SEARCH("SCHNAPP",C1508)),"Liqueurs",
 ISNUMBER(SEARCH("GIN",C1508)),"Gin",
 TRUE,"Other")</f>
        <v>Rum</v>
      </c>
      <c r="E1508" s="5">
        <v>41838</v>
      </c>
      <c r="F1508" s="5">
        <v>513322.73999999545</v>
      </c>
      <c r="G1508" s="5"/>
      <c r="H1508" s="5">
        <v>4046</v>
      </c>
    </row>
    <row r="1509" spans="1:8">
      <c r="A1509" s="5">
        <v>2022</v>
      </c>
      <c r="B1509" s="6">
        <v>44866</v>
      </c>
      <c r="C1509" s="5" t="s">
        <v>59</v>
      </c>
      <c r="D1509" s="3" t="str" cm="1">
        <f t="array" ref="D1509">_xlfn.IFS(
 ISNUMBER(SEARCH("WHISK",C1509)),"Whiskey",
 ISNUMBER(SEARCH("BOURBON",C1509)),"Whiskey",
 ISNUMBER(SEARCH("SCOTCH",C1509)),"Whiskey",
 ISNUMBER(SEARCH("RYE",C1509)),"Whiskey",
 ISNUMBER(SEARCH("VODKA",C1509)),"Vodka",
 ISNUMBER(SEARCH("TEQUILA",C1509)),"Tequila/Mezcal",
 ISNUMBER(SEARCH("MEZCAL",C1509)),"Tequila/Mezcal",
 ISNUMBER(SEARCH("RUM",C1509)),"Rum",
 ISNUMBER(SEARCH("BRAND",C1509)),"Brandy",
 ISNUMBER(SEARCH("COGNAC",C1509)),"Brandy",
 ISNUMBER(SEARCH("LIQUEUR",C1509)),"Liqueurs",
 ISNUMBER(SEARCH("CORDIAL",C1509)),"Liqueurs",
 ISNUMBER(SEARCH("SCHNAPP",C1509)),"Liqueurs",
 ISNUMBER(SEARCH("GIN",C1509)),"Gin",
 TRUE,"Other")</f>
        <v>Liqueurs</v>
      </c>
      <c r="E1509" s="5">
        <v>49892</v>
      </c>
      <c r="F1509" s="5">
        <v>404215.79000000755</v>
      </c>
      <c r="G1509" s="5"/>
      <c r="H1509" s="5">
        <v>6316</v>
      </c>
    </row>
    <row r="1510" spans="1:8">
      <c r="A1510" s="5">
        <v>2022</v>
      </c>
      <c r="B1510" s="6">
        <v>44866</v>
      </c>
      <c r="C1510" s="5" t="s">
        <v>20</v>
      </c>
      <c r="D1510" s="3" t="str" cm="1">
        <f t="array" ref="D1510">_xlfn.IFS(
 ISNUMBER(SEARCH("WHISK",C1510)),"Whiskey",
 ISNUMBER(SEARCH("BOURBON",C1510)),"Whiskey",
 ISNUMBER(SEARCH("SCOTCH",C1510)),"Whiskey",
 ISNUMBER(SEARCH("RYE",C1510)),"Whiskey",
 ISNUMBER(SEARCH("VODKA",C1510)),"Vodka",
 ISNUMBER(SEARCH("TEQUILA",C1510)),"Tequila/Mezcal",
 ISNUMBER(SEARCH("MEZCAL",C1510)),"Tequila/Mezcal",
 ISNUMBER(SEARCH("RUM",C1510)),"Rum",
 ISNUMBER(SEARCH("BRAND",C1510)),"Brandy",
 ISNUMBER(SEARCH("COGNAC",C1510)),"Brandy",
 ISNUMBER(SEARCH("LIQUEUR",C1510)),"Liqueurs",
 ISNUMBER(SEARCH("CORDIAL",C1510)),"Liqueurs",
 ISNUMBER(SEARCH("SCHNAPP",C1510)),"Liqueurs",
 ISNUMBER(SEARCH("GIN",C1510)),"Gin",
 TRUE,"Other")</f>
        <v>Liqueurs</v>
      </c>
      <c r="E1510" s="5">
        <v>13463</v>
      </c>
      <c r="F1510" s="5">
        <v>265972.14000000089</v>
      </c>
      <c r="G1510" s="5"/>
      <c r="H1510" s="5">
        <v>1367</v>
      </c>
    </row>
    <row r="1511" spans="1:8">
      <c r="A1511" s="5">
        <v>2022</v>
      </c>
      <c r="B1511" s="6">
        <v>44866</v>
      </c>
      <c r="C1511" s="5" t="s">
        <v>22</v>
      </c>
      <c r="D1511" s="3" t="str" cm="1">
        <f t="array" ref="D1511">_xlfn.IFS(
 ISNUMBER(SEARCH("WHISK",C1511)),"Whiskey",
 ISNUMBER(SEARCH("BOURBON",C1511)),"Whiskey",
 ISNUMBER(SEARCH("SCOTCH",C1511)),"Whiskey",
 ISNUMBER(SEARCH("RYE",C1511)),"Whiskey",
 ISNUMBER(SEARCH("VODKA",C1511)),"Vodka",
 ISNUMBER(SEARCH("TEQUILA",C1511)),"Tequila/Mezcal",
 ISNUMBER(SEARCH("MEZCAL",C1511)),"Tequila/Mezcal",
 ISNUMBER(SEARCH("RUM",C1511)),"Rum",
 ISNUMBER(SEARCH("BRAND",C1511)),"Brandy",
 ISNUMBER(SEARCH("COGNAC",C1511)),"Brandy",
 ISNUMBER(SEARCH("LIQUEUR",C1511)),"Liqueurs",
 ISNUMBER(SEARCH("CORDIAL",C1511)),"Liqueurs",
 ISNUMBER(SEARCH("SCHNAPP",C1511)),"Liqueurs",
 ISNUMBER(SEARCH("GIN",C1511)),"Gin",
 TRUE,"Other")</f>
        <v>Liqueurs</v>
      </c>
      <c r="E1511" s="5">
        <v>60679</v>
      </c>
      <c r="F1511" s="5">
        <v>1257428.0499999919</v>
      </c>
      <c r="G1511" s="5"/>
      <c r="H1511" s="5">
        <v>5154</v>
      </c>
    </row>
    <row r="1512" spans="1:8">
      <c r="A1512" s="5">
        <v>2022</v>
      </c>
      <c r="B1512" s="6">
        <v>44866</v>
      </c>
      <c r="C1512" s="5" t="s">
        <v>23</v>
      </c>
      <c r="D1512" s="3" t="str" cm="1">
        <f t="array" ref="D1512">_xlfn.IFS(
 ISNUMBER(SEARCH("WHISK",C1512)),"Whiskey",
 ISNUMBER(SEARCH("BOURBON",C1512)),"Whiskey",
 ISNUMBER(SEARCH("SCOTCH",C1512)),"Whiskey",
 ISNUMBER(SEARCH("RYE",C1512)),"Whiskey",
 ISNUMBER(SEARCH("VODKA",C1512)),"Vodka",
 ISNUMBER(SEARCH("TEQUILA",C1512)),"Tequila/Mezcal",
 ISNUMBER(SEARCH("MEZCAL",C1512)),"Tequila/Mezcal",
 ISNUMBER(SEARCH("RUM",C1512)),"Rum",
 ISNUMBER(SEARCH("BRAND",C1512)),"Brandy",
 ISNUMBER(SEARCH("COGNAC",C1512)),"Brandy",
 ISNUMBER(SEARCH("LIQUEUR",C1512)),"Liqueurs",
 ISNUMBER(SEARCH("CORDIAL",C1512)),"Liqueurs",
 ISNUMBER(SEARCH("SCHNAPP",C1512)),"Liqueurs",
 ISNUMBER(SEARCH("GIN",C1512)),"Gin",
 TRUE,"Other")</f>
        <v>Gin</v>
      </c>
      <c r="E1512" s="5">
        <v>2409</v>
      </c>
      <c r="F1512" s="5">
        <v>60459.609999999957</v>
      </c>
      <c r="G1512" s="5"/>
      <c r="H1512" s="5">
        <v>300</v>
      </c>
    </row>
    <row r="1513" spans="1:8">
      <c r="A1513" s="5">
        <v>2022</v>
      </c>
      <c r="B1513" s="6">
        <v>44866</v>
      </c>
      <c r="C1513" s="5" t="s">
        <v>60</v>
      </c>
      <c r="D1513" s="3" t="str" cm="1">
        <f t="array" ref="D1513">_xlfn.IFS(
 ISNUMBER(SEARCH("WHISK",C1513)),"Whiskey",
 ISNUMBER(SEARCH("BOURBON",C1513)),"Whiskey",
 ISNUMBER(SEARCH("SCOTCH",C1513)),"Whiskey",
 ISNUMBER(SEARCH("RYE",C1513)),"Whiskey",
 ISNUMBER(SEARCH("VODKA",C1513)),"Vodka",
 ISNUMBER(SEARCH("TEQUILA",C1513)),"Tequila/Mezcal",
 ISNUMBER(SEARCH("MEZCAL",C1513)),"Tequila/Mezcal",
 ISNUMBER(SEARCH("RUM",C1513)),"Rum",
 ISNUMBER(SEARCH("BRAND",C1513)),"Brandy",
 ISNUMBER(SEARCH("COGNAC",C1513)),"Brandy",
 ISNUMBER(SEARCH("LIQUEUR",C1513)),"Liqueurs",
 ISNUMBER(SEARCH("CORDIAL",C1513)),"Liqueurs",
 ISNUMBER(SEARCH("SCHNAPP",C1513)),"Liqueurs",
 ISNUMBER(SEARCH("GIN",C1513)),"Gin",
 TRUE,"Other")</f>
        <v>Liqueurs</v>
      </c>
      <c r="E1513" s="5">
        <v>40185</v>
      </c>
      <c r="F1513" s="5">
        <v>929386.23000000359</v>
      </c>
      <c r="G1513" s="5"/>
      <c r="H1513" s="5">
        <v>4960</v>
      </c>
    </row>
    <row r="1514" spans="1:8">
      <c r="A1514" s="5">
        <v>2022</v>
      </c>
      <c r="B1514" s="6">
        <v>44866</v>
      </c>
      <c r="C1514" s="5" t="s">
        <v>40</v>
      </c>
      <c r="D1514" s="3" t="str" cm="1">
        <f t="array" ref="D1514">_xlfn.IFS(
 ISNUMBER(SEARCH("WHISK",C1514)),"Whiskey",
 ISNUMBER(SEARCH("BOURBON",C1514)),"Whiskey",
 ISNUMBER(SEARCH("SCOTCH",C1514)),"Whiskey",
 ISNUMBER(SEARCH("RYE",C1514)),"Whiskey",
 ISNUMBER(SEARCH("VODKA",C1514)),"Vodka",
 ISNUMBER(SEARCH("TEQUILA",C1514)),"Tequila/Mezcal",
 ISNUMBER(SEARCH("MEZCAL",C1514)),"Tequila/Mezcal",
 ISNUMBER(SEARCH("RUM",C1514)),"Rum",
 ISNUMBER(SEARCH("BRAND",C1514)),"Brandy",
 ISNUMBER(SEARCH("COGNAC",C1514)),"Brandy",
 ISNUMBER(SEARCH("LIQUEUR",C1514)),"Liqueurs",
 ISNUMBER(SEARCH("CORDIAL",C1514)),"Liqueurs",
 ISNUMBER(SEARCH("SCHNAPP",C1514)),"Liqueurs",
 ISNUMBER(SEARCH("GIN",C1514)),"Gin",
 TRUE,"Other")</f>
        <v>Whiskey</v>
      </c>
      <c r="E1514" s="5">
        <v>7967</v>
      </c>
      <c r="F1514" s="5">
        <v>379354.01999999909</v>
      </c>
      <c r="G1514" s="5"/>
      <c r="H1514" s="5">
        <v>1677</v>
      </c>
    </row>
    <row r="1515" spans="1:8">
      <c r="A1515" s="5">
        <v>2022</v>
      </c>
      <c r="B1515" s="6">
        <v>44866</v>
      </c>
      <c r="C1515" s="5" t="s">
        <v>30</v>
      </c>
      <c r="D1515" s="3" t="str" cm="1">
        <f t="array" ref="D1515">_xlfn.IFS(
 ISNUMBER(SEARCH("WHISK",C1515)),"Whiskey",
 ISNUMBER(SEARCH("BOURBON",C1515)),"Whiskey",
 ISNUMBER(SEARCH("SCOTCH",C1515)),"Whiskey",
 ISNUMBER(SEARCH("RYE",C1515)),"Whiskey",
 ISNUMBER(SEARCH("VODKA",C1515)),"Vodka",
 ISNUMBER(SEARCH("TEQUILA",C1515)),"Tequila/Mezcal",
 ISNUMBER(SEARCH("MEZCAL",C1515)),"Tequila/Mezcal",
 ISNUMBER(SEARCH("RUM",C1515)),"Rum",
 ISNUMBER(SEARCH("BRAND",C1515)),"Brandy",
 ISNUMBER(SEARCH("COGNAC",C1515)),"Brandy",
 ISNUMBER(SEARCH("LIQUEUR",C1515)),"Liqueurs",
 ISNUMBER(SEARCH("CORDIAL",C1515)),"Liqueurs",
 ISNUMBER(SEARCH("SCHNAPP",C1515)),"Liqueurs",
 ISNUMBER(SEARCH("GIN",C1515)),"Gin",
 TRUE,"Other")</f>
        <v>Vodka</v>
      </c>
      <c r="E1515" s="5">
        <v>20801</v>
      </c>
      <c r="F1515" s="5">
        <v>354089.32000000111</v>
      </c>
      <c r="G1515" s="5"/>
      <c r="H1515" s="5">
        <v>2753</v>
      </c>
    </row>
    <row r="1516" spans="1:8">
      <c r="A1516" s="5">
        <v>2022</v>
      </c>
      <c r="B1516" s="6">
        <v>44866</v>
      </c>
      <c r="C1516" s="5" t="s">
        <v>44</v>
      </c>
      <c r="D1516" s="3" t="str" cm="1">
        <f t="array" ref="D1516">_xlfn.IFS(
 ISNUMBER(SEARCH("WHISK",C1516)),"Whiskey",
 ISNUMBER(SEARCH("BOURBON",C1516)),"Whiskey",
 ISNUMBER(SEARCH("SCOTCH",C1516)),"Whiskey",
 ISNUMBER(SEARCH("RYE",C1516)),"Whiskey",
 ISNUMBER(SEARCH("VODKA",C1516)),"Vodka",
 ISNUMBER(SEARCH("TEQUILA",C1516)),"Tequila/Mezcal",
 ISNUMBER(SEARCH("MEZCAL",C1516)),"Tequila/Mezcal",
 ISNUMBER(SEARCH("RUM",C1516)),"Rum",
 ISNUMBER(SEARCH("BRAND",C1516)),"Brandy",
 ISNUMBER(SEARCH("COGNAC",C1516)),"Brandy",
 ISNUMBER(SEARCH("LIQUEUR",C1516)),"Liqueurs",
 ISNUMBER(SEARCH("CORDIAL",C1516)),"Liqueurs",
 ISNUMBER(SEARCH("SCHNAPP",C1516)),"Liqueurs",
 ISNUMBER(SEARCH("GIN",C1516)),"Gin",
 TRUE,"Other")</f>
        <v>Whiskey</v>
      </c>
      <c r="E1516" s="5">
        <v>10829</v>
      </c>
      <c r="F1516" s="5">
        <v>346789.38000000181</v>
      </c>
      <c r="G1516" s="5"/>
      <c r="H1516" s="5">
        <v>1907</v>
      </c>
    </row>
    <row r="1517" spans="1:8">
      <c r="A1517" s="5">
        <v>2022</v>
      </c>
      <c r="B1517" s="6">
        <v>44866</v>
      </c>
      <c r="C1517" s="5" t="s">
        <v>7</v>
      </c>
      <c r="D1517" s="3" t="str" cm="1">
        <f t="array" ref="D1517">_xlfn.IFS(
 ISNUMBER(SEARCH("WHISK",C1517)),"Whiskey",
 ISNUMBER(SEARCH("BOURBON",C1517)),"Whiskey",
 ISNUMBER(SEARCH("SCOTCH",C1517)),"Whiskey",
 ISNUMBER(SEARCH("RYE",C1517)),"Whiskey",
 ISNUMBER(SEARCH("VODKA",C1517)),"Vodka",
 ISNUMBER(SEARCH("TEQUILA",C1517)),"Tequila/Mezcal",
 ISNUMBER(SEARCH("MEZCAL",C1517)),"Tequila/Mezcal",
 ISNUMBER(SEARCH("RUM",C1517)),"Rum",
 ISNUMBER(SEARCH("BRAND",C1517)),"Brandy",
 ISNUMBER(SEARCH("COGNAC",C1517)),"Brandy",
 ISNUMBER(SEARCH("LIQUEUR",C1517)),"Liqueurs",
 ISNUMBER(SEARCH("CORDIAL",C1517)),"Liqueurs",
 ISNUMBER(SEARCH("SCHNAPP",C1517)),"Liqueurs",
 ISNUMBER(SEARCH("GIN",C1517)),"Gin",
 TRUE,"Other")</f>
        <v>Rum</v>
      </c>
      <c r="E1517" s="5">
        <v>3372</v>
      </c>
      <c r="F1517" s="5">
        <v>73384.560000000041</v>
      </c>
      <c r="G1517" s="5"/>
      <c r="H1517" s="5">
        <v>606</v>
      </c>
    </row>
    <row r="1518" spans="1:8">
      <c r="A1518" s="5">
        <v>2022</v>
      </c>
      <c r="B1518" s="6">
        <v>44866</v>
      </c>
      <c r="C1518" s="5" t="s">
        <v>11</v>
      </c>
      <c r="D1518" s="3" t="str" cm="1">
        <f t="array" ref="D1518">_xlfn.IFS(
 ISNUMBER(SEARCH("WHISK",C1518)),"Whiskey",
 ISNUMBER(SEARCH("BOURBON",C1518)),"Whiskey",
 ISNUMBER(SEARCH("SCOTCH",C1518)),"Whiskey",
 ISNUMBER(SEARCH("RYE",C1518)),"Whiskey",
 ISNUMBER(SEARCH("VODKA",C1518)),"Vodka",
 ISNUMBER(SEARCH("TEQUILA",C1518)),"Tequila/Mezcal",
 ISNUMBER(SEARCH("MEZCAL",C1518)),"Tequila/Mezcal",
 ISNUMBER(SEARCH("RUM",C1518)),"Rum",
 ISNUMBER(SEARCH("BRAND",C1518)),"Brandy",
 ISNUMBER(SEARCH("COGNAC",C1518)),"Brandy",
 ISNUMBER(SEARCH("LIQUEUR",C1518)),"Liqueurs",
 ISNUMBER(SEARCH("CORDIAL",C1518)),"Liqueurs",
 ISNUMBER(SEARCH("SCHNAPP",C1518)),"Liqueurs",
 ISNUMBER(SEARCH("GIN",C1518)),"Gin",
 TRUE,"Other")</f>
        <v>Gin</v>
      </c>
      <c r="E1518" s="5">
        <v>29386</v>
      </c>
      <c r="F1518" s="5">
        <v>268451.94000000152</v>
      </c>
      <c r="G1518" s="5"/>
      <c r="H1518" s="5">
        <v>2826</v>
      </c>
    </row>
    <row r="1519" spans="1:8">
      <c r="A1519" s="5">
        <v>2022</v>
      </c>
      <c r="B1519" s="6">
        <v>44866</v>
      </c>
      <c r="C1519" s="5" t="s">
        <v>17</v>
      </c>
      <c r="D1519" s="3" t="str" cm="1">
        <f t="array" ref="D1519">_xlfn.IFS(
 ISNUMBER(SEARCH("WHISK",C1519)),"Whiskey",
 ISNUMBER(SEARCH("BOURBON",C1519)),"Whiskey",
 ISNUMBER(SEARCH("SCOTCH",C1519)),"Whiskey",
 ISNUMBER(SEARCH("RYE",C1519)),"Whiskey",
 ISNUMBER(SEARCH("VODKA",C1519)),"Vodka",
 ISNUMBER(SEARCH("TEQUILA",C1519)),"Tequila/Mezcal",
 ISNUMBER(SEARCH("MEZCAL",C1519)),"Tequila/Mezcal",
 ISNUMBER(SEARCH("RUM",C1519)),"Rum",
 ISNUMBER(SEARCH("BRAND",C1519)),"Brandy",
 ISNUMBER(SEARCH("COGNAC",C1519)),"Brandy",
 ISNUMBER(SEARCH("LIQUEUR",C1519)),"Liqueurs",
 ISNUMBER(SEARCH("CORDIAL",C1519)),"Liqueurs",
 ISNUMBER(SEARCH("SCHNAPP",C1519)),"Liqueurs",
 ISNUMBER(SEARCH("GIN",C1519)),"Gin",
 TRUE,"Other")</f>
        <v>Whiskey</v>
      </c>
      <c r="E1519" s="5">
        <v>3364</v>
      </c>
      <c r="F1519" s="5">
        <v>98044.820000000051</v>
      </c>
      <c r="G1519" s="5"/>
      <c r="H1519" s="5">
        <v>645</v>
      </c>
    </row>
    <row r="1520" spans="1:8">
      <c r="A1520" s="5">
        <v>2022</v>
      </c>
      <c r="B1520" s="6">
        <v>44866</v>
      </c>
      <c r="C1520" s="5" t="s">
        <v>26</v>
      </c>
      <c r="D1520" s="3" t="str" cm="1">
        <f t="array" ref="D1520">_xlfn.IFS(
 ISNUMBER(SEARCH("WHISK",C1520)),"Whiskey",
 ISNUMBER(SEARCH("BOURBON",C1520)),"Whiskey",
 ISNUMBER(SEARCH("SCOTCH",C1520)),"Whiskey",
 ISNUMBER(SEARCH("RYE",C1520)),"Whiskey",
 ISNUMBER(SEARCH("VODKA",C1520)),"Vodka",
 ISNUMBER(SEARCH("TEQUILA",C1520)),"Tequila/Mezcal",
 ISNUMBER(SEARCH("MEZCAL",C1520)),"Tequila/Mezcal",
 ISNUMBER(SEARCH("RUM",C1520)),"Rum",
 ISNUMBER(SEARCH("BRAND",C1520)),"Brandy",
 ISNUMBER(SEARCH("COGNAC",C1520)),"Brandy",
 ISNUMBER(SEARCH("LIQUEUR",C1520)),"Liqueurs",
 ISNUMBER(SEARCH("CORDIAL",C1520)),"Liqueurs",
 ISNUMBER(SEARCH("SCHNAPP",C1520)),"Liqueurs",
 ISNUMBER(SEARCH("GIN",C1520)),"Gin",
 TRUE,"Other")</f>
        <v>Brandy</v>
      </c>
      <c r="E1520" s="5">
        <v>40841</v>
      </c>
      <c r="F1520" s="5">
        <v>962439.68999999901</v>
      </c>
      <c r="G1520" s="5"/>
      <c r="H1520" s="5">
        <v>3680</v>
      </c>
    </row>
    <row r="1521" spans="1:8">
      <c r="A1521" s="5">
        <v>2022</v>
      </c>
      <c r="B1521" s="6">
        <v>44866</v>
      </c>
      <c r="C1521" s="5" t="s">
        <v>28</v>
      </c>
      <c r="D1521" s="3" t="str" cm="1">
        <f t="array" ref="D1521">_xlfn.IFS(
 ISNUMBER(SEARCH("WHISK",C1521)),"Whiskey",
 ISNUMBER(SEARCH("BOURBON",C1521)),"Whiskey",
 ISNUMBER(SEARCH("SCOTCH",C1521)),"Whiskey",
 ISNUMBER(SEARCH("RYE",C1521)),"Whiskey",
 ISNUMBER(SEARCH("VODKA",C1521)),"Vodka",
 ISNUMBER(SEARCH("TEQUILA",C1521)),"Tequila/Mezcal",
 ISNUMBER(SEARCH("MEZCAL",C1521)),"Tequila/Mezcal",
 ISNUMBER(SEARCH("RUM",C1521)),"Rum",
 ISNUMBER(SEARCH("BRAND",C1521)),"Brandy",
 ISNUMBER(SEARCH("COGNAC",C1521)),"Brandy",
 ISNUMBER(SEARCH("LIQUEUR",C1521)),"Liqueurs",
 ISNUMBER(SEARCH("CORDIAL",C1521)),"Liqueurs",
 ISNUMBER(SEARCH("SCHNAPP",C1521)),"Liqueurs",
 ISNUMBER(SEARCH("GIN",C1521)),"Gin",
 TRUE,"Other")</f>
        <v>Other</v>
      </c>
      <c r="E1521" s="5">
        <v>22808</v>
      </c>
      <c r="F1521" s="5">
        <v>178261.61999999953</v>
      </c>
      <c r="G1521" s="5"/>
      <c r="H1521" s="5">
        <v>477</v>
      </c>
    </row>
    <row r="1522" spans="1:8">
      <c r="A1522" s="5">
        <v>2022</v>
      </c>
      <c r="B1522" s="6">
        <v>44866</v>
      </c>
      <c r="C1522" s="5" t="s">
        <v>41</v>
      </c>
      <c r="D1522" s="3" t="str" cm="1">
        <f t="array" ref="D1522">_xlfn.IFS(
 ISNUMBER(SEARCH("WHISK",C1522)),"Whiskey",
 ISNUMBER(SEARCH("BOURBON",C1522)),"Whiskey",
 ISNUMBER(SEARCH("SCOTCH",C1522)),"Whiskey",
 ISNUMBER(SEARCH("RYE",C1522)),"Whiskey",
 ISNUMBER(SEARCH("VODKA",C1522)),"Vodka",
 ISNUMBER(SEARCH("TEQUILA",C1522)),"Tequila/Mezcal",
 ISNUMBER(SEARCH("MEZCAL",C1522)),"Tequila/Mezcal",
 ISNUMBER(SEARCH("RUM",C1522)),"Rum",
 ISNUMBER(SEARCH("BRAND",C1522)),"Brandy",
 ISNUMBER(SEARCH("COGNAC",C1522)),"Brandy",
 ISNUMBER(SEARCH("LIQUEUR",C1522)),"Liqueurs",
 ISNUMBER(SEARCH("CORDIAL",C1522)),"Liqueurs",
 ISNUMBER(SEARCH("SCHNAPP",C1522)),"Liqueurs",
 ISNUMBER(SEARCH("GIN",C1522)),"Gin",
 TRUE,"Other")</f>
        <v>Other</v>
      </c>
      <c r="E1522" s="5">
        <v>2275</v>
      </c>
      <c r="F1522" s="5">
        <v>43243.040000000008</v>
      </c>
      <c r="G1522" s="5"/>
      <c r="H1522" s="5">
        <v>204</v>
      </c>
    </row>
    <row r="1523" spans="1:8">
      <c r="A1523" s="5">
        <v>2022</v>
      </c>
      <c r="B1523" s="6">
        <v>44866</v>
      </c>
      <c r="C1523" s="5" t="s">
        <v>47</v>
      </c>
      <c r="D1523" s="3" t="str" cm="1">
        <f t="array" ref="D1523">_xlfn.IFS(
 ISNUMBER(SEARCH("WHISK",C1523)),"Whiskey",
 ISNUMBER(SEARCH("BOURBON",C1523)),"Whiskey",
 ISNUMBER(SEARCH("SCOTCH",C1523)),"Whiskey",
 ISNUMBER(SEARCH("RYE",C1523)),"Whiskey",
 ISNUMBER(SEARCH("VODKA",C1523)),"Vodka",
 ISNUMBER(SEARCH("TEQUILA",C1523)),"Tequila/Mezcal",
 ISNUMBER(SEARCH("MEZCAL",C1523)),"Tequila/Mezcal",
 ISNUMBER(SEARCH("RUM",C1523)),"Rum",
 ISNUMBER(SEARCH("BRAND",C1523)),"Brandy",
 ISNUMBER(SEARCH("COGNAC",C1523)),"Brandy",
 ISNUMBER(SEARCH("LIQUEUR",C1523)),"Liqueurs",
 ISNUMBER(SEARCH("CORDIAL",C1523)),"Liqueurs",
 ISNUMBER(SEARCH("SCHNAPP",C1523)),"Liqueurs",
 ISNUMBER(SEARCH("GIN",C1523)),"Gin",
 TRUE,"Other")</f>
        <v>Other</v>
      </c>
      <c r="E1523" s="5">
        <v>16755</v>
      </c>
      <c r="F1523" s="5">
        <v>67302.709999999948</v>
      </c>
      <c r="G1523" s="5"/>
      <c r="H1523" s="5">
        <v>738</v>
      </c>
    </row>
    <row r="1524" spans="1:8">
      <c r="A1524" s="5">
        <v>2022</v>
      </c>
      <c r="B1524" s="6">
        <v>44866</v>
      </c>
      <c r="C1524" s="5" t="s">
        <v>39</v>
      </c>
      <c r="D1524" s="3" t="str" cm="1">
        <f t="array" ref="D1524">_xlfn.IFS(
 ISNUMBER(SEARCH("WHISK",C1524)),"Whiskey",
 ISNUMBER(SEARCH("BOURBON",C1524)),"Whiskey",
 ISNUMBER(SEARCH("SCOTCH",C1524)),"Whiskey",
 ISNUMBER(SEARCH("RYE",C1524)),"Whiskey",
 ISNUMBER(SEARCH("VODKA",C1524)),"Vodka",
 ISNUMBER(SEARCH("TEQUILA",C1524)),"Tequila/Mezcal",
 ISNUMBER(SEARCH("MEZCAL",C1524)),"Tequila/Mezcal",
 ISNUMBER(SEARCH("RUM",C1524)),"Rum",
 ISNUMBER(SEARCH("BRAND",C1524)),"Brandy",
 ISNUMBER(SEARCH("COGNAC",C1524)),"Brandy",
 ISNUMBER(SEARCH("LIQUEUR",C1524)),"Liqueurs",
 ISNUMBER(SEARCH("CORDIAL",C1524)),"Liqueurs",
 ISNUMBER(SEARCH("SCHNAPP",C1524)),"Liqueurs",
 ISNUMBER(SEARCH("GIN",C1524)),"Gin",
 TRUE,"Other")</f>
        <v>Whiskey</v>
      </c>
      <c r="E1524" s="5">
        <v>3594</v>
      </c>
      <c r="F1524" s="5">
        <v>147098.72000000003</v>
      </c>
      <c r="G1524" s="5"/>
      <c r="H1524" s="5">
        <v>454</v>
      </c>
    </row>
    <row r="1525" spans="1:8">
      <c r="A1525" s="5">
        <v>2022</v>
      </c>
      <c r="B1525" s="6">
        <v>44866</v>
      </c>
      <c r="C1525" s="5" t="s">
        <v>34</v>
      </c>
      <c r="D1525" s="3" t="str" cm="1">
        <f t="array" ref="D1525">_xlfn.IFS(
 ISNUMBER(SEARCH("WHISK",C1525)),"Whiskey",
 ISNUMBER(SEARCH("BOURBON",C1525)),"Whiskey",
 ISNUMBER(SEARCH("SCOTCH",C1525)),"Whiskey",
 ISNUMBER(SEARCH("RYE",C1525)),"Whiskey",
 ISNUMBER(SEARCH("VODKA",C1525)),"Vodka",
 ISNUMBER(SEARCH("TEQUILA",C1525)),"Tequila/Mezcal",
 ISNUMBER(SEARCH("MEZCAL",C1525)),"Tequila/Mezcal",
 ISNUMBER(SEARCH("RUM",C1525)),"Rum",
 ISNUMBER(SEARCH("BRAND",C1525)),"Brandy",
 ISNUMBER(SEARCH("COGNAC",C1525)),"Brandy",
 ISNUMBER(SEARCH("LIQUEUR",C1525)),"Liqueurs",
 ISNUMBER(SEARCH("CORDIAL",C1525)),"Liqueurs",
 ISNUMBER(SEARCH("SCHNAPP",C1525)),"Liqueurs",
 ISNUMBER(SEARCH("GIN",C1525)),"Gin",
 TRUE,"Other")</f>
        <v>Tequila/Mezcal</v>
      </c>
      <c r="E1525" s="5">
        <v>1267</v>
      </c>
      <c r="F1525" s="5">
        <v>41249.119999999988</v>
      </c>
      <c r="G1525" s="5"/>
      <c r="H1525" s="5">
        <v>280</v>
      </c>
    </row>
    <row r="1526" spans="1:8">
      <c r="A1526" s="5">
        <v>2022</v>
      </c>
      <c r="B1526" s="6">
        <v>44866</v>
      </c>
      <c r="C1526" s="5" t="s">
        <v>14</v>
      </c>
      <c r="D1526" s="3" t="str" cm="1">
        <f t="array" ref="D1526">_xlfn.IFS(
 ISNUMBER(SEARCH("WHISK",C1526)),"Whiskey",
 ISNUMBER(SEARCH("BOURBON",C1526)),"Whiskey",
 ISNUMBER(SEARCH("SCOTCH",C1526)),"Whiskey",
 ISNUMBER(SEARCH("RYE",C1526)),"Whiskey",
 ISNUMBER(SEARCH("VODKA",C1526)),"Vodka",
 ISNUMBER(SEARCH("TEQUILA",C1526)),"Tequila/Mezcal",
 ISNUMBER(SEARCH("MEZCAL",C1526)),"Tequila/Mezcal",
 ISNUMBER(SEARCH("RUM",C1526)),"Rum",
 ISNUMBER(SEARCH("BRAND",C1526)),"Brandy",
 ISNUMBER(SEARCH("COGNAC",C1526)),"Brandy",
 ISNUMBER(SEARCH("LIQUEUR",C1526)),"Liqueurs",
 ISNUMBER(SEARCH("CORDIAL",C1526)),"Liqueurs",
 ISNUMBER(SEARCH("SCHNAPP",C1526)),"Liqueurs",
 ISNUMBER(SEARCH("GIN",C1526)),"Gin",
 TRUE,"Other")</f>
        <v>Gin</v>
      </c>
      <c r="E1526" s="5">
        <v>260</v>
      </c>
      <c r="F1526" s="5">
        <v>2113.8000000000011</v>
      </c>
      <c r="G1526" s="5"/>
      <c r="H1526" s="5">
        <v>61</v>
      </c>
    </row>
    <row r="1527" spans="1:8">
      <c r="A1527" s="5">
        <v>2022</v>
      </c>
      <c r="B1527" s="6">
        <v>44866</v>
      </c>
      <c r="C1527" s="5" t="s">
        <v>21</v>
      </c>
      <c r="D1527" s="3" t="str" cm="1">
        <f t="array" ref="D1527">_xlfn.IFS(
 ISNUMBER(SEARCH("WHISK",C1527)),"Whiskey",
 ISNUMBER(SEARCH("BOURBON",C1527)),"Whiskey",
 ISNUMBER(SEARCH("SCOTCH",C1527)),"Whiskey",
 ISNUMBER(SEARCH("RYE",C1527)),"Whiskey",
 ISNUMBER(SEARCH("VODKA",C1527)),"Vodka",
 ISNUMBER(SEARCH("TEQUILA",C1527)),"Tequila/Mezcal",
 ISNUMBER(SEARCH("MEZCAL",C1527)),"Tequila/Mezcal",
 ISNUMBER(SEARCH("RUM",C1527)),"Rum",
 ISNUMBER(SEARCH("BRAND",C1527)),"Brandy",
 ISNUMBER(SEARCH("COGNAC",C1527)),"Brandy",
 ISNUMBER(SEARCH("LIQUEUR",C1527)),"Liqueurs",
 ISNUMBER(SEARCH("CORDIAL",C1527)),"Liqueurs",
 ISNUMBER(SEARCH("SCHNAPP",C1527)),"Liqueurs",
 ISNUMBER(SEARCH("GIN",C1527)),"Gin",
 TRUE,"Other")</f>
        <v>Whiskey</v>
      </c>
      <c r="E1527" s="5">
        <v>1069</v>
      </c>
      <c r="F1527" s="5">
        <v>28918.099999999991</v>
      </c>
      <c r="G1527" s="5"/>
      <c r="H1527" s="5">
        <v>141</v>
      </c>
    </row>
    <row r="1528" spans="1:8">
      <c r="A1528" s="5">
        <v>2022</v>
      </c>
      <c r="B1528" s="6">
        <v>44896</v>
      </c>
      <c r="C1528" s="5" t="s">
        <v>50</v>
      </c>
      <c r="D1528" s="3" t="str" cm="1">
        <f t="array" ref="D1528">_xlfn.IFS(
 ISNUMBER(SEARCH("WHISK",C1528)),"Whiskey",
 ISNUMBER(SEARCH("BOURBON",C1528)),"Whiskey",
 ISNUMBER(SEARCH("SCOTCH",C1528)),"Whiskey",
 ISNUMBER(SEARCH("RYE",C1528)),"Whiskey",
 ISNUMBER(SEARCH("VODKA",C1528)),"Vodka",
 ISNUMBER(SEARCH("TEQUILA",C1528)),"Tequila/Mezcal",
 ISNUMBER(SEARCH("MEZCAL",C1528)),"Tequila/Mezcal",
 ISNUMBER(SEARCH("RUM",C1528)),"Rum",
 ISNUMBER(SEARCH("BRAND",C1528)),"Brandy",
 ISNUMBER(SEARCH("COGNAC",C1528)),"Brandy",
 ISNUMBER(SEARCH("LIQUEUR",C1528)),"Liqueurs",
 ISNUMBER(SEARCH("CORDIAL",C1528)),"Liqueurs",
 ISNUMBER(SEARCH("SCHNAPP",C1528)),"Liqueurs",
 ISNUMBER(SEARCH("GIN",C1528)),"Gin",
 TRUE,"Other")</f>
        <v>Tequila/Mezcal</v>
      </c>
      <c r="E1528" s="5">
        <v>85869</v>
      </c>
      <c r="F1528" s="5">
        <v>2606785.1899999734</v>
      </c>
      <c r="G1528" s="5"/>
      <c r="H1528" s="5">
        <v>10308</v>
      </c>
    </row>
    <row r="1529" spans="1:8">
      <c r="A1529" s="5">
        <v>2022</v>
      </c>
      <c r="B1529" s="6">
        <v>44896</v>
      </c>
      <c r="C1529" s="5" t="s">
        <v>7</v>
      </c>
      <c r="D1529" s="3" t="str" cm="1">
        <f t="array" ref="D1529">_xlfn.IFS(
 ISNUMBER(SEARCH("WHISK",C1529)),"Whiskey",
 ISNUMBER(SEARCH("BOURBON",C1529)),"Whiskey",
 ISNUMBER(SEARCH("SCOTCH",C1529)),"Whiskey",
 ISNUMBER(SEARCH("RYE",C1529)),"Whiskey",
 ISNUMBER(SEARCH("VODKA",C1529)),"Vodka",
 ISNUMBER(SEARCH("TEQUILA",C1529)),"Tequila/Mezcal",
 ISNUMBER(SEARCH("MEZCAL",C1529)),"Tequila/Mezcal",
 ISNUMBER(SEARCH("RUM",C1529)),"Rum",
 ISNUMBER(SEARCH("BRAND",C1529)),"Brandy",
 ISNUMBER(SEARCH("COGNAC",C1529)),"Brandy",
 ISNUMBER(SEARCH("LIQUEUR",C1529)),"Liqueurs",
 ISNUMBER(SEARCH("CORDIAL",C1529)),"Liqueurs",
 ISNUMBER(SEARCH("SCHNAPP",C1529)),"Liqueurs",
 ISNUMBER(SEARCH("GIN",C1529)),"Gin",
 TRUE,"Other")</f>
        <v>Rum</v>
      </c>
      <c r="E1529" s="5">
        <v>4524</v>
      </c>
      <c r="F1529" s="5">
        <v>104676.73000000024</v>
      </c>
      <c r="G1529" s="5"/>
      <c r="H1529" s="5">
        <v>787</v>
      </c>
    </row>
    <row r="1530" spans="1:8">
      <c r="A1530" s="5">
        <v>2022</v>
      </c>
      <c r="B1530" s="6">
        <v>44896</v>
      </c>
      <c r="C1530" s="5" t="s">
        <v>8</v>
      </c>
      <c r="D1530" s="3" t="str" cm="1">
        <f t="array" ref="D1530">_xlfn.IFS(
 ISNUMBER(SEARCH("WHISK",C1530)),"Whiskey",
 ISNUMBER(SEARCH("BOURBON",C1530)),"Whiskey",
 ISNUMBER(SEARCH("SCOTCH",C1530)),"Whiskey",
 ISNUMBER(SEARCH("RYE",C1530)),"Whiskey",
 ISNUMBER(SEARCH("VODKA",C1530)),"Vodka",
 ISNUMBER(SEARCH("TEQUILA",C1530)),"Tequila/Mezcal",
 ISNUMBER(SEARCH("MEZCAL",C1530)),"Tequila/Mezcal",
 ISNUMBER(SEARCH("RUM",C1530)),"Rum",
 ISNUMBER(SEARCH("BRAND",C1530)),"Brandy",
 ISNUMBER(SEARCH("COGNAC",C1530)),"Brandy",
 ISNUMBER(SEARCH("LIQUEUR",C1530)),"Liqueurs",
 ISNUMBER(SEARCH("CORDIAL",C1530)),"Liqueurs",
 ISNUMBER(SEARCH("SCHNAPP",C1530)),"Liqueurs",
 ISNUMBER(SEARCH("GIN",C1530)),"Gin",
 TRUE,"Other")</f>
        <v>Brandy</v>
      </c>
      <c r="E1530" s="5">
        <v>72155</v>
      </c>
      <c r="F1530" s="5">
        <v>515085.90999999992</v>
      </c>
      <c r="G1530" s="5"/>
      <c r="H1530" s="5">
        <v>6711</v>
      </c>
    </row>
    <row r="1531" spans="1:8">
      <c r="A1531" s="5">
        <v>2022</v>
      </c>
      <c r="B1531" s="6">
        <v>44896</v>
      </c>
      <c r="C1531" s="5" t="s">
        <v>59</v>
      </c>
      <c r="D1531" s="3" t="str" cm="1">
        <f t="array" ref="D1531">_xlfn.IFS(
 ISNUMBER(SEARCH("WHISK",C1531)),"Whiskey",
 ISNUMBER(SEARCH("BOURBON",C1531)),"Whiskey",
 ISNUMBER(SEARCH("SCOTCH",C1531)),"Whiskey",
 ISNUMBER(SEARCH("RYE",C1531)),"Whiskey",
 ISNUMBER(SEARCH("VODKA",C1531)),"Vodka",
 ISNUMBER(SEARCH("TEQUILA",C1531)),"Tequila/Mezcal",
 ISNUMBER(SEARCH("MEZCAL",C1531)),"Tequila/Mezcal",
 ISNUMBER(SEARCH("RUM",C1531)),"Rum",
 ISNUMBER(SEARCH("BRAND",C1531)),"Brandy",
 ISNUMBER(SEARCH("COGNAC",C1531)),"Brandy",
 ISNUMBER(SEARCH("LIQUEUR",C1531)),"Liqueurs",
 ISNUMBER(SEARCH("CORDIAL",C1531)),"Liqueurs",
 ISNUMBER(SEARCH("SCHNAPP",C1531)),"Liqueurs",
 ISNUMBER(SEARCH("GIN",C1531)),"Gin",
 TRUE,"Other")</f>
        <v>Liqueurs</v>
      </c>
      <c r="E1531" s="5">
        <v>44807</v>
      </c>
      <c r="F1531" s="5">
        <v>445732.28000000771</v>
      </c>
      <c r="G1531" s="5"/>
      <c r="H1531" s="5">
        <v>6950</v>
      </c>
    </row>
    <row r="1532" spans="1:8">
      <c r="A1532" s="5">
        <v>2022</v>
      </c>
      <c r="B1532" s="6">
        <v>44896</v>
      </c>
      <c r="C1532" s="5" t="s">
        <v>10</v>
      </c>
      <c r="D1532" s="3" t="str" cm="1">
        <f t="array" ref="D1532">_xlfn.IFS(
 ISNUMBER(SEARCH("WHISK",C1532)),"Whiskey",
 ISNUMBER(SEARCH("BOURBON",C1532)),"Whiskey",
 ISNUMBER(SEARCH("SCOTCH",C1532)),"Whiskey",
 ISNUMBER(SEARCH("RYE",C1532)),"Whiskey",
 ISNUMBER(SEARCH("VODKA",C1532)),"Vodka",
 ISNUMBER(SEARCH("TEQUILA",C1532)),"Tequila/Mezcal",
 ISNUMBER(SEARCH("MEZCAL",C1532)),"Tequila/Mezcal",
 ISNUMBER(SEARCH("RUM",C1532)),"Rum",
 ISNUMBER(SEARCH("BRAND",C1532)),"Brandy",
 ISNUMBER(SEARCH("COGNAC",C1532)),"Brandy",
 ISNUMBER(SEARCH("LIQUEUR",C1532)),"Liqueurs",
 ISNUMBER(SEARCH("CORDIAL",C1532)),"Liqueurs",
 ISNUMBER(SEARCH("SCHNAPP",C1532)),"Liqueurs",
 ISNUMBER(SEARCH("GIN",C1532)),"Gin",
 TRUE,"Other")</f>
        <v>Other</v>
      </c>
      <c r="E1532" s="5">
        <v>11262</v>
      </c>
      <c r="F1532" s="5">
        <v>250157.82000000053</v>
      </c>
      <c r="G1532" s="5"/>
      <c r="H1532" s="5">
        <v>1224</v>
      </c>
    </row>
    <row r="1533" spans="1:8">
      <c r="A1533" s="5">
        <v>2022</v>
      </c>
      <c r="B1533" s="6">
        <v>44896</v>
      </c>
      <c r="C1533" s="5" t="s">
        <v>11</v>
      </c>
      <c r="D1533" s="3" t="str" cm="1">
        <f t="array" ref="D1533">_xlfn.IFS(
 ISNUMBER(SEARCH("WHISK",C1533)),"Whiskey",
 ISNUMBER(SEARCH("BOURBON",C1533)),"Whiskey",
 ISNUMBER(SEARCH("SCOTCH",C1533)),"Whiskey",
 ISNUMBER(SEARCH("RYE",C1533)),"Whiskey",
 ISNUMBER(SEARCH("VODKA",C1533)),"Vodka",
 ISNUMBER(SEARCH("TEQUILA",C1533)),"Tequila/Mezcal",
 ISNUMBER(SEARCH("MEZCAL",C1533)),"Tequila/Mezcal",
 ISNUMBER(SEARCH("RUM",C1533)),"Rum",
 ISNUMBER(SEARCH("BRAND",C1533)),"Brandy",
 ISNUMBER(SEARCH("COGNAC",C1533)),"Brandy",
 ISNUMBER(SEARCH("LIQUEUR",C1533)),"Liqueurs",
 ISNUMBER(SEARCH("CORDIAL",C1533)),"Liqueurs",
 ISNUMBER(SEARCH("SCHNAPP",C1533)),"Liqueurs",
 ISNUMBER(SEARCH("GIN",C1533)),"Gin",
 TRUE,"Other")</f>
        <v>Gin</v>
      </c>
      <c r="E1533" s="5">
        <v>31373</v>
      </c>
      <c r="F1533" s="5">
        <v>289801.12000000151</v>
      </c>
      <c r="G1533" s="5"/>
      <c r="H1533" s="5">
        <v>3078</v>
      </c>
    </row>
    <row r="1534" spans="1:8">
      <c r="A1534" s="5">
        <v>2022</v>
      </c>
      <c r="B1534" s="6">
        <v>44896</v>
      </c>
      <c r="C1534" s="5" t="s">
        <v>12</v>
      </c>
      <c r="D1534" s="3" t="str" cm="1">
        <f t="array" ref="D1534">_xlfn.IFS(
 ISNUMBER(SEARCH("WHISK",C1534)),"Whiskey",
 ISNUMBER(SEARCH("BOURBON",C1534)),"Whiskey",
 ISNUMBER(SEARCH("SCOTCH",C1534)),"Whiskey",
 ISNUMBER(SEARCH("RYE",C1534)),"Whiskey",
 ISNUMBER(SEARCH("VODKA",C1534)),"Vodka",
 ISNUMBER(SEARCH("TEQUILA",C1534)),"Tequila/Mezcal",
 ISNUMBER(SEARCH("MEZCAL",C1534)),"Tequila/Mezcal",
 ISNUMBER(SEARCH("RUM",C1534)),"Rum",
 ISNUMBER(SEARCH("BRAND",C1534)),"Brandy",
 ISNUMBER(SEARCH("COGNAC",C1534)),"Brandy",
 ISNUMBER(SEARCH("LIQUEUR",C1534)),"Liqueurs",
 ISNUMBER(SEARCH("CORDIAL",C1534)),"Liqueurs",
 ISNUMBER(SEARCH("SCHNAPP",C1534)),"Liqueurs",
 ISNUMBER(SEARCH("GIN",C1534)),"Gin",
 TRUE,"Other")</f>
        <v>Vodka</v>
      </c>
      <c r="E1534" s="5">
        <v>81935</v>
      </c>
      <c r="F1534" s="5">
        <v>908830.89000004192</v>
      </c>
      <c r="G1534" s="5"/>
      <c r="H1534" s="5">
        <v>9825</v>
      </c>
    </row>
    <row r="1535" spans="1:8">
      <c r="A1535" s="5">
        <v>2022</v>
      </c>
      <c r="B1535" s="6">
        <v>44896</v>
      </c>
      <c r="C1535" s="5" t="s">
        <v>13</v>
      </c>
      <c r="D1535" s="3" t="str" cm="1">
        <f t="array" ref="D1535">_xlfn.IFS(
 ISNUMBER(SEARCH("WHISK",C1535)),"Whiskey",
 ISNUMBER(SEARCH("BOURBON",C1535)),"Whiskey",
 ISNUMBER(SEARCH("SCOTCH",C1535)),"Whiskey",
 ISNUMBER(SEARCH("RYE",C1535)),"Whiskey",
 ISNUMBER(SEARCH("VODKA",C1535)),"Vodka",
 ISNUMBER(SEARCH("TEQUILA",C1535)),"Tequila/Mezcal",
 ISNUMBER(SEARCH("MEZCAL",C1535)),"Tequila/Mezcal",
 ISNUMBER(SEARCH("RUM",C1535)),"Rum",
 ISNUMBER(SEARCH("BRAND",C1535)),"Brandy",
 ISNUMBER(SEARCH("COGNAC",C1535)),"Brandy",
 ISNUMBER(SEARCH("LIQUEUR",C1535)),"Liqueurs",
 ISNUMBER(SEARCH("CORDIAL",C1535)),"Liqueurs",
 ISNUMBER(SEARCH("SCHNAPP",C1535)),"Liqueurs",
 ISNUMBER(SEARCH("GIN",C1535)),"Gin",
 TRUE,"Other")</f>
        <v>Liqueurs</v>
      </c>
      <c r="E1535" s="5">
        <v>90509</v>
      </c>
      <c r="F1535" s="5">
        <v>654220.76000001351</v>
      </c>
      <c r="G1535" s="5"/>
      <c r="H1535" s="5">
        <v>8880</v>
      </c>
    </row>
    <row r="1536" spans="1:8">
      <c r="A1536" s="5">
        <v>2022</v>
      </c>
      <c r="B1536" s="6">
        <v>44896</v>
      </c>
      <c r="C1536" s="5" t="s">
        <v>15</v>
      </c>
      <c r="D1536" s="3" t="str" cm="1">
        <f t="array" ref="D1536">_xlfn.IFS(
 ISNUMBER(SEARCH("WHISK",C1536)),"Whiskey",
 ISNUMBER(SEARCH("BOURBON",C1536)),"Whiskey",
 ISNUMBER(SEARCH("SCOTCH",C1536)),"Whiskey",
 ISNUMBER(SEARCH("RYE",C1536)),"Whiskey",
 ISNUMBER(SEARCH("VODKA",C1536)),"Vodka",
 ISNUMBER(SEARCH("TEQUILA",C1536)),"Tequila/Mezcal",
 ISNUMBER(SEARCH("MEZCAL",C1536)),"Tequila/Mezcal",
 ISNUMBER(SEARCH("RUM",C1536)),"Rum",
 ISNUMBER(SEARCH("BRAND",C1536)),"Brandy",
 ISNUMBER(SEARCH("COGNAC",C1536)),"Brandy",
 ISNUMBER(SEARCH("LIQUEUR",C1536)),"Liqueurs",
 ISNUMBER(SEARCH("CORDIAL",C1536)),"Liqueurs",
 ISNUMBER(SEARCH("SCHNAPP",C1536)),"Liqueurs",
 ISNUMBER(SEARCH("GIN",C1536)),"Gin",
 TRUE,"Other")</f>
        <v>Vodka</v>
      </c>
      <c r="E1536" s="5">
        <v>515066</v>
      </c>
      <c r="F1536" s="5">
        <v>5076083.3099994296</v>
      </c>
      <c r="G1536" s="5"/>
      <c r="H1536" s="5">
        <v>34049</v>
      </c>
    </row>
    <row r="1537" spans="1:8">
      <c r="A1537" s="5">
        <v>2022</v>
      </c>
      <c r="B1537" s="6">
        <v>44896</v>
      </c>
      <c r="C1537" s="5" t="s">
        <v>16</v>
      </c>
      <c r="D1537" s="3" t="str" cm="1">
        <f t="array" ref="D1537">_xlfn.IFS(
 ISNUMBER(SEARCH("WHISK",C1537)),"Whiskey",
 ISNUMBER(SEARCH("BOURBON",C1537)),"Whiskey",
 ISNUMBER(SEARCH("SCOTCH",C1537)),"Whiskey",
 ISNUMBER(SEARCH("RYE",C1537)),"Whiskey",
 ISNUMBER(SEARCH("VODKA",C1537)),"Vodka",
 ISNUMBER(SEARCH("TEQUILA",C1537)),"Tequila/Mezcal",
 ISNUMBER(SEARCH("MEZCAL",C1537)),"Tequila/Mezcal",
 ISNUMBER(SEARCH("RUM",C1537)),"Rum",
 ISNUMBER(SEARCH("BRAND",C1537)),"Brandy",
 ISNUMBER(SEARCH("COGNAC",C1537)),"Brandy",
 ISNUMBER(SEARCH("LIQUEUR",C1537)),"Liqueurs",
 ISNUMBER(SEARCH("CORDIAL",C1537)),"Liqueurs",
 ISNUMBER(SEARCH("SCHNAPP",C1537)),"Liqueurs",
 ISNUMBER(SEARCH("GIN",C1537)),"Gin",
 TRUE,"Other")</f>
        <v>Whiskey</v>
      </c>
      <c r="E1537" s="5">
        <v>77654</v>
      </c>
      <c r="F1537" s="5">
        <v>1015139.1400000025</v>
      </c>
      <c r="G1537" s="5"/>
      <c r="H1537" s="5">
        <v>8283</v>
      </c>
    </row>
    <row r="1538" spans="1:8">
      <c r="A1538" s="5">
        <v>2022</v>
      </c>
      <c r="B1538" s="6">
        <v>44896</v>
      </c>
      <c r="C1538" s="5" t="s">
        <v>17</v>
      </c>
      <c r="D1538" s="3" t="str" cm="1">
        <f t="array" ref="D1538">_xlfn.IFS(
 ISNUMBER(SEARCH("WHISK",C1538)),"Whiskey",
 ISNUMBER(SEARCH("BOURBON",C1538)),"Whiskey",
 ISNUMBER(SEARCH("SCOTCH",C1538)),"Whiskey",
 ISNUMBER(SEARCH("RYE",C1538)),"Whiskey",
 ISNUMBER(SEARCH("VODKA",C1538)),"Vodka",
 ISNUMBER(SEARCH("TEQUILA",C1538)),"Tequila/Mezcal",
 ISNUMBER(SEARCH("MEZCAL",C1538)),"Tequila/Mezcal",
 ISNUMBER(SEARCH("RUM",C1538)),"Rum",
 ISNUMBER(SEARCH("BRAND",C1538)),"Brandy",
 ISNUMBER(SEARCH("COGNAC",C1538)),"Brandy",
 ISNUMBER(SEARCH("LIQUEUR",C1538)),"Liqueurs",
 ISNUMBER(SEARCH("CORDIAL",C1538)),"Liqueurs",
 ISNUMBER(SEARCH("SCHNAPP",C1538)),"Liqueurs",
 ISNUMBER(SEARCH("GIN",C1538)),"Gin",
 TRUE,"Other")</f>
        <v>Whiskey</v>
      </c>
      <c r="E1538" s="5">
        <v>3626</v>
      </c>
      <c r="F1538" s="5">
        <v>106726.38000000008</v>
      </c>
      <c r="G1538" s="5"/>
      <c r="H1538" s="5">
        <v>1158</v>
      </c>
    </row>
    <row r="1539" spans="1:8">
      <c r="A1539" s="5">
        <v>2022</v>
      </c>
      <c r="B1539" s="6">
        <v>44896</v>
      </c>
      <c r="C1539" s="5" t="s">
        <v>18</v>
      </c>
      <c r="D1539" s="3" t="str" cm="1">
        <f t="array" ref="D1539">_xlfn.IFS(
 ISNUMBER(SEARCH("WHISK",C1539)),"Whiskey",
 ISNUMBER(SEARCH("BOURBON",C1539)),"Whiskey",
 ISNUMBER(SEARCH("SCOTCH",C1539)),"Whiskey",
 ISNUMBER(SEARCH("RYE",C1539)),"Whiskey",
 ISNUMBER(SEARCH("VODKA",C1539)),"Vodka",
 ISNUMBER(SEARCH("TEQUILA",C1539)),"Tequila/Mezcal",
 ISNUMBER(SEARCH("MEZCAL",C1539)),"Tequila/Mezcal",
 ISNUMBER(SEARCH("RUM",C1539)),"Rum",
 ISNUMBER(SEARCH("BRAND",C1539)),"Brandy",
 ISNUMBER(SEARCH("COGNAC",C1539)),"Brandy",
 ISNUMBER(SEARCH("LIQUEUR",C1539)),"Liqueurs",
 ISNUMBER(SEARCH("CORDIAL",C1539)),"Liqueurs",
 ISNUMBER(SEARCH("SCHNAPP",C1539)),"Liqueurs",
 ISNUMBER(SEARCH("GIN",C1539)),"Gin",
 TRUE,"Other")</f>
        <v>Whiskey</v>
      </c>
      <c r="E1539" s="5">
        <v>361705</v>
      </c>
      <c r="F1539" s="5">
        <v>6385310.6000004271</v>
      </c>
      <c r="G1539" s="5"/>
      <c r="H1539" s="5">
        <v>22516</v>
      </c>
    </row>
    <row r="1540" spans="1:8">
      <c r="A1540" s="5">
        <v>2022</v>
      </c>
      <c r="B1540" s="6">
        <v>44896</v>
      </c>
      <c r="C1540" s="5" t="s">
        <v>19</v>
      </c>
      <c r="D1540" s="3" t="str" cm="1">
        <f t="array" ref="D1540">_xlfn.IFS(
 ISNUMBER(SEARCH("WHISK",C1540)),"Whiskey",
 ISNUMBER(SEARCH("BOURBON",C1540)),"Whiskey",
 ISNUMBER(SEARCH("SCOTCH",C1540)),"Whiskey",
 ISNUMBER(SEARCH("RYE",C1540)),"Whiskey",
 ISNUMBER(SEARCH("VODKA",C1540)),"Vodka",
 ISNUMBER(SEARCH("TEQUILA",C1540)),"Tequila/Mezcal",
 ISNUMBER(SEARCH("MEZCAL",C1540)),"Tequila/Mezcal",
 ISNUMBER(SEARCH("RUM",C1540)),"Rum",
 ISNUMBER(SEARCH("BRAND",C1540)),"Brandy",
 ISNUMBER(SEARCH("COGNAC",C1540)),"Brandy",
 ISNUMBER(SEARCH("LIQUEUR",C1540)),"Liqueurs",
 ISNUMBER(SEARCH("CORDIAL",C1540)),"Liqueurs",
 ISNUMBER(SEARCH("SCHNAPP",C1540)),"Liqueurs",
 ISNUMBER(SEARCH("GIN",C1540)),"Gin",
 TRUE,"Other")</f>
        <v>Other</v>
      </c>
      <c r="E1540" s="5">
        <v>43228</v>
      </c>
      <c r="F1540" s="5">
        <v>557695.95999998366</v>
      </c>
      <c r="G1540" s="5"/>
      <c r="H1540" s="5">
        <v>6074</v>
      </c>
    </row>
    <row r="1541" spans="1:8">
      <c r="A1541" s="5">
        <v>2022</v>
      </c>
      <c r="B1541" s="6">
        <v>44896</v>
      </c>
      <c r="C1541" s="5" t="s">
        <v>20</v>
      </c>
      <c r="D1541" s="3" t="str" cm="1">
        <f t="array" ref="D1541">_xlfn.IFS(
 ISNUMBER(SEARCH("WHISK",C1541)),"Whiskey",
 ISNUMBER(SEARCH("BOURBON",C1541)),"Whiskey",
 ISNUMBER(SEARCH("SCOTCH",C1541)),"Whiskey",
 ISNUMBER(SEARCH("RYE",C1541)),"Whiskey",
 ISNUMBER(SEARCH("VODKA",C1541)),"Vodka",
 ISNUMBER(SEARCH("TEQUILA",C1541)),"Tequila/Mezcal",
 ISNUMBER(SEARCH("MEZCAL",C1541)),"Tequila/Mezcal",
 ISNUMBER(SEARCH("RUM",C1541)),"Rum",
 ISNUMBER(SEARCH("BRAND",C1541)),"Brandy",
 ISNUMBER(SEARCH("COGNAC",C1541)),"Brandy",
 ISNUMBER(SEARCH("LIQUEUR",C1541)),"Liqueurs",
 ISNUMBER(SEARCH("CORDIAL",C1541)),"Liqueurs",
 ISNUMBER(SEARCH("SCHNAPP",C1541)),"Liqueurs",
 ISNUMBER(SEARCH("GIN",C1541)),"Gin",
 TRUE,"Other")</f>
        <v>Liqueurs</v>
      </c>
      <c r="E1541" s="5">
        <v>14371</v>
      </c>
      <c r="F1541" s="5">
        <v>297490.64000000252</v>
      </c>
      <c r="G1541" s="5"/>
      <c r="H1541" s="5">
        <v>1408</v>
      </c>
    </row>
    <row r="1542" spans="1:8">
      <c r="A1542" s="5">
        <v>2022</v>
      </c>
      <c r="B1542" s="6">
        <v>44896</v>
      </c>
      <c r="C1542" s="5" t="s">
        <v>21</v>
      </c>
      <c r="D1542" s="3" t="str" cm="1">
        <f t="array" ref="D1542">_xlfn.IFS(
 ISNUMBER(SEARCH("WHISK",C1542)),"Whiskey",
 ISNUMBER(SEARCH("BOURBON",C1542)),"Whiskey",
 ISNUMBER(SEARCH("SCOTCH",C1542)),"Whiskey",
 ISNUMBER(SEARCH("RYE",C1542)),"Whiskey",
 ISNUMBER(SEARCH("VODKA",C1542)),"Vodka",
 ISNUMBER(SEARCH("TEQUILA",C1542)),"Tequila/Mezcal",
 ISNUMBER(SEARCH("MEZCAL",C1542)),"Tequila/Mezcal",
 ISNUMBER(SEARCH("RUM",C1542)),"Rum",
 ISNUMBER(SEARCH("BRAND",C1542)),"Brandy",
 ISNUMBER(SEARCH("COGNAC",C1542)),"Brandy",
 ISNUMBER(SEARCH("LIQUEUR",C1542)),"Liqueurs",
 ISNUMBER(SEARCH("CORDIAL",C1542)),"Liqueurs",
 ISNUMBER(SEARCH("SCHNAPP",C1542)),"Liqueurs",
 ISNUMBER(SEARCH("GIN",C1542)),"Gin",
 TRUE,"Other")</f>
        <v>Whiskey</v>
      </c>
      <c r="E1542" s="5">
        <v>1685</v>
      </c>
      <c r="F1542" s="5">
        <v>48237.169999999991</v>
      </c>
      <c r="G1542" s="5"/>
      <c r="H1542" s="5">
        <v>161</v>
      </c>
    </row>
    <row r="1543" spans="1:8">
      <c r="A1543" s="5">
        <v>2022</v>
      </c>
      <c r="B1543" s="6">
        <v>44896</v>
      </c>
      <c r="C1543" s="5" t="s">
        <v>22</v>
      </c>
      <c r="D1543" s="3" t="str" cm="1">
        <f t="array" ref="D1543">_xlfn.IFS(
 ISNUMBER(SEARCH("WHISK",C1543)),"Whiskey",
 ISNUMBER(SEARCH("BOURBON",C1543)),"Whiskey",
 ISNUMBER(SEARCH("SCOTCH",C1543)),"Whiskey",
 ISNUMBER(SEARCH("RYE",C1543)),"Whiskey",
 ISNUMBER(SEARCH("VODKA",C1543)),"Vodka",
 ISNUMBER(SEARCH("TEQUILA",C1543)),"Tequila/Mezcal",
 ISNUMBER(SEARCH("MEZCAL",C1543)),"Tequila/Mezcal",
 ISNUMBER(SEARCH("RUM",C1543)),"Rum",
 ISNUMBER(SEARCH("BRAND",C1543)),"Brandy",
 ISNUMBER(SEARCH("COGNAC",C1543)),"Brandy",
 ISNUMBER(SEARCH("LIQUEUR",C1543)),"Liqueurs",
 ISNUMBER(SEARCH("CORDIAL",C1543)),"Liqueurs",
 ISNUMBER(SEARCH("SCHNAPP",C1543)),"Liqueurs",
 ISNUMBER(SEARCH("GIN",C1543)),"Gin",
 TRUE,"Other")</f>
        <v>Liqueurs</v>
      </c>
      <c r="E1543" s="5">
        <v>63902</v>
      </c>
      <c r="F1543" s="5">
        <v>1338721.8499999996</v>
      </c>
      <c r="G1543" s="5"/>
      <c r="H1543" s="5">
        <v>7496</v>
      </c>
    </row>
    <row r="1544" spans="1:8">
      <c r="A1544" s="5">
        <v>2022</v>
      </c>
      <c r="B1544" s="6">
        <v>44896</v>
      </c>
      <c r="C1544" s="5" t="s">
        <v>23</v>
      </c>
      <c r="D1544" s="3" t="str" cm="1">
        <f t="array" ref="D1544">_xlfn.IFS(
 ISNUMBER(SEARCH("WHISK",C1544)),"Whiskey",
 ISNUMBER(SEARCH("BOURBON",C1544)),"Whiskey",
 ISNUMBER(SEARCH("SCOTCH",C1544)),"Whiskey",
 ISNUMBER(SEARCH("RYE",C1544)),"Whiskey",
 ISNUMBER(SEARCH("VODKA",C1544)),"Vodka",
 ISNUMBER(SEARCH("TEQUILA",C1544)),"Tequila/Mezcal",
 ISNUMBER(SEARCH("MEZCAL",C1544)),"Tequila/Mezcal",
 ISNUMBER(SEARCH("RUM",C1544)),"Rum",
 ISNUMBER(SEARCH("BRAND",C1544)),"Brandy",
 ISNUMBER(SEARCH("COGNAC",C1544)),"Brandy",
 ISNUMBER(SEARCH("LIQUEUR",C1544)),"Liqueurs",
 ISNUMBER(SEARCH("CORDIAL",C1544)),"Liqueurs",
 ISNUMBER(SEARCH("SCHNAPP",C1544)),"Liqueurs",
 ISNUMBER(SEARCH("GIN",C1544)),"Gin",
 TRUE,"Other")</f>
        <v>Gin</v>
      </c>
      <c r="E1544" s="5">
        <v>3471</v>
      </c>
      <c r="F1544" s="5">
        <v>90614.01999999999</v>
      </c>
      <c r="G1544" s="5"/>
      <c r="H1544" s="5">
        <v>328</v>
      </c>
    </row>
    <row r="1545" spans="1:8">
      <c r="A1545" s="5">
        <v>2022</v>
      </c>
      <c r="B1545" s="6">
        <v>44896</v>
      </c>
      <c r="C1545" s="5" t="s">
        <v>24</v>
      </c>
      <c r="D1545" s="3" t="str" cm="1">
        <f t="array" ref="D1545">_xlfn.IFS(
 ISNUMBER(SEARCH("WHISK",C1545)),"Whiskey",
 ISNUMBER(SEARCH("BOURBON",C1545)),"Whiskey",
 ISNUMBER(SEARCH("SCOTCH",C1545)),"Whiskey",
 ISNUMBER(SEARCH("RYE",C1545)),"Whiskey",
 ISNUMBER(SEARCH("VODKA",C1545)),"Vodka",
 ISNUMBER(SEARCH("TEQUILA",C1545)),"Tequila/Mezcal",
 ISNUMBER(SEARCH("MEZCAL",C1545)),"Tequila/Mezcal",
 ISNUMBER(SEARCH("RUM",C1545)),"Rum",
 ISNUMBER(SEARCH("BRAND",C1545)),"Brandy",
 ISNUMBER(SEARCH("COGNAC",C1545)),"Brandy",
 ISNUMBER(SEARCH("LIQUEUR",C1545)),"Liqueurs",
 ISNUMBER(SEARCH("CORDIAL",C1545)),"Liqueurs",
 ISNUMBER(SEARCH("SCHNAPP",C1545)),"Liqueurs",
 ISNUMBER(SEARCH("GIN",C1545)),"Gin",
 TRUE,"Other")</f>
        <v>Rum</v>
      </c>
      <c r="E1545" s="5">
        <v>41548</v>
      </c>
      <c r="F1545" s="5">
        <v>628646.05999999924</v>
      </c>
      <c r="G1545" s="5"/>
      <c r="H1545" s="5">
        <v>4585</v>
      </c>
    </row>
    <row r="1546" spans="1:8">
      <c r="A1546" s="5">
        <v>2022</v>
      </c>
      <c r="B1546" s="6">
        <v>44896</v>
      </c>
      <c r="C1546" s="5" t="s">
        <v>25</v>
      </c>
      <c r="D1546" s="3" t="str" cm="1">
        <f t="array" ref="D1546">_xlfn.IFS(
 ISNUMBER(SEARCH("WHISK",C1546)),"Whiskey",
 ISNUMBER(SEARCH("BOURBON",C1546)),"Whiskey",
 ISNUMBER(SEARCH("SCOTCH",C1546)),"Whiskey",
 ISNUMBER(SEARCH("RYE",C1546)),"Whiskey",
 ISNUMBER(SEARCH("VODKA",C1546)),"Vodka",
 ISNUMBER(SEARCH("TEQUILA",C1546)),"Tequila/Mezcal",
 ISNUMBER(SEARCH("MEZCAL",C1546)),"Tequila/Mezcal",
 ISNUMBER(SEARCH("RUM",C1546)),"Rum",
 ISNUMBER(SEARCH("BRAND",C1546)),"Brandy",
 ISNUMBER(SEARCH("COGNAC",C1546)),"Brandy",
 ISNUMBER(SEARCH("LIQUEUR",C1546)),"Liqueurs",
 ISNUMBER(SEARCH("CORDIAL",C1546)),"Liqueurs",
 ISNUMBER(SEARCH("SCHNAPP",C1546)),"Liqueurs",
 ISNUMBER(SEARCH("GIN",C1546)),"Gin",
 TRUE,"Other")</f>
        <v>Rum</v>
      </c>
      <c r="E1546" s="5">
        <v>7792</v>
      </c>
      <c r="F1546" s="5">
        <v>103171.37999999963</v>
      </c>
      <c r="G1546" s="5"/>
      <c r="H1546" s="5">
        <v>1190</v>
      </c>
    </row>
    <row r="1547" spans="1:8">
      <c r="A1547" s="5">
        <v>2022</v>
      </c>
      <c r="B1547" s="6">
        <v>44896</v>
      </c>
      <c r="C1547" s="5" t="s">
        <v>26</v>
      </c>
      <c r="D1547" s="3" t="str" cm="1">
        <f t="array" ref="D1547">_xlfn.IFS(
 ISNUMBER(SEARCH("WHISK",C1547)),"Whiskey",
 ISNUMBER(SEARCH("BOURBON",C1547)),"Whiskey",
 ISNUMBER(SEARCH("SCOTCH",C1547)),"Whiskey",
 ISNUMBER(SEARCH("RYE",C1547)),"Whiskey",
 ISNUMBER(SEARCH("VODKA",C1547)),"Vodka",
 ISNUMBER(SEARCH("TEQUILA",C1547)),"Tequila/Mezcal",
 ISNUMBER(SEARCH("MEZCAL",C1547)),"Tequila/Mezcal",
 ISNUMBER(SEARCH("RUM",C1547)),"Rum",
 ISNUMBER(SEARCH("BRAND",C1547)),"Brandy",
 ISNUMBER(SEARCH("COGNAC",C1547)),"Brandy",
 ISNUMBER(SEARCH("LIQUEUR",C1547)),"Liqueurs",
 ISNUMBER(SEARCH("CORDIAL",C1547)),"Liqueurs",
 ISNUMBER(SEARCH("SCHNAPP",C1547)),"Liqueurs",
 ISNUMBER(SEARCH("GIN",C1547)),"Gin",
 TRUE,"Other")</f>
        <v>Brandy</v>
      </c>
      <c r="E1547" s="5">
        <v>48837</v>
      </c>
      <c r="F1547" s="5">
        <v>1241226.5099999669</v>
      </c>
      <c r="G1547" s="5"/>
      <c r="H1547" s="5">
        <v>4109</v>
      </c>
    </row>
    <row r="1548" spans="1:8">
      <c r="A1548" s="5">
        <v>2022</v>
      </c>
      <c r="B1548" s="6">
        <v>44896</v>
      </c>
      <c r="C1548" s="5" t="s">
        <v>60</v>
      </c>
      <c r="D1548" s="3" t="str" cm="1">
        <f t="array" ref="D1548">_xlfn.IFS(
 ISNUMBER(SEARCH("WHISK",C1548)),"Whiskey",
 ISNUMBER(SEARCH("BOURBON",C1548)),"Whiskey",
 ISNUMBER(SEARCH("SCOTCH",C1548)),"Whiskey",
 ISNUMBER(SEARCH("RYE",C1548)),"Whiskey",
 ISNUMBER(SEARCH("VODKA",C1548)),"Vodka",
 ISNUMBER(SEARCH("TEQUILA",C1548)),"Tequila/Mezcal",
 ISNUMBER(SEARCH("MEZCAL",C1548)),"Tequila/Mezcal",
 ISNUMBER(SEARCH("RUM",C1548)),"Rum",
 ISNUMBER(SEARCH("BRAND",C1548)),"Brandy",
 ISNUMBER(SEARCH("COGNAC",C1548)),"Brandy",
 ISNUMBER(SEARCH("LIQUEUR",C1548)),"Liqueurs",
 ISNUMBER(SEARCH("CORDIAL",C1548)),"Liqueurs",
 ISNUMBER(SEARCH("SCHNAPP",C1548)),"Liqueurs",
 ISNUMBER(SEARCH("GIN",C1548)),"Gin",
 TRUE,"Other")</f>
        <v>Liqueurs</v>
      </c>
      <c r="E1548" s="5">
        <v>46199</v>
      </c>
      <c r="F1548" s="5">
        <v>1107210.1700000083</v>
      </c>
      <c r="G1548" s="5"/>
      <c r="H1548" s="5">
        <v>5408</v>
      </c>
    </row>
    <row r="1549" spans="1:8">
      <c r="A1549" s="5">
        <v>2022</v>
      </c>
      <c r="B1549" s="6">
        <v>44896</v>
      </c>
      <c r="C1549" s="5" t="s">
        <v>28</v>
      </c>
      <c r="D1549" s="3" t="str" cm="1">
        <f t="array" ref="D1549">_xlfn.IFS(
 ISNUMBER(SEARCH("WHISK",C1549)),"Whiskey",
 ISNUMBER(SEARCH("BOURBON",C1549)),"Whiskey",
 ISNUMBER(SEARCH("SCOTCH",C1549)),"Whiskey",
 ISNUMBER(SEARCH("RYE",C1549)),"Whiskey",
 ISNUMBER(SEARCH("VODKA",C1549)),"Vodka",
 ISNUMBER(SEARCH("TEQUILA",C1549)),"Tequila/Mezcal",
 ISNUMBER(SEARCH("MEZCAL",C1549)),"Tequila/Mezcal",
 ISNUMBER(SEARCH("RUM",C1549)),"Rum",
 ISNUMBER(SEARCH("BRAND",C1549)),"Brandy",
 ISNUMBER(SEARCH("COGNAC",C1549)),"Brandy",
 ISNUMBER(SEARCH("LIQUEUR",C1549)),"Liqueurs",
 ISNUMBER(SEARCH("CORDIAL",C1549)),"Liqueurs",
 ISNUMBER(SEARCH("SCHNAPP",C1549)),"Liqueurs",
 ISNUMBER(SEARCH("GIN",C1549)),"Gin",
 TRUE,"Other")</f>
        <v>Other</v>
      </c>
      <c r="E1549" s="5">
        <v>23749</v>
      </c>
      <c r="F1549" s="5">
        <v>187497.78999999975</v>
      </c>
      <c r="G1549" s="5"/>
      <c r="H1549" s="5">
        <v>443</v>
      </c>
    </row>
    <row r="1550" spans="1:8">
      <c r="A1550" s="5">
        <v>2022</v>
      </c>
      <c r="B1550" s="6">
        <v>44896</v>
      </c>
      <c r="C1550" s="5" t="s">
        <v>29</v>
      </c>
      <c r="D1550" s="3" t="str" cm="1">
        <f t="array" ref="D1550">_xlfn.IFS(
 ISNUMBER(SEARCH("WHISK",C1550)),"Whiskey",
 ISNUMBER(SEARCH("BOURBON",C1550)),"Whiskey",
 ISNUMBER(SEARCH("SCOTCH",C1550)),"Whiskey",
 ISNUMBER(SEARCH("RYE",C1550)),"Whiskey",
 ISNUMBER(SEARCH("VODKA",C1550)),"Vodka",
 ISNUMBER(SEARCH("TEQUILA",C1550)),"Tequila/Mezcal",
 ISNUMBER(SEARCH("MEZCAL",C1550)),"Tequila/Mezcal",
 ISNUMBER(SEARCH("RUM",C1550)),"Rum",
 ISNUMBER(SEARCH("BRAND",C1550)),"Brandy",
 ISNUMBER(SEARCH("COGNAC",C1550)),"Brandy",
 ISNUMBER(SEARCH("LIQUEUR",C1550)),"Liqueurs",
 ISNUMBER(SEARCH("CORDIAL",C1550)),"Liqueurs",
 ISNUMBER(SEARCH("SCHNAPP",C1550)),"Liqueurs",
 ISNUMBER(SEARCH("GIN",C1550)),"Gin",
 TRUE,"Other")</f>
        <v>Gin</v>
      </c>
      <c r="E1550" s="5">
        <v>15376</v>
      </c>
      <c r="F1550" s="5">
        <v>391101.90000000113</v>
      </c>
      <c r="G1550" s="5"/>
      <c r="H1550" s="5">
        <v>2123</v>
      </c>
    </row>
    <row r="1551" spans="1:8">
      <c r="A1551" s="5">
        <v>2022</v>
      </c>
      <c r="B1551" s="6">
        <v>44896</v>
      </c>
      <c r="C1551" s="5" t="s">
        <v>30</v>
      </c>
      <c r="D1551" s="3" t="str" cm="1">
        <f t="array" ref="D1551">_xlfn.IFS(
 ISNUMBER(SEARCH("WHISK",C1551)),"Whiskey",
 ISNUMBER(SEARCH("BOURBON",C1551)),"Whiskey",
 ISNUMBER(SEARCH("SCOTCH",C1551)),"Whiskey",
 ISNUMBER(SEARCH("RYE",C1551)),"Whiskey",
 ISNUMBER(SEARCH("VODKA",C1551)),"Vodka",
 ISNUMBER(SEARCH("TEQUILA",C1551)),"Tequila/Mezcal",
 ISNUMBER(SEARCH("MEZCAL",C1551)),"Tequila/Mezcal",
 ISNUMBER(SEARCH("RUM",C1551)),"Rum",
 ISNUMBER(SEARCH("BRAND",C1551)),"Brandy",
 ISNUMBER(SEARCH("COGNAC",C1551)),"Brandy",
 ISNUMBER(SEARCH("LIQUEUR",C1551)),"Liqueurs",
 ISNUMBER(SEARCH("CORDIAL",C1551)),"Liqueurs",
 ISNUMBER(SEARCH("SCHNAPP",C1551)),"Liqueurs",
 ISNUMBER(SEARCH("GIN",C1551)),"Gin",
 TRUE,"Other")</f>
        <v>Vodka</v>
      </c>
      <c r="E1551" s="5">
        <v>24620</v>
      </c>
      <c r="F1551" s="5">
        <v>406881.30999999988</v>
      </c>
      <c r="G1551" s="5"/>
      <c r="H1551" s="5">
        <v>3009</v>
      </c>
    </row>
    <row r="1552" spans="1:8">
      <c r="A1552" s="5">
        <v>2022</v>
      </c>
      <c r="B1552" s="6">
        <v>44896</v>
      </c>
      <c r="C1552" s="5" t="s">
        <v>31</v>
      </c>
      <c r="D1552" s="3" t="str" cm="1">
        <f t="array" ref="D1552">_xlfn.IFS(
 ISNUMBER(SEARCH("WHISK",C1552)),"Whiskey",
 ISNUMBER(SEARCH("BOURBON",C1552)),"Whiskey",
 ISNUMBER(SEARCH("SCOTCH",C1552)),"Whiskey",
 ISNUMBER(SEARCH("RYE",C1552)),"Whiskey",
 ISNUMBER(SEARCH("VODKA",C1552)),"Vodka",
 ISNUMBER(SEARCH("TEQUILA",C1552)),"Tequila/Mezcal",
 ISNUMBER(SEARCH("MEZCAL",C1552)),"Tequila/Mezcal",
 ISNUMBER(SEARCH("RUM",C1552)),"Rum",
 ISNUMBER(SEARCH("BRAND",C1552)),"Brandy",
 ISNUMBER(SEARCH("COGNAC",C1552)),"Brandy",
 ISNUMBER(SEARCH("LIQUEUR",C1552)),"Liqueurs",
 ISNUMBER(SEARCH("CORDIAL",C1552)),"Liqueurs",
 ISNUMBER(SEARCH("SCHNAPP",C1552)),"Liqueurs",
 ISNUMBER(SEARCH("GIN",C1552)),"Gin",
 TRUE,"Other")</f>
        <v>Liqueurs</v>
      </c>
      <c r="E1552" s="5">
        <v>32144</v>
      </c>
      <c r="F1552" s="5">
        <v>551063.37999999872</v>
      </c>
      <c r="G1552" s="5"/>
      <c r="H1552" s="5">
        <v>3595</v>
      </c>
    </row>
    <row r="1553" spans="1:8">
      <c r="A1553" s="5">
        <v>2022</v>
      </c>
      <c r="B1553" s="6">
        <v>44896</v>
      </c>
      <c r="C1553" s="5" t="s">
        <v>32</v>
      </c>
      <c r="D1553" s="3" t="str" cm="1">
        <f t="array" ref="D1553">_xlfn.IFS(
 ISNUMBER(SEARCH("WHISK",C1553)),"Whiskey",
 ISNUMBER(SEARCH("BOURBON",C1553)),"Whiskey",
 ISNUMBER(SEARCH("SCOTCH",C1553)),"Whiskey",
 ISNUMBER(SEARCH("RYE",C1553)),"Whiskey",
 ISNUMBER(SEARCH("VODKA",C1553)),"Vodka",
 ISNUMBER(SEARCH("TEQUILA",C1553)),"Tequila/Mezcal",
 ISNUMBER(SEARCH("MEZCAL",C1553)),"Tequila/Mezcal",
 ISNUMBER(SEARCH("RUM",C1553)),"Rum",
 ISNUMBER(SEARCH("BRAND",C1553)),"Brandy",
 ISNUMBER(SEARCH("COGNAC",C1553)),"Brandy",
 ISNUMBER(SEARCH("LIQUEUR",C1553)),"Liqueurs",
 ISNUMBER(SEARCH("CORDIAL",C1553)),"Liqueurs",
 ISNUMBER(SEARCH("SCHNAPP",C1553)),"Liqueurs",
 ISNUMBER(SEARCH("GIN",C1553)),"Gin",
 TRUE,"Other")</f>
        <v>Vodka</v>
      </c>
      <c r="E1553" s="5">
        <v>72848</v>
      </c>
      <c r="F1553" s="5">
        <v>1221355.7699999535</v>
      </c>
      <c r="G1553" s="5"/>
      <c r="H1553" s="5">
        <v>6043</v>
      </c>
    </row>
    <row r="1554" spans="1:8">
      <c r="A1554" s="5">
        <v>2022</v>
      </c>
      <c r="B1554" s="6">
        <v>44896</v>
      </c>
      <c r="C1554" s="5" t="s">
        <v>33</v>
      </c>
      <c r="D1554" s="3" t="str" cm="1">
        <f t="array" ref="D1554">_xlfn.IFS(
 ISNUMBER(SEARCH("WHISK",C1554)),"Whiskey",
 ISNUMBER(SEARCH("BOURBON",C1554)),"Whiskey",
 ISNUMBER(SEARCH("SCOTCH",C1554)),"Whiskey",
 ISNUMBER(SEARCH("RYE",C1554)),"Whiskey",
 ISNUMBER(SEARCH("VODKA",C1554)),"Vodka",
 ISNUMBER(SEARCH("TEQUILA",C1554)),"Tequila/Mezcal",
 ISNUMBER(SEARCH("MEZCAL",C1554)),"Tequila/Mezcal",
 ISNUMBER(SEARCH("RUM",C1554)),"Rum",
 ISNUMBER(SEARCH("BRAND",C1554)),"Brandy",
 ISNUMBER(SEARCH("COGNAC",C1554)),"Brandy",
 ISNUMBER(SEARCH("LIQUEUR",C1554)),"Liqueurs",
 ISNUMBER(SEARCH("CORDIAL",C1554)),"Liqueurs",
 ISNUMBER(SEARCH("SCHNAPP",C1554)),"Liqueurs",
 ISNUMBER(SEARCH("GIN",C1554)),"Gin",
 TRUE,"Other")</f>
        <v>Whiskey</v>
      </c>
      <c r="E1554" s="5">
        <v>30551</v>
      </c>
      <c r="F1554" s="5">
        <v>866035.87999998592</v>
      </c>
      <c r="G1554" s="5"/>
      <c r="H1554" s="5">
        <v>3173</v>
      </c>
    </row>
    <row r="1555" spans="1:8">
      <c r="A1555" s="5">
        <v>2022</v>
      </c>
      <c r="B1555" s="6">
        <v>44896</v>
      </c>
      <c r="C1555" s="5" t="s">
        <v>34</v>
      </c>
      <c r="D1555" s="3" t="str" cm="1">
        <f t="array" ref="D1555">_xlfn.IFS(
 ISNUMBER(SEARCH("WHISK",C1555)),"Whiskey",
 ISNUMBER(SEARCH("BOURBON",C1555)),"Whiskey",
 ISNUMBER(SEARCH("SCOTCH",C1555)),"Whiskey",
 ISNUMBER(SEARCH("RYE",C1555)),"Whiskey",
 ISNUMBER(SEARCH("VODKA",C1555)),"Vodka",
 ISNUMBER(SEARCH("TEQUILA",C1555)),"Tequila/Mezcal",
 ISNUMBER(SEARCH("MEZCAL",C1555)),"Tequila/Mezcal",
 ISNUMBER(SEARCH("RUM",C1555)),"Rum",
 ISNUMBER(SEARCH("BRAND",C1555)),"Brandy",
 ISNUMBER(SEARCH("COGNAC",C1555)),"Brandy",
 ISNUMBER(SEARCH("LIQUEUR",C1555)),"Liqueurs",
 ISNUMBER(SEARCH("CORDIAL",C1555)),"Liqueurs",
 ISNUMBER(SEARCH("SCHNAPP",C1555)),"Liqueurs",
 ISNUMBER(SEARCH("GIN",C1555)),"Gin",
 TRUE,"Other")</f>
        <v>Tequila/Mezcal</v>
      </c>
      <c r="E1555" s="5">
        <v>1284</v>
      </c>
      <c r="F1555" s="5">
        <v>40080.109999999971</v>
      </c>
      <c r="G1555" s="5"/>
      <c r="H1555" s="5">
        <v>278</v>
      </c>
    </row>
    <row r="1556" spans="1:8">
      <c r="A1556" s="5">
        <v>2022</v>
      </c>
      <c r="B1556" s="6">
        <v>44896</v>
      </c>
      <c r="C1556" s="5" t="s">
        <v>35</v>
      </c>
      <c r="D1556" s="3" t="str" cm="1">
        <f t="array" ref="D1556">_xlfn.IFS(
 ISNUMBER(SEARCH("WHISK",C1556)),"Whiskey",
 ISNUMBER(SEARCH("BOURBON",C1556)),"Whiskey",
 ISNUMBER(SEARCH("SCOTCH",C1556)),"Whiskey",
 ISNUMBER(SEARCH("RYE",C1556)),"Whiskey",
 ISNUMBER(SEARCH("VODKA",C1556)),"Vodka",
 ISNUMBER(SEARCH("TEQUILA",C1556)),"Tequila/Mezcal",
 ISNUMBER(SEARCH("MEZCAL",C1556)),"Tequila/Mezcal",
 ISNUMBER(SEARCH("RUM",C1556)),"Rum",
 ISNUMBER(SEARCH("BRAND",C1556)),"Brandy",
 ISNUMBER(SEARCH("COGNAC",C1556)),"Brandy",
 ISNUMBER(SEARCH("LIQUEUR",C1556)),"Liqueurs",
 ISNUMBER(SEARCH("CORDIAL",C1556)),"Liqueurs",
 ISNUMBER(SEARCH("SCHNAPP",C1556)),"Liqueurs",
 ISNUMBER(SEARCH("GIN",C1556)),"Gin",
 TRUE,"Other")</f>
        <v>Tequila/Mezcal</v>
      </c>
      <c r="E1556" s="5">
        <v>61642</v>
      </c>
      <c r="F1556" s="5">
        <v>857562.60000000894</v>
      </c>
      <c r="G1556" s="5"/>
      <c r="H1556" s="5">
        <v>4952</v>
      </c>
    </row>
    <row r="1557" spans="1:8">
      <c r="A1557" s="5">
        <v>2022</v>
      </c>
      <c r="B1557" s="6">
        <v>44896</v>
      </c>
      <c r="C1557" s="5" t="s">
        <v>36</v>
      </c>
      <c r="D1557" s="3" t="str" cm="1">
        <f t="array" ref="D1557">_xlfn.IFS(
 ISNUMBER(SEARCH("WHISK",C1557)),"Whiskey",
 ISNUMBER(SEARCH("BOURBON",C1557)),"Whiskey",
 ISNUMBER(SEARCH("SCOTCH",C1557)),"Whiskey",
 ISNUMBER(SEARCH("RYE",C1557)),"Whiskey",
 ISNUMBER(SEARCH("VODKA",C1557)),"Vodka",
 ISNUMBER(SEARCH("TEQUILA",C1557)),"Tequila/Mezcal",
 ISNUMBER(SEARCH("MEZCAL",C1557)),"Tequila/Mezcal",
 ISNUMBER(SEARCH("RUM",C1557)),"Rum",
 ISNUMBER(SEARCH("BRAND",C1557)),"Brandy",
 ISNUMBER(SEARCH("COGNAC",C1557)),"Brandy",
 ISNUMBER(SEARCH("LIQUEUR",C1557)),"Liqueurs",
 ISNUMBER(SEARCH("CORDIAL",C1557)),"Liqueurs",
 ISNUMBER(SEARCH("SCHNAPP",C1557)),"Liqueurs",
 ISNUMBER(SEARCH("GIN",C1557)),"Gin",
 TRUE,"Other")</f>
        <v>Other</v>
      </c>
      <c r="E1557" s="5">
        <v>6176</v>
      </c>
      <c r="F1557" s="5">
        <v>89230.469999999856</v>
      </c>
      <c r="G1557" s="5"/>
      <c r="H1557" s="5">
        <v>714</v>
      </c>
    </row>
    <row r="1558" spans="1:8">
      <c r="A1558" s="5">
        <v>2022</v>
      </c>
      <c r="B1558" s="6">
        <v>44896</v>
      </c>
      <c r="C1558" s="5" t="s">
        <v>37</v>
      </c>
      <c r="D1558" s="3" t="str" cm="1">
        <f t="array" ref="D1558">_xlfn.IFS(
 ISNUMBER(SEARCH("WHISK",C1558)),"Whiskey",
 ISNUMBER(SEARCH("BOURBON",C1558)),"Whiskey",
 ISNUMBER(SEARCH("SCOTCH",C1558)),"Whiskey",
 ISNUMBER(SEARCH("RYE",C1558)),"Whiskey",
 ISNUMBER(SEARCH("VODKA",C1558)),"Vodka",
 ISNUMBER(SEARCH("TEQUILA",C1558)),"Tequila/Mezcal",
 ISNUMBER(SEARCH("MEZCAL",C1558)),"Tequila/Mezcal",
 ISNUMBER(SEARCH("RUM",C1558)),"Rum",
 ISNUMBER(SEARCH("BRAND",C1558)),"Brandy",
 ISNUMBER(SEARCH("COGNAC",C1558)),"Brandy",
 ISNUMBER(SEARCH("LIQUEUR",C1558)),"Liqueurs",
 ISNUMBER(SEARCH("CORDIAL",C1558)),"Liqueurs",
 ISNUMBER(SEARCH("SCHNAPP",C1558)),"Liqueurs",
 ISNUMBER(SEARCH("GIN",C1558)),"Gin",
 TRUE,"Other")</f>
        <v>Other</v>
      </c>
      <c r="E1558" s="5">
        <v>21311</v>
      </c>
      <c r="F1558" s="5">
        <v>357342.77000000147</v>
      </c>
      <c r="G1558" s="5"/>
      <c r="H1558" s="5">
        <v>4088</v>
      </c>
    </row>
    <row r="1559" spans="1:8">
      <c r="A1559" s="5">
        <v>2022</v>
      </c>
      <c r="B1559" s="6">
        <v>44896</v>
      </c>
      <c r="C1559" s="5" t="s">
        <v>38</v>
      </c>
      <c r="D1559" s="3" t="str" cm="1">
        <f t="array" ref="D1559">_xlfn.IFS(
 ISNUMBER(SEARCH("WHISK",C1559)),"Whiskey",
 ISNUMBER(SEARCH("BOURBON",C1559)),"Whiskey",
 ISNUMBER(SEARCH("SCOTCH",C1559)),"Whiskey",
 ISNUMBER(SEARCH("RYE",C1559)),"Whiskey",
 ISNUMBER(SEARCH("VODKA",C1559)),"Vodka",
 ISNUMBER(SEARCH("TEQUILA",C1559)),"Tequila/Mezcal",
 ISNUMBER(SEARCH("MEZCAL",C1559)),"Tequila/Mezcal",
 ISNUMBER(SEARCH("RUM",C1559)),"Rum",
 ISNUMBER(SEARCH("BRAND",C1559)),"Brandy",
 ISNUMBER(SEARCH("COGNAC",C1559)),"Brandy",
 ISNUMBER(SEARCH("LIQUEUR",C1559)),"Liqueurs",
 ISNUMBER(SEARCH("CORDIAL",C1559)),"Liqueurs",
 ISNUMBER(SEARCH("SCHNAPP",C1559)),"Liqueurs",
 ISNUMBER(SEARCH("GIN",C1559)),"Gin",
 TRUE,"Other")</f>
        <v>Whiskey</v>
      </c>
      <c r="E1559" s="5">
        <v>21276</v>
      </c>
      <c r="F1559" s="5">
        <v>745238.29999999073</v>
      </c>
      <c r="G1559" s="5"/>
      <c r="H1559" s="5">
        <v>3528</v>
      </c>
    </row>
    <row r="1560" spans="1:8">
      <c r="A1560" s="5">
        <v>2022</v>
      </c>
      <c r="B1560" s="6">
        <v>44896</v>
      </c>
      <c r="C1560" s="5" t="s">
        <v>39</v>
      </c>
      <c r="D1560" s="3" t="str" cm="1">
        <f t="array" ref="D1560">_xlfn.IFS(
 ISNUMBER(SEARCH("WHISK",C1560)),"Whiskey",
 ISNUMBER(SEARCH("BOURBON",C1560)),"Whiskey",
 ISNUMBER(SEARCH("SCOTCH",C1560)),"Whiskey",
 ISNUMBER(SEARCH("RYE",C1560)),"Whiskey",
 ISNUMBER(SEARCH("VODKA",C1560)),"Vodka",
 ISNUMBER(SEARCH("TEQUILA",C1560)),"Tequila/Mezcal",
 ISNUMBER(SEARCH("MEZCAL",C1560)),"Tequila/Mezcal",
 ISNUMBER(SEARCH("RUM",C1560)),"Rum",
 ISNUMBER(SEARCH("BRAND",C1560)),"Brandy",
 ISNUMBER(SEARCH("COGNAC",C1560)),"Brandy",
 ISNUMBER(SEARCH("LIQUEUR",C1560)),"Liqueurs",
 ISNUMBER(SEARCH("CORDIAL",C1560)),"Liqueurs",
 ISNUMBER(SEARCH("SCHNAPP",C1560)),"Liqueurs",
 ISNUMBER(SEARCH("GIN",C1560)),"Gin",
 TRUE,"Other")</f>
        <v>Whiskey</v>
      </c>
      <c r="E1560" s="5">
        <v>4374</v>
      </c>
      <c r="F1560" s="5">
        <v>166914.75000000015</v>
      </c>
      <c r="G1560" s="5"/>
      <c r="H1560" s="5">
        <v>621</v>
      </c>
    </row>
    <row r="1561" spans="1:8">
      <c r="A1561" s="5">
        <v>2022</v>
      </c>
      <c r="B1561" s="6">
        <v>44896</v>
      </c>
      <c r="C1561" s="5" t="s">
        <v>40</v>
      </c>
      <c r="D1561" s="3" t="str" cm="1">
        <f t="array" ref="D1561">_xlfn.IFS(
 ISNUMBER(SEARCH("WHISK",C1561)),"Whiskey",
 ISNUMBER(SEARCH("BOURBON",C1561)),"Whiskey",
 ISNUMBER(SEARCH("SCOTCH",C1561)),"Whiskey",
 ISNUMBER(SEARCH("RYE",C1561)),"Whiskey",
 ISNUMBER(SEARCH("VODKA",C1561)),"Vodka",
 ISNUMBER(SEARCH("TEQUILA",C1561)),"Tequila/Mezcal",
 ISNUMBER(SEARCH("MEZCAL",C1561)),"Tequila/Mezcal",
 ISNUMBER(SEARCH("RUM",C1561)),"Rum",
 ISNUMBER(SEARCH("BRAND",C1561)),"Brandy",
 ISNUMBER(SEARCH("COGNAC",C1561)),"Brandy",
 ISNUMBER(SEARCH("LIQUEUR",C1561)),"Liqueurs",
 ISNUMBER(SEARCH("CORDIAL",C1561)),"Liqueurs",
 ISNUMBER(SEARCH("SCHNAPP",C1561)),"Liqueurs",
 ISNUMBER(SEARCH("GIN",C1561)),"Gin",
 TRUE,"Other")</f>
        <v>Whiskey</v>
      </c>
      <c r="E1561" s="5">
        <v>10273</v>
      </c>
      <c r="F1561" s="5">
        <v>491458.05999999848</v>
      </c>
      <c r="G1561" s="5"/>
      <c r="H1561" s="5">
        <v>2153</v>
      </c>
    </row>
    <row r="1562" spans="1:8">
      <c r="A1562" s="5">
        <v>2022</v>
      </c>
      <c r="B1562" s="6">
        <v>44896</v>
      </c>
      <c r="C1562" s="5" t="s">
        <v>41</v>
      </c>
      <c r="D1562" s="3" t="str" cm="1">
        <f t="array" ref="D1562">_xlfn.IFS(
 ISNUMBER(SEARCH("WHISK",C1562)),"Whiskey",
 ISNUMBER(SEARCH("BOURBON",C1562)),"Whiskey",
 ISNUMBER(SEARCH("SCOTCH",C1562)),"Whiskey",
 ISNUMBER(SEARCH("RYE",C1562)),"Whiskey",
 ISNUMBER(SEARCH("VODKA",C1562)),"Vodka",
 ISNUMBER(SEARCH("TEQUILA",C1562)),"Tequila/Mezcal",
 ISNUMBER(SEARCH("MEZCAL",C1562)),"Tequila/Mezcal",
 ISNUMBER(SEARCH("RUM",C1562)),"Rum",
 ISNUMBER(SEARCH("BRAND",C1562)),"Brandy",
 ISNUMBER(SEARCH("COGNAC",C1562)),"Brandy",
 ISNUMBER(SEARCH("LIQUEUR",C1562)),"Liqueurs",
 ISNUMBER(SEARCH("CORDIAL",C1562)),"Liqueurs",
 ISNUMBER(SEARCH("SCHNAPP",C1562)),"Liqueurs",
 ISNUMBER(SEARCH("GIN",C1562)),"Gin",
 TRUE,"Other")</f>
        <v>Other</v>
      </c>
      <c r="E1562" s="5">
        <v>7592</v>
      </c>
      <c r="F1562" s="5">
        <v>105914.27000000005</v>
      </c>
      <c r="G1562" s="5"/>
      <c r="H1562" s="5">
        <v>241</v>
      </c>
    </row>
    <row r="1563" spans="1:8">
      <c r="A1563" s="5">
        <v>2022</v>
      </c>
      <c r="B1563" s="6">
        <v>44896</v>
      </c>
      <c r="C1563" s="5" t="s">
        <v>42</v>
      </c>
      <c r="D1563" s="3" t="str" cm="1">
        <f t="array" ref="D1563">_xlfn.IFS(
 ISNUMBER(SEARCH("WHISK",C1563)),"Whiskey",
 ISNUMBER(SEARCH("BOURBON",C1563)),"Whiskey",
 ISNUMBER(SEARCH("SCOTCH",C1563)),"Whiskey",
 ISNUMBER(SEARCH("RYE",C1563)),"Whiskey",
 ISNUMBER(SEARCH("VODKA",C1563)),"Vodka",
 ISNUMBER(SEARCH("TEQUILA",C1563)),"Tequila/Mezcal",
 ISNUMBER(SEARCH("MEZCAL",C1563)),"Tequila/Mezcal",
 ISNUMBER(SEARCH("RUM",C1563)),"Rum",
 ISNUMBER(SEARCH("BRAND",C1563)),"Brandy",
 ISNUMBER(SEARCH("COGNAC",C1563)),"Brandy",
 ISNUMBER(SEARCH("LIQUEUR",C1563)),"Liqueurs",
 ISNUMBER(SEARCH("CORDIAL",C1563)),"Liqueurs",
 ISNUMBER(SEARCH("SCHNAPP",C1563)),"Liqueurs",
 ISNUMBER(SEARCH("GIN",C1563)),"Gin",
 TRUE,"Other")</f>
        <v>Rum</v>
      </c>
      <c r="E1563" s="5">
        <v>134771</v>
      </c>
      <c r="F1563" s="5">
        <v>2087776.6499999557</v>
      </c>
      <c r="G1563" s="5"/>
      <c r="H1563" s="5">
        <v>9204</v>
      </c>
    </row>
    <row r="1564" spans="1:8">
      <c r="A1564" s="5">
        <v>2022</v>
      </c>
      <c r="B1564" s="6">
        <v>44896</v>
      </c>
      <c r="C1564" s="5" t="s">
        <v>43</v>
      </c>
      <c r="D1564" s="3" t="str" cm="1">
        <f t="array" ref="D1564">_xlfn.IFS(
 ISNUMBER(SEARCH("WHISK",C1564)),"Whiskey",
 ISNUMBER(SEARCH("BOURBON",C1564)),"Whiskey",
 ISNUMBER(SEARCH("SCOTCH",C1564)),"Whiskey",
 ISNUMBER(SEARCH("RYE",C1564)),"Whiskey",
 ISNUMBER(SEARCH("VODKA",C1564)),"Vodka",
 ISNUMBER(SEARCH("TEQUILA",C1564)),"Tequila/Mezcal",
 ISNUMBER(SEARCH("MEZCAL",C1564)),"Tequila/Mezcal",
 ISNUMBER(SEARCH("RUM",C1564)),"Rum",
 ISNUMBER(SEARCH("BRAND",C1564)),"Brandy",
 ISNUMBER(SEARCH("COGNAC",C1564)),"Brandy",
 ISNUMBER(SEARCH("LIQUEUR",C1564)),"Liqueurs",
 ISNUMBER(SEARCH("CORDIAL",C1564)),"Liqueurs",
 ISNUMBER(SEARCH("SCHNAPP",C1564)),"Liqueurs",
 ISNUMBER(SEARCH("GIN",C1564)),"Gin",
 TRUE,"Other")</f>
        <v>Whiskey</v>
      </c>
      <c r="E1564" s="5">
        <v>168917</v>
      </c>
      <c r="F1564" s="5">
        <v>3995399.8200000725</v>
      </c>
      <c r="G1564" s="5"/>
      <c r="H1564" s="5">
        <v>20724</v>
      </c>
    </row>
    <row r="1565" spans="1:8">
      <c r="A1565" s="5">
        <v>2022</v>
      </c>
      <c r="B1565" s="6">
        <v>44896</v>
      </c>
      <c r="C1565" s="5" t="s">
        <v>44</v>
      </c>
      <c r="D1565" s="3" t="str" cm="1">
        <f t="array" ref="D1565">_xlfn.IFS(
 ISNUMBER(SEARCH("WHISK",C1565)),"Whiskey",
 ISNUMBER(SEARCH("BOURBON",C1565)),"Whiskey",
 ISNUMBER(SEARCH("SCOTCH",C1565)),"Whiskey",
 ISNUMBER(SEARCH("RYE",C1565)),"Whiskey",
 ISNUMBER(SEARCH("VODKA",C1565)),"Vodka",
 ISNUMBER(SEARCH("TEQUILA",C1565)),"Tequila/Mezcal",
 ISNUMBER(SEARCH("MEZCAL",C1565)),"Tequila/Mezcal",
 ISNUMBER(SEARCH("RUM",C1565)),"Rum",
 ISNUMBER(SEARCH("BRAND",C1565)),"Brandy",
 ISNUMBER(SEARCH("COGNAC",C1565)),"Brandy",
 ISNUMBER(SEARCH("LIQUEUR",C1565)),"Liqueurs",
 ISNUMBER(SEARCH("CORDIAL",C1565)),"Liqueurs",
 ISNUMBER(SEARCH("SCHNAPP",C1565)),"Liqueurs",
 ISNUMBER(SEARCH("GIN",C1565)),"Gin",
 TRUE,"Other")</f>
        <v>Whiskey</v>
      </c>
      <c r="E1565" s="5">
        <v>15717</v>
      </c>
      <c r="F1565" s="5">
        <v>539109.61000000616</v>
      </c>
      <c r="G1565" s="5"/>
      <c r="H1565" s="5">
        <v>2590</v>
      </c>
    </row>
    <row r="1566" spans="1:8">
      <c r="A1566" s="5">
        <v>2022</v>
      </c>
      <c r="B1566" s="6">
        <v>44896</v>
      </c>
      <c r="C1566" s="5" t="s">
        <v>45</v>
      </c>
      <c r="D1566" s="3" t="str" cm="1">
        <f t="array" ref="D1566">_xlfn.IFS(
 ISNUMBER(SEARCH("WHISK",C1566)),"Whiskey",
 ISNUMBER(SEARCH("BOURBON",C1566)),"Whiskey",
 ISNUMBER(SEARCH("SCOTCH",C1566)),"Whiskey",
 ISNUMBER(SEARCH("RYE",C1566)),"Whiskey",
 ISNUMBER(SEARCH("VODKA",C1566)),"Vodka",
 ISNUMBER(SEARCH("TEQUILA",C1566)),"Tequila/Mezcal",
 ISNUMBER(SEARCH("MEZCAL",C1566)),"Tequila/Mezcal",
 ISNUMBER(SEARCH("RUM",C1566)),"Rum",
 ISNUMBER(SEARCH("BRAND",C1566)),"Brandy",
 ISNUMBER(SEARCH("COGNAC",C1566)),"Brandy",
 ISNUMBER(SEARCH("LIQUEUR",C1566)),"Liqueurs",
 ISNUMBER(SEARCH("CORDIAL",C1566)),"Liqueurs",
 ISNUMBER(SEARCH("SCHNAPP",C1566)),"Liqueurs",
 ISNUMBER(SEARCH("GIN",C1566)),"Gin",
 TRUE,"Other")</f>
        <v>Other</v>
      </c>
      <c r="E1566" s="5">
        <v>63049</v>
      </c>
      <c r="F1566" s="5">
        <v>1686907.8199999304</v>
      </c>
      <c r="G1566" s="5"/>
      <c r="H1566" s="5">
        <v>9089</v>
      </c>
    </row>
    <row r="1567" spans="1:8">
      <c r="A1567" s="5">
        <v>2022</v>
      </c>
      <c r="B1567" s="6">
        <v>44896</v>
      </c>
      <c r="C1567" s="5" t="s">
        <v>46</v>
      </c>
      <c r="D1567" s="3" t="str" cm="1">
        <f t="array" ref="D1567">_xlfn.IFS(
 ISNUMBER(SEARCH("WHISK",C1567)),"Whiskey",
 ISNUMBER(SEARCH("BOURBON",C1567)),"Whiskey",
 ISNUMBER(SEARCH("SCOTCH",C1567)),"Whiskey",
 ISNUMBER(SEARCH("RYE",C1567)),"Whiskey",
 ISNUMBER(SEARCH("VODKA",C1567)),"Vodka",
 ISNUMBER(SEARCH("TEQUILA",C1567)),"Tequila/Mezcal",
 ISNUMBER(SEARCH("MEZCAL",C1567)),"Tequila/Mezcal",
 ISNUMBER(SEARCH("RUM",C1567)),"Rum",
 ISNUMBER(SEARCH("BRAND",C1567)),"Brandy",
 ISNUMBER(SEARCH("COGNAC",C1567)),"Brandy",
 ISNUMBER(SEARCH("LIQUEUR",C1567)),"Liqueurs",
 ISNUMBER(SEARCH("CORDIAL",C1567)),"Liqueurs",
 ISNUMBER(SEARCH("SCHNAPP",C1567)),"Liqueurs",
 ISNUMBER(SEARCH("GIN",C1567)),"Gin",
 TRUE,"Other")</f>
        <v>Whiskey</v>
      </c>
      <c r="E1567" s="5">
        <v>70115</v>
      </c>
      <c r="F1567" s="5">
        <v>1631767.8199999579</v>
      </c>
      <c r="G1567" s="5"/>
      <c r="H1567" s="5">
        <v>7854</v>
      </c>
    </row>
    <row r="1568" spans="1:8">
      <c r="A1568" s="5">
        <v>2022</v>
      </c>
      <c r="B1568" s="6">
        <v>44896</v>
      </c>
      <c r="C1568" s="5" t="s">
        <v>47</v>
      </c>
      <c r="D1568" s="3" t="str" cm="1">
        <f t="array" ref="D1568">_xlfn.IFS(
 ISNUMBER(SEARCH("WHISK",C1568)),"Whiskey",
 ISNUMBER(SEARCH("BOURBON",C1568)),"Whiskey",
 ISNUMBER(SEARCH("SCOTCH",C1568)),"Whiskey",
 ISNUMBER(SEARCH("RYE",C1568)),"Whiskey",
 ISNUMBER(SEARCH("VODKA",C1568)),"Vodka",
 ISNUMBER(SEARCH("TEQUILA",C1568)),"Tequila/Mezcal",
 ISNUMBER(SEARCH("MEZCAL",C1568)),"Tequila/Mezcal",
 ISNUMBER(SEARCH("RUM",C1568)),"Rum",
 ISNUMBER(SEARCH("BRAND",C1568)),"Brandy",
 ISNUMBER(SEARCH("COGNAC",C1568)),"Brandy",
 ISNUMBER(SEARCH("LIQUEUR",C1568)),"Liqueurs",
 ISNUMBER(SEARCH("CORDIAL",C1568)),"Liqueurs",
 ISNUMBER(SEARCH("SCHNAPP",C1568)),"Liqueurs",
 ISNUMBER(SEARCH("GIN",C1568)),"Gin",
 TRUE,"Other")</f>
        <v>Other</v>
      </c>
      <c r="E1568" s="5">
        <v>15425</v>
      </c>
      <c r="F1568" s="5">
        <v>62703.659999999938</v>
      </c>
      <c r="G1568" s="5"/>
      <c r="H1568" s="5">
        <v>770</v>
      </c>
    </row>
    <row r="1569" spans="1:8">
      <c r="A1569" s="5">
        <v>2022</v>
      </c>
      <c r="B1569" s="6">
        <v>44896</v>
      </c>
      <c r="C1569" s="5" t="s">
        <v>48</v>
      </c>
      <c r="D1569" s="3" t="str" cm="1">
        <f t="array" ref="D1569">_xlfn.IFS(
 ISNUMBER(SEARCH("WHISK",C1569)),"Whiskey",
 ISNUMBER(SEARCH("BOURBON",C1569)),"Whiskey",
 ISNUMBER(SEARCH("SCOTCH",C1569)),"Whiskey",
 ISNUMBER(SEARCH("RYE",C1569)),"Whiskey",
 ISNUMBER(SEARCH("VODKA",C1569)),"Vodka",
 ISNUMBER(SEARCH("TEQUILA",C1569)),"Tequila/Mezcal",
 ISNUMBER(SEARCH("MEZCAL",C1569)),"Tequila/Mezcal",
 ISNUMBER(SEARCH("RUM",C1569)),"Rum",
 ISNUMBER(SEARCH("BRAND",C1569)),"Brandy",
 ISNUMBER(SEARCH("COGNAC",C1569)),"Brandy",
 ISNUMBER(SEARCH("LIQUEUR",C1569)),"Liqueurs",
 ISNUMBER(SEARCH("CORDIAL",C1569)),"Liqueurs",
 ISNUMBER(SEARCH("SCHNAPP",C1569)),"Liqueurs",
 ISNUMBER(SEARCH("GIN",C1569)),"Gin",
 TRUE,"Other")</f>
        <v>Whiskey</v>
      </c>
      <c r="E1569" s="5">
        <v>387116</v>
      </c>
      <c r="F1569" s="5">
        <v>2362127.9899999406</v>
      </c>
      <c r="G1569" s="5"/>
      <c r="H1569" s="5">
        <v>15043</v>
      </c>
    </row>
    <row r="1570" spans="1:8">
      <c r="A1570" s="5">
        <v>2022</v>
      </c>
      <c r="B1570" s="6">
        <v>44896</v>
      </c>
      <c r="C1570" s="5" t="s">
        <v>49</v>
      </c>
      <c r="D1570" s="3" t="str" cm="1">
        <f t="array" ref="D1570">_xlfn.IFS(
 ISNUMBER(SEARCH("WHISK",C1570)),"Whiskey",
 ISNUMBER(SEARCH("BOURBON",C1570)),"Whiskey",
 ISNUMBER(SEARCH("SCOTCH",C1570)),"Whiskey",
 ISNUMBER(SEARCH("RYE",C1570)),"Whiskey",
 ISNUMBER(SEARCH("VODKA",C1570)),"Vodka",
 ISNUMBER(SEARCH("TEQUILA",C1570)),"Tequila/Mezcal",
 ISNUMBER(SEARCH("MEZCAL",C1570)),"Tequila/Mezcal",
 ISNUMBER(SEARCH("RUM",C1570)),"Rum",
 ISNUMBER(SEARCH("BRAND",C1570)),"Brandy",
 ISNUMBER(SEARCH("COGNAC",C1570)),"Brandy",
 ISNUMBER(SEARCH("LIQUEUR",C1570)),"Liqueurs",
 ISNUMBER(SEARCH("CORDIAL",C1570)),"Liqueurs",
 ISNUMBER(SEARCH("SCHNAPP",C1570)),"Liqueurs",
 ISNUMBER(SEARCH("GIN",C1570)),"Gin",
 TRUE,"Other")</f>
        <v>Rum</v>
      </c>
      <c r="E1570" s="5">
        <v>42989</v>
      </c>
      <c r="F1570" s="5">
        <v>528981.63999999629</v>
      </c>
      <c r="G1570" s="5"/>
      <c r="H1570" s="5">
        <v>4354</v>
      </c>
    </row>
    <row r="1571" spans="1:8">
      <c r="A1571" s="5">
        <v>2022</v>
      </c>
      <c r="B1571" s="6">
        <v>44896</v>
      </c>
      <c r="C1571" s="5" t="s">
        <v>14</v>
      </c>
      <c r="D1571" s="3" t="str" cm="1">
        <f t="array" ref="D1571">_xlfn.IFS(
 ISNUMBER(SEARCH("WHISK",C1571)),"Whiskey",
 ISNUMBER(SEARCH("BOURBON",C1571)),"Whiskey",
 ISNUMBER(SEARCH("SCOTCH",C1571)),"Whiskey",
 ISNUMBER(SEARCH("RYE",C1571)),"Whiskey",
 ISNUMBER(SEARCH("VODKA",C1571)),"Vodka",
 ISNUMBER(SEARCH("TEQUILA",C1571)),"Tequila/Mezcal",
 ISNUMBER(SEARCH("MEZCAL",C1571)),"Tequila/Mezcal",
 ISNUMBER(SEARCH("RUM",C1571)),"Rum",
 ISNUMBER(SEARCH("BRAND",C1571)),"Brandy",
 ISNUMBER(SEARCH("COGNAC",C1571)),"Brandy",
 ISNUMBER(SEARCH("LIQUEUR",C1571)),"Liqueurs",
 ISNUMBER(SEARCH("CORDIAL",C1571)),"Liqueurs",
 ISNUMBER(SEARCH("SCHNAPP",C1571)),"Liqueurs",
 ISNUMBER(SEARCH("GIN",C1571)),"Gin",
 TRUE,"Other")</f>
        <v>Gin</v>
      </c>
      <c r="E1571" s="5">
        <v>307</v>
      </c>
      <c r="F1571" s="5">
        <v>2495.9100000000017</v>
      </c>
      <c r="G1571" s="5"/>
      <c r="H1571" s="5">
        <v>65</v>
      </c>
    </row>
    <row r="1572" spans="1:8">
      <c r="A1572" s="5">
        <v>2022</v>
      </c>
      <c r="B1572" s="6">
        <v>44805</v>
      </c>
      <c r="C1572" s="5" t="s">
        <v>13</v>
      </c>
      <c r="D1572" s="3" t="str" cm="1">
        <f t="array" ref="D1572">_xlfn.IFS(
 ISNUMBER(SEARCH("WHISK",C1572)),"Whiskey",
 ISNUMBER(SEARCH("BOURBON",C1572)),"Whiskey",
 ISNUMBER(SEARCH("SCOTCH",C1572)),"Whiskey",
 ISNUMBER(SEARCH("RYE",C1572)),"Whiskey",
 ISNUMBER(SEARCH("VODKA",C1572)),"Vodka",
 ISNUMBER(SEARCH("TEQUILA",C1572)),"Tequila/Mezcal",
 ISNUMBER(SEARCH("MEZCAL",C1572)),"Tequila/Mezcal",
 ISNUMBER(SEARCH("RUM",C1572)),"Rum",
 ISNUMBER(SEARCH("BRAND",C1572)),"Brandy",
 ISNUMBER(SEARCH("COGNAC",C1572)),"Brandy",
 ISNUMBER(SEARCH("LIQUEUR",C1572)),"Liqueurs",
 ISNUMBER(SEARCH("CORDIAL",C1572)),"Liqueurs",
 ISNUMBER(SEARCH("SCHNAPP",C1572)),"Liqueurs",
 ISNUMBER(SEARCH("GIN",C1572)),"Gin",
 TRUE,"Other")</f>
        <v>Liqueurs</v>
      </c>
      <c r="E1572" s="5">
        <v>68654</v>
      </c>
      <c r="F1572" s="5">
        <v>539070.61000000534</v>
      </c>
      <c r="G1572" s="5"/>
      <c r="H1572" s="5">
        <v>6985</v>
      </c>
    </row>
    <row r="1573" spans="1:8">
      <c r="A1573" s="5">
        <v>2022</v>
      </c>
      <c r="B1573" s="6">
        <v>44805</v>
      </c>
      <c r="C1573" s="5" t="s">
        <v>15</v>
      </c>
      <c r="D1573" s="3" t="str" cm="1">
        <f t="array" ref="D1573">_xlfn.IFS(
 ISNUMBER(SEARCH("WHISK",C1573)),"Whiskey",
 ISNUMBER(SEARCH("BOURBON",C1573)),"Whiskey",
 ISNUMBER(SEARCH("SCOTCH",C1573)),"Whiskey",
 ISNUMBER(SEARCH("RYE",C1573)),"Whiskey",
 ISNUMBER(SEARCH("VODKA",C1573)),"Vodka",
 ISNUMBER(SEARCH("TEQUILA",C1573)),"Tequila/Mezcal",
 ISNUMBER(SEARCH("MEZCAL",C1573)),"Tequila/Mezcal",
 ISNUMBER(SEARCH("RUM",C1573)),"Rum",
 ISNUMBER(SEARCH("BRAND",C1573)),"Brandy",
 ISNUMBER(SEARCH("COGNAC",C1573)),"Brandy",
 ISNUMBER(SEARCH("LIQUEUR",C1573)),"Liqueurs",
 ISNUMBER(SEARCH("CORDIAL",C1573)),"Liqueurs",
 ISNUMBER(SEARCH("SCHNAPP",C1573)),"Liqueurs",
 ISNUMBER(SEARCH("GIN",C1573)),"Gin",
 TRUE,"Other")</f>
        <v>Vodka</v>
      </c>
      <c r="E1573" s="5">
        <v>535947</v>
      </c>
      <c r="F1573" s="5">
        <v>5157507.3999994453</v>
      </c>
      <c r="G1573" s="5"/>
      <c r="H1573" s="5">
        <v>34869</v>
      </c>
    </row>
    <row r="1574" spans="1:8">
      <c r="A1574" s="5">
        <v>2022</v>
      </c>
      <c r="B1574" s="6">
        <v>44805</v>
      </c>
      <c r="C1574" s="5" t="s">
        <v>18</v>
      </c>
      <c r="D1574" s="3" t="str" cm="1">
        <f t="array" ref="D1574">_xlfn.IFS(
 ISNUMBER(SEARCH("WHISK",C1574)),"Whiskey",
 ISNUMBER(SEARCH("BOURBON",C1574)),"Whiskey",
 ISNUMBER(SEARCH("SCOTCH",C1574)),"Whiskey",
 ISNUMBER(SEARCH("RYE",C1574)),"Whiskey",
 ISNUMBER(SEARCH("VODKA",C1574)),"Vodka",
 ISNUMBER(SEARCH("TEQUILA",C1574)),"Tequila/Mezcal",
 ISNUMBER(SEARCH("MEZCAL",C1574)),"Tequila/Mezcal",
 ISNUMBER(SEARCH("RUM",C1574)),"Rum",
 ISNUMBER(SEARCH("BRAND",C1574)),"Brandy",
 ISNUMBER(SEARCH("COGNAC",C1574)),"Brandy",
 ISNUMBER(SEARCH("LIQUEUR",C1574)),"Liqueurs",
 ISNUMBER(SEARCH("CORDIAL",C1574)),"Liqueurs",
 ISNUMBER(SEARCH("SCHNAPP",C1574)),"Liqueurs",
 ISNUMBER(SEARCH("GIN",C1574)),"Gin",
 TRUE,"Other")</f>
        <v>Whiskey</v>
      </c>
      <c r="E1574" s="5">
        <v>246279</v>
      </c>
      <c r="F1574" s="5">
        <v>3784639.5499999435</v>
      </c>
      <c r="G1574" s="5"/>
      <c r="H1574" s="5">
        <v>18900</v>
      </c>
    </row>
    <row r="1575" spans="1:8">
      <c r="A1575" s="5">
        <v>2022</v>
      </c>
      <c r="B1575" s="6">
        <v>44805</v>
      </c>
      <c r="C1575" s="5" t="s">
        <v>19</v>
      </c>
      <c r="D1575" s="3" t="str" cm="1">
        <f t="array" ref="D1575">_xlfn.IFS(
 ISNUMBER(SEARCH("WHISK",C1575)),"Whiskey",
 ISNUMBER(SEARCH("BOURBON",C1575)),"Whiskey",
 ISNUMBER(SEARCH("SCOTCH",C1575)),"Whiskey",
 ISNUMBER(SEARCH("RYE",C1575)),"Whiskey",
 ISNUMBER(SEARCH("VODKA",C1575)),"Vodka",
 ISNUMBER(SEARCH("TEQUILA",C1575)),"Tequila/Mezcal",
 ISNUMBER(SEARCH("MEZCAL",C1575)),"Tequila/Mezcal",
 ISNUMBER(SEARCH("RUM",C1575)),"Rum",
 ISNUMBER(SEARCH("BRAND",C1575)),"Brandy",
 ISNUMBER(SEARCH("COGNAC",C1575)),"Brandy",
 ISNUMBER(SEARCH("LIQUEUR",C1575)),"Liqueurs",
 ISNUMBER(SEARCH("CORDIAL",C1575)),"Liqueurs",
 ISNUMBER(SEARCH("SCHNAPP",C1575)),"Liqueurs",
 ISNUMBER(SEARCH("GIN",C1575)),"Gin",
 TRUE,"Other")</f>
        <v>Other</v>
      </c>
      <c r="E1575" s="5">
        <v>59306</v>
      </c>
      <c r="F1575" s="5">
        <v>668961.65999999642</v>
      </c>
      <c r="G1575" s="5"/>
      <c r="H1575" s="5">
        <v>6650</v>
      </c>
    </row>
    <row r="1576" spans="1:8">
      <c r="A1576" s="5">
        <v>2022</v>
      </c>
      <c r="B1576" s="6">
        <v>44805</v>
      </c>
      <c r="C1576" s="5" t="s">
        <v>24</v>
      </c>
      <c r="D1576" s="3" t="str" cm="1">
        <f t="array" ref="D1576">_xlfn.IFS(
 ISNUMBER(SEARCH("WHISK",C1576)),"Whiskey",
 ISNUMBER(SEARCH("BOURBON",C1576)),"Whiskey",
 ISNUMBER(SEARCH("SCOTCH",C1576)),"Whiskey",
 ISNUMBER(SEARCH("RYE",C1576)),"Whiskey",
 ISNUMBER(SEARCH("VODKA",C1576)),"Vodka",
 ISNUMBER(SEARCH("TEQUILA",C1576)),"Tequila/Mezcal",
 ISNUMBER(SEARCH("MEZCAL",C1576)),"Tequila/Mezcal",
 ISNUMBER(SEARCH("RUM",C1576)),"Rum",
 ISNUMBER(SEARCH("BRAND",C1576)),"Brandy",
 ISNUMBER(SEARCH("COGNAC",C1576)),"Brandy",
 ISNUMBER(SEARCH("LIQUEUR",C1576)),"Liqueurs",
 ISNUMBER(SEARCH("CORDIAL",C1576)),"Liqueurs",
 ISNUMBER(SEARCH("SCHNAPP",C1576)),"Liqueurs",
 ISNUMBER(SEARCH("GIN",C1576)),"Gin",
 TRUE,"Other")</f>
        <v>Rum</v>
      </c>
      <c r="E1576" s="5">
        <v>42981</v>
      </c>
      <c r="F1576" s="5">
        <v>630761.08000000089</v>
      </c>
      <c r="G1576" s="5"/>
      <c r="H1576" s="5">
        <v>4285</v>
      </c>
    </row>
    <row r="1577" spans="1:8">
      <c r="A1577" s="5">
        <v>2022</v>
      </c>
      <c r="B1577" s="6">
        <v>44805</v>
      </c>
      <c r="C1577" s="5" t="s">
        <v>29</v>
      </c>
      <c r="D1577" s="3" t="str" cm="1">
        <f t="array" ref="D1577">_xlfn.IFS(
 ISNUMBER(SEARCH("WHISK",C1577)),"Whiskey",
 ISNUMBER(SEARCH("BOURBON",C1577)),"Whiskey",
 ISNUMBER(SEARCH("SCOTCH",C1577)),"Whiskey",
 ISNUMBER(SEARCH("RYE",C1577)),"Whiskey",
 ISNUMBER(SEARCH("VODKA",C1577)),"Vodka",
 ISNUMBER(SEARCH("TEQUILA",C1577)),"Tequila/Mezcal",
 ISNUMBER(SEARCH("MEZCAL",C1577)),"Tequila/Mezcal",
 ISNUMBER(SEARCH("RUM",C1577)),"Rum",
 ISNUMBER(SEARCH("BRAND",C1577)),"Brandy",
 ISNUMBER(SEARCH("COGNAC",C1577)),"Brandy",
 ISNUMBER(SEARCH("LIQUEUR",C1577)),"Liqueurs",
 ISNUMBER(SEARCH("CORDIAL",C1577)),"Liqueurs",
 ISNUMBER(SEARCH("SCHNAPP",C1577)),"Liqueurs",
 ISNUMBER(SEARCH("GIN",C1577)),"Gin",
 TRUE,"Other")</f>
        <v>Gin</v>
      </c>
      <c r="E1577" s="5">
        <v>17459</v>
      </c>
      <c r="F1577" s="5">
        <v>426430.03000000026</v>
      </c>
      <c r="G1577" s="5"/>
      <c r="H1577" s="5">
        <v>2171</v>
      </c>
    </row>
    <row r="1578" spans="1:8">
      <c r="A1578" s="5">
        <v>2022</v>
      </c>
      <c r="B1578" s="6">
        <v>44805</v>
      </c>
      <c r="C1578" s="5" t="s">
        <v>31</v>
      </c>
      <c r="D1578" s="3" t="str" cm="1">
        <f t="array" ref="D1578">_xlfn.IFS(
 ISNUMBER(SEARCH("WHISK",C1578)),"Whiskey",
 ISNUMBER(SEARCH("BOURBON",C1578)),"Whiskey",
 ISNUMBER(SEARCH("SCOTCH",C1578)),"Whiskey",
 ISNUMBER(SEARCH("RYE",C1578)),"Whiskey",
 ISNUMBER(SEARCH("VODKA",C1578)),"Vodka",
 ISNUMBER(SEARCH("TEQUILA",C1578)),"Tequila/Mezcal",
 ISNUMBER(SEARCH("MEZCAL",C1578)),"Tequila/Mezcal",
 ISNUMBER(SEARCH("RUM",C1578)),"Rum",
 ISNUMBER(SEARCH("BRAND",C1578)),"Brandy",
 ISNUMBER(SEARCH("COGNAC",C1578)),"Brandy",
 ISNUMBER(SEARCH("LIQUEUR",C1578)),"Liqueurs",
 ISNUMBER(SEARCH("CORDIAL",C1578)),"Liqueurs",
 ISNUMBER(SEARCH("SCHNAPP",C1578)),"Liqueurs",
 ISNUMBER(SEARCH("GIN",C1578)),"Gin",
 TRUE,"Other")</f>
        <v>Liqueurs</v>
      </c>
      <c r="E1578" s="5">
        <v>33887</v>
      </c>
      <c r="F1578" s="5">
        <v>578905.60999999719</v>
      </c>
      <c r="G1578" s="5"/>
      <c r="H1578" s="5">
        <v>3094</v>
      </c>
    </row>
    <row r="1579" spans="1:8">
      <c r="A1579" s="5">
        <v>2022</v>
      </c>
      <c r="B1579" s="6">
        <v>44805</v>
      </c>
      <c r="C1579" s="5" t="s">
        <v>43</v>
      </c>
      <c r="D1579" s="3" t="str" cm="1">
        <f t="array" ref="D1579">_xlfn.IFS(
 ISNUMBER(SEARCH("WHISK",C1579)),"Whiskey",
 ISNUMBER(SEARCH("BOURBON",C1579)),"Whiskey",
 ISNUMBER(SEARCH("SCOTCH",C1579)),"Whiskey",
 ISNUMBER(SEARCH("RYE",C1579)),"Whiskey",
 ISNUMBER(SEARCH("VODKA",C1579)),"Vodka",
 ISNUMBER(SEARCH("TEQUILA",C1579)),"Tequila/Mezcal",
 ISNUMBER(SEARCH("MEZCAL",C1579)),"Tequila/Mezcal",
 ISNUMBER(SEARCH("RUM",C1579)),"Rum",
 ISNUMBER(SEARCH("BRAND",C1579)),"Brandy",
 ISNUMBER(SEARCH("COGNAC",C1579)),"Brandy",
 ISNUMBER(SEARCH("LIQUEUR",C1579)),"Liqueurs",
 ISNUMBER(SEARCH("CORDIAL",C1579)),"Liqueurs",
 ISNUMBER(SEARCH("SCHNAPP",C1579)),"Liqueurs",
 ISNUMBER(SEARCH("GIN",C1579)),"Gin",
 TRUE,"Other")</f>
        <v>Whiskey</v>
      </c>
      <c r="E1579" s="5">
        <v>137007</v>
      </c>
      <c r="F1579" s="5">
        <v>2940567.7400000114</v>
      </c>
      <c r="G1579" s="5"/>
      <c r="H1579" s="5">
        <v>15632</v>
      </c>
    </row>
    <row r="1580" spans="1:8">
      <c r="A1580" s="5">
        <v>2022</v>
      </c>
      <c r="B1580" s="6">
        <v>44805</v>
      </c>
      <c r="C1580" s="5" t="s">
        <v>50</v>
      </c>
      <c r="D1580" s="3" t="str" cm="1">
        <f t="array" ref="D1580">_xlfn.IFS(
 ISNUMBER(SEARCH("WHISK",C1580)),"Whiskey",
 ISNUMBER(SEARCH("BOURBON",C1580)),"Whiskey",
 ISNUMBER(SEARCH("SCOTCH",C1580)),"Whiskey",
 ISNUMBER(SEARCH("RYE",C1580)),"Whiskey",
 ISNUMBER(SEARCH("VODKA",C1580)),"Vodka",
 ISNUMBER(SEARCH("TEQUILA",C1580)),"Tequila/Mezcal",
 ISNUMBER(SEARCH("MEZCAL",C1580)),"Tequila/Mezcal",
 ISNUMBER(SEARCH("RUM",C1580)),"Rum",
 ISNUMBER(SEARCH("BRAND",C1580)),"Brandy",
 ISNUMBER(SEARCH("COGNAC",C1580)),"Brandy",
 ISNUMBER(SEARCH("LIQUEUR",C1580)),"Liqueurs",
 ISNUMBER(SEARCH("CORDIAL",C1580)),"Liqueurs",
 ISNUMBER(SEARCH("SCHNAPP",C1580)),"Liqueurs",
 ISNUMBER(SEARCH("GIN",C1580)),"Gin",
 TRUE,"Other")</f>
        <v>Tequila/Mezcal</v>
      </c>
      <c r="E1580" s="5">
        <v>75575</v>
      </c>
      <c r="F1580" s="5">
        <v>2224035.7799999835</v>
      </c>
      <c r="G1580" s="5"/>
      <c r="H1580" s="5">
        <v>9245</v>
      </c>
    </row>
    <row r="1581" spans="1:8">
      <c r="A1581" s="5">
        <v>2022</v>
      </c>
      <c r="B1581" s="6">
        <v>44805</v>
      </c>
      <c r="C1581" s="5" t="s">
        <v>59</v>
      </c>
      <c r="D1581" s="3" t="str" cm="1">
        <f t="array" ref="D1581">_xlfn.IFS(
 ISNUMBER(SEARCH("WHISK",C1581)),"Whiskey",
 ISNUMBER(SEARCH("BOURBON",C1581)),"Whiskey",
 ISNUMBER(SEARCH("SCOTCH",C1581)),"Whiskey",
 ISNUMBER(SEARCH("RYE",C1581)),"Whiskey",
 ISNUMBER(SEARCH("VODKA",C1581)),"Vodka",
 ISNUMBER(SEARCH("TEQUILA",C1581)),"Tequila/Mezcal",
 ISNUMBER(SEARCH("MEZCAL",C1581)),"Tequila/Mezcal",
 ISNUMBER(SEARCH("RUM",C1581)),"Rum",
 ISNUMBER(SEARCH("BRAND",C1581)),"Brandy",
 ISNUMBER(SEARCH("COGNAC",C1581)),"Brandy",
 ISNUMBER(SEARCH("LIQUEUR",C1581)),"Liqueurs",
 ISNUMBER(SEARCH("CORDIAL",C1581)),"Liqueurs",
 ISNUMBER(SEARCH("SCHNAPP",C1581)),"Liqueurs",
 ISNUMBER(SEARCH("GIN",C1581)),"Gin",
 TRUE,"Other")</f>
        <v>Liqueurs</v>
      </c>
      <c r="E1581" s="5">
        <v>46981</v>
      </c>
      <c r="F1581" s="5">
        <v>428656.51000000985</v>
      </c>
      <c r="G1581" s="5"/>
      <c r="H1581" s="5">
        <v>6165</v>
      </c>
    </row>
    <row r="1582" spans="1:8">
      <c r="A1582" s="5">
        <v>2022</v>
      </c>
      <c r="B1582" s="6">
        <v>44805</v>
      </c>
      <c r="C1582" s="5" t="s">
        <v>12</v>
      </c>
      <c r="D1582" s="3" t="str" cm="1">
        <f t="array" ref="D1582">_xlfn.IFS(
 ISNUMBER(SEARCH("WHISK",C1582)),"Whiskey",
 ISNUMBER(SEARCH("BOURBON",C1582)),"Whiskey",
 ISNUMBER(SEARCH("SCOTCH",C1582)),"Whiskey",
 ISNUMBER(SEARCH("RYE",C1582)),"Whiskey",
 ISNUMBER(SEARCH("VODKA",C1582)),"Vodka",
 ISNUMBER(SEARCH("TEQUILA",C1582)),"Tequila/Mezcal",
 ISNUMBER(SEARCH("MEZCAL",C1582)),"Tequila/Mezcal",
 ISNUMBER(SEARCH("RUM",C1582)),"Rum",
 ISNUMBER(SEARCH("BRAND",C1582)),"Brandy",
 ISNUMBER(SEARCH("COGNAC",C1582)),"Brandy",
 ISNUMBER(SEARCH("LIQUEUR",C1582)),"Liqueurs",
 ISNUMBER(SEARCH("CORDIAL",C1582)),"Liqueurs",
 ISNUMBER(SEARCH("SCHNAPP",C1582)),"Liqueurs",
 ISNUMBER(SEARCH("GIN",C1582)),"Gin",
 TRUE,"Other")</f>
        <v>Vodka</v>
      </c>
      <c r="E1582" s="5">
        <v>88632</v>
      </c>
      <c r="F1582" s="5">
        <v>938697.01000004367</v>
      </c>
      <c r="G1582" s="5"/>
      <c r="H1582" s="5">
        <v>10985</v>
      </c>
    </row>
    <row r="1583" spans="1:8">
      <c r="A1583" s="5">
        <v>2022</v>
      </c>
      <c r="B1583" s="6">
        <v>44805</v>
      </c>
      <c r="C1583" s="5" t="s">
        <v>22</v>
      </c>
      <c r="D1583" s="3" t="str" cm="1">
        <f t="array" ref="D1583">_xlfn.IFS(
 ISNUMBER(SEARCH("WHISK",C1583)),"Whiskey",
 ISNUMBER(SEARCH("BOURBON",C1583)),"Whiskey",
 ISNUMBER(SEARCH("SCOTCH",C1583)),"Whiskey",
 ISNUMBER(SEARCH("RYE",C1583)),"Whiskey",
 ISNUMBER(SEARCH("VODKA",C1583)),"Vodka",
 ISNUMBER(SEARCH("TEQUILA",C1583)),"Tequila/Mezcal",
 ISNUMBER(SEARCH("MEZCAL",C1583)),"Tequila/Mezcal",
 ISNUMBER(SEARCH("RUM",C1583)),"Rum",
 ISNUMBER(SEARCH("BRAND",C1583)),"Brandy",
 ISNUMBER(SEARCH("COGNAC",C1583)),"Brandy",
 ISNUMBER(SEARCH("LIQUEUR",C1583)),"Liqueurs",
 ISNUMBER(SEARCH("CORDIAL",C1583)),"Liqueurs",
 ISNUMBER(SEARCH("SCHNAPP",C1583)),"Liqueurs",
 ISNUMBER(SEARCH("GIN",C1583)),"Gin",
 TRUE,"Other")</f>
        <v>Liqueurs</v>
      </c>
      <c r="E1583" s="5">
        <v>28679</v>
      </c>
      <c r="F1583" s="5">
        <v>610676.38999999547</v>
      </c>
      <c r="G1583" s="5"/>
      <c r="H1583" s="5">
        <v>4042</v>
      </c>
    </row>
    <row r="1584" spans="1:8">
      <c r="A1584" s="5">
        <v>2022</v>
      </c>
      <c r="B1584" s="6">
        <v>44805</v>
      </c>
      <c r="C1584" s="5" t="s">
        <v>60</v>
      </c>
      <c r="D1584" s="3" t="str" cm="1">
        <f t="array" ref="D1584">_xlfn.IFS(
 ISNUMBER(SEARCH("WHISK",C1584)),"Whiskey",
 ISNUMBER(SEARCH("BOURBON",C1584)),"Whiskey",
 ISNUMBER(SEARCH("SCOTCH",C1584)),"Whiskey",
 ISNUMBER(SEARCH("RYE",C1584)),"Whiskey",
 ISNUMBER(SEARCH("VODKA",C1584)),"Vodka",
 ISNUMBER(SEARCH("TEQUILA",C1584)),"Tequila/Mezcal",
 ISNUMBER(SEARCH("MEZCAL",C1584)),"Tequila/Mezcal",
 ISNUMBER(SEARCH("RUM",C1584)),"Rum",
 ISNUMBER(SEARCH("BRAND",C1584)),"Brandy",
 ISNUMBER(SEARCH("COGNAC",C1584)),"Brandy",
 ISNUMBER(SEARCH("LIQUEUR",C1584)),"Liqueurs",
 ISNUMBER(SEARCH("CORDIAL",C1584)),"Liqueurs",
 ISNUMBER(SEARCH("SCHNAPP",C1584)),"Liqueurs",
 ISNUMBER(SEARCH("GIN",C1584)),"Gin",
 TRUE,"Other")</f>
        <v>Liqueurs</v>
      </c>
      <c r="E1584" s="5">
        <v>39773</v>
      </c>
      <c r="F1584" s="5">
        <v>944275.79000000597</v>
      </c>
      <c r="G1584" s="5"/>
      <c r="H1584" s="5">
        <v>4548</v>
      </c>
    </row>
    <row r="1585" spans="1:8">
      <c r="A1585" s="5">
        <v>2022</v>
      </c>
      <c r="B1585" s="6">
        <v>44805</v>
      </c>
      <c r="C1585" s="5" t="s">
        <v>30</v>
      </c>
      <c r="D1585" s="3" t="str" cm="1">
        <f t="array" ref="D1585">_xlfn.IFS(
 ISNUMBER(SEARCH("WHISK",C1585)),"Whiskey",
 ISNUMBER(SEARCH("BOURBON",C1585)),"Whiskey",
 ISNUMBER(SEARCH("SCOTCH",C1585)),"Whiskey",
 ISNUMBER(SEARCH("RYE",C1585)),"Whiskey",
 ISNUMBER(SEARCH("VODKA",C1585)),"Vodka",
 ISNUMBER(SEARCH("TEQUILA",C1585)),"Tequila/Mezcal",
 ISNUMBER(SEARCH("MEZCAL",C1585)),"Tequila/Mezcal",
 ISNUMBER(SEARCH("RUM",C1585)),"Rum",
 ISNUMBER(SEARCH("BRAND",C1585)),"Brandy",
 ISNUMBER(SEARCH("COGNAC",C1585)),"Brandy",
 ISNUMBER(SEARCH("LIQUEUR",C1585)),"Liqueurs",
 ISNUMBER(SEARCH("CORDIAL",C1585)),"Liqueurs",
 ISNUMBER(SEARCH("SCHNAPP",C1585)),"Liqueurs",
 ISNUMBER(SEARCH("GIN",C1585)),"Gin",
 TRUE,"Other")</f>
        <v>Vodka</v>
      </c>
      <c r="E1585" s="5">
        <v>22899</v>
      </c>
      <c r="F1585" s="5">
        <v>384810.78000000119</v>
      </c>
      <c r="G1585" s="5"/>
      <c r="H1585" s="5">
        <v>2927</v>
      </c>
    </row>
    <row r="1586" spans="1:8">
      <c r="A1586" s="5">
        <v>2022</v>
      </c>
      <c r="B1586" s="6">
        <v>44805</v>
      </c>
      <c r="C1586" s="5" t="s">
        <v>33</v>
      </c>
      <c r="D1586" s="3" t="str" cm="1">
        <f t="array" ref="D1586">_xlfn.IFS(
 ISNUMBER(SEARCH("WHISK",C1586)),"Whiskey",
 ISNUMBER(SEARCH("BOURBON",C1586)),"Whiskey",
 ISNUMBER(SEARCH("SCOTCH",C1586)),"Whiskey",
 ISNUMBER(SEARCH("RYE",C1586)),"Whiskey",
 ISNUMBER(SEARCH("VODKA",C1586)),"Vodka",
 ISNUMBER(SEARCH("TEQUILA",C1586)),"Tequila/Mezcal",
 ISNUMBER(SEARCH("MEZCAL",C1586)),"Tequila/Mezcal",
 ISNUMBER(SEARCH("RUM",C1586)),"Rum",
 ISNUMBER(SEARCH("BRAND",C1586)),"Brandy",
 ISNUMBER(SEARCH("COGNAC",C1586)),"Brandy",
 ISNUMBER(SEARCH("LIQUEUR",C1586)),"Liqueurs",
 ISNUMBER(SEARCH("CORDIAL",C1586)),"Liqueurs",
 ISNUMBER(SEARCH("SCHNAPP",C1586)),"Liqueurs",
 ISNUMBER(SEARCH("GIN",C1586)),"Gin",
 TRUE,"Other")</f>
        <v>Whiskey</v>
      </c>
      <c r="E1586" s="5">
        <v>28878</v>
      </c>
      <c r="F1586" s="5">
        <v>769735.73999998765</v>
      </c>
      <c r="G1586" s="5"/>
      <c r="H1586" s="5">
        <v>2433</v>
      </c>
    </row>
    <row r="1587" spans="1:8">
      <c r="A1587" s="5">
        <v>2022</v>
      </c>
      <c r="B1587" s="6">
        <v>44805</v>
      </c>
      <c r="C1587" s="5" t="s">
        <v>42</v>
      </c>
      <c r="D1587" s="3" t="str" cm="1">
        <f t="array" ref="D1587">_xlfn.IFS(
 ISNUMBER(SEARCH("WHISK",C1587)),"Whiskey",
 ISNUMBER(SEARCH("BOURBON",C1587)),"Whiskey",
 ISNUMBER(SEARCH("SCOTCH",C1587)),"Whiskey",
 ISNUMBER(SEARCH("RYE",C1587)),"Whiskey",
 ISNUMBER(SEARCH("VODKA",C1587)),"Vodka",
 ISNUMBER(SEARCH("TEQUILA",C1587)),"Tequila/Mezcal",
 ISNUMBER(SEARCH("MEZCAL",C1587)),"Tequila/Mezcal",
 ISNUMBER(SEARCH("RUM",C1587)),"Rum",
 ISNUMBER(SEARCH("BRAND",C1587)),"Brandy",
 ISNUMBER(SEARCH("COGNAC",C1587)),"Brandy",
 ISNUMBER(SEARCH("LIQUEUR",C1587)),"Liqueurs",
 ISNUMBER(SEARCH("CORDIAL",C1587)),"Liqueurs",
 ISNUMBER(SEARCH("SCHNAPP",C1587)),"Liqueurs",
 ISNUMBER(SEARCH("GIN",C1587)),"Gin",
 TRUE,"Other")</f>
        <v>Rum</v>
      </c>
      <c r="E1587" s="5">
        <v>132076</v>
      </c>
      <c r="F1587" s="5">
        <v>2144187.6599999531</v>
      </c>
      <c r="G1587" s="5"/>
      <c r="H1587" s="5">
        <v>9251</v>
      </c>
    </row>
    <row r="1588" spans="1:8">
      <c r="A1588" s="5">
        <v>2022</v>
      </c>
      <c r="B1588" s="6">
        <v>44805</v>
      </c>
      <c r="C1588" s="5" t="s">
        <v>46</v>
      </c>
      <c r="D1588" s="3" t="str" cm="1">
        <f t="array" ref="D1588">_xlfn.IFS(
 ISNUMBER(SEARCH("WHISK",C1588)),"Whiskey",
 ISNUMBER(SEARCH("BOURBON",C1588)),"Whiskey",
 ISNUMBER(SEARCH("SCOTCH",C1588)),"Whiskey",
 ISNUMBER(SEARCH("RYE",C1588)),"Whiskey",
 ISNUMBER(SEARCH("VODKA",C1588)),"Vodka",
 ISNUMBER(SEARCH("TEQUILA",C1588)),"Tequila/Mezcal",
 ISNUMBER(SEARCH("MEZCAL",C1588)),"Tequila/Mezcal",
 ISNUMBER(SEARCH("RUM",C1588)),"Rum",
 ISNUMBER(SEARCH("BRAND",C1588)),"Brandy",
 ISNUMBER(SEARCH("COGNAC",C1588)),"Brandy",
 ISNUMBER(SEARCH("LIQUEUR",C1588)),"Liqueurs",
 ISNUMBER(SEARCH("CORDIAL",C1588)),"Liqueurs",
 ISNUMBER(SEARCH("SCHNAPP",C1588)),"Liqueurs",
 ISNUMBER(SEARCH("GIN",C1588)),"Gin",
 TRUE,"Other")</f>
        <v>Whiskey</v>
      </c>
      <c r="E1588" s="5">
        <v>60124</v>
      </c>
      <c r="F1588" s="5">
        <v>1331816.8899999664</v>
      </c>
      <c r="G1588" s="5"/>
      <c r="H1588" s="5">
        <v>6152</v>
      </c>
    </row>
    <row r="1589" spans="1:8">
      <c r="A1589" s="5">
        <v>2022</v>
      </c>
      <c r="B1589" s="6">
        <v>44805</v>
      </c>
      <c r="C1589" s="5" t="s">
        <v>47</v>
      </c>
      <c r="D1589" s="3" t="str" cm="1">
        <f t="array" ref="D1589">_xlfn.IFS(
 ISNUMBER(SEARCH("WHISK",C1589)),"Whiskey",
 ISNUMBER(SEARCH("BOURBON",C1589)),"Whiskey",
 ISNUMBER(SEARCH("SCOTCH",C1589)),"Whiskey",
 ISNUMBER(SEARCH("RYE",C1589)),"Whiskey",
 ISNUMBER(SEARCH("VODKA",C1589)),"Vodka",
 ISNUMBER(SEARCH("TEQUILA",C1589)),"Tequila/Mezcal",
 ISNUMBER(SEARCH("MEZCAL",C1589)),"Tequila/Mezcal",
 ISNUMBER(SEARCH("RUM",C1589)),"Rum",
 ISNUMBER(SEARCH("BRAND",C1589)),"Brandy",
 ISNUMBER(SEARCH("COGNAC",C1589)),"Brandy",
 ISNUMBER(SEARCH("LIQUEUR",C1589)),"Liqueurs",
 ISNUMBER(SEARCH("CORDIAL",C1589)),"Liqueurs",
 ISNUMBER(SEARCH("SCHNAPP",C1589)),"Liqueurs",
 ISNUMBER(SEARCH("GIN",C1589)),"Gin",
 TRUE,"Other")</f>
        <v>Other</v>
      </c>
      <c r="E1589" s="5">
        <v>16954</v>
      </c>
      <c r="F1589" s="5">
        <v>68934.009999999893</v>
      </c>
      <c r="G1589" s="5"/>
      <c r="H1589" s="5">
        <v>603</v>
      </c>
    </row>
    <row r="1590" spans="1:8">
      <c r="A1590" s="5">
        <v>2022</v>
      </c>
      <c r="B1590" s="6">
        <v>44805</v>
      </c>
      <c r="C1590" s="5" t="s">
        <v>48</v>
      </c>
      <c r="D1590" s="3" t="str" cm="1">
        <f t="array" ref="D1590">_xlfn.IFS(
 ISNUMBER(SEARCH("WHISK",C1590)),"Whiskey",
 ISNUMBER(SEARCH("BOURBON",C1590)),"Whiskey",
 ISNUMBER(SEARCH("SCOTCH",C1590)),"Whiskey",
 ISNUMBER(SEARCH("RYE",C1590)),"Whiskey",
 ISNUMBER(SEARCH("VODKA",C1590)),"Vodka",
 ISNUMBER(SEARCH("TEQUILA",C1590)),"Tequila/Mezcal",
 ISNUMBER(SEARCH("MEZCAL",C1590)),"Tequila/Mezcal",
 ISNUMBER(SEARCH("RUM",C1590)),"Rum",
 ISNUMBER(SEARCH("BRAND",C1590)),"Brandy",
 ISNUMBER(SEARCH("COGNAC",C1590)),"Brandy",
 ISNUMBER(SEARCH("LIQUEUR",C1590)),"Liqueurs",
 ISNUMBER(SEARCH("CORDIAL",C1590)),"Liqueurs",
 ISNUMBER(SEARCH("SCHNAPP",C1590)),"Liqueurs",
 ISNUMBER(SEARCH("GIN",C1590)),"Gin",
 TRUE,"Other")</f>
        <v>Whiskey</v>
      </c>
      <c r="E1590" s="5">
        <v>365170</v>
      </c>
      <c r="F1590" s="5">
        <v>2266768.7499999739</v>
      </c>
      <c r="G1590" s="5"/>
      <c r="H1590" s="5">
        <v>13576</v>
      </c>
    </row>
    <row r="1591" spans="1:8">
      <c r="A1591" s="5">
        <v>2022</v>
      </c>
      <c r="B1591" s="6">
        <v>44805</v>
      </c>
      <c r="C1591" s="5" t="s">
        <v>49</v>
      </c>
      <c r="D1591" s="3" t="str" cm="1">
        <f t="array" ref="D1591">_xlfn.IFS(
 ISNUMBER(SEARCH("WHISK",C1591)),"Whiskey",
 ISNUMBER(SEARCH("BOURBON",C1591)),"Whiskey",
 ISNUMBER(SEARCH("SCOTCH",C1591)),"Whiskey",
 ISNUMBER(SEARCH("RYE",C1591)),"Whiskey",
 ISNUMBER(SEARCH("VODKA",C1591)),"Vodka",
 ISNUMBER(SEARCH("TEQUILA",C1591)),"Tequila/Mezcal",
 ISNUMBER(SEARCH("MEZCAL",C1591)),"Tequila/Mezcal",
 ISNUMBER(SEARCH("RUM",C1591)),"Rum",
 ISNUMBER(SEARCH("BRAND",C1591)),"Brandy",
 ISNUMBER(SEARCH("COGNAC",C1591)),"Brandy",
 ISNUMBER(SEARCH("LIQUEUR",C1591)),"Liqueurs",
 ISNUMBER(SEARCH("CORDIAL",C1591)),"Liqueurs",
 ISNUMBER(SEARCH("SCHNAPP",C1591)),"Liqueurs",
 ISNUMBER(SEARCH("GIN",C1591)),"Gin",
 TRUE,"Other")</f>
        <v>Rum</v>
      </c>
      <c r="E1591" s="5">
        <v>44585</v>
      </c>
      <c r="F1591" s="5">
        <v>526295.19999999565</v>
      </c>
      <c r="G1591" s="5"/>
      <c r="H1591" s="5">
        <v>3983</v>
      </c>
    </row>
    <row r="1592" spans="1:8">
      <c r="A1592" s="5">
        <v>2022</v>
      </c>
      <c r="B1592" s="6">
        <v>44805</v>
      </c>
      <c r="C1592" s="5" t="s">
        <v>7</v>
      </c>
      <c r="D1592" s="3" t="str" cm="1">
        <f t="array" ref="D1592">_xlfn.IFS(
 ISNUMBER(SEARCH("WHISK",C1592)),"Whiskey",
 ISNUMBER(SEARCH("BOURBON",C1592)),"Whiskey",
 ISNUMBER(SEARCH("SCOTCH",C1592)),"Whiskey",
 ISNUMBER(SEARCH("RYE",C1592)),"Whiskey",
 ISNUMBER(SEARCH("VODKA",C1592)),"Vodka",
 ISNUMBER(SEARCH("TEQUILA",C1592)),"Tequila/Mezcal",
 ISNUMBER(SEARCH("MEZCAL",C1592)),"Tequila/Mezcal",
 ISNUMBER(SEARCH("RUM",C1592)),"Rum",
 ISNUMBER(SEARCH("BRAND",C1592)),"Brandy",
 ISNUMBER(SEARCH("COGNAC",C1592)),"Brandy",
 ISNUMBER(SEARCH("LIQUEUR",C1592)),"Liqueurs",
 ISNUMBER(SEARCH("CORDIAL",C1592)),"Liqueurs",
 ISNUMBER(SEARCH("SCHNAPP",C1592)),"Liqueurs",
 ISNUMBER(SEARCH("GIN",C1592)),"Gin",
 TRUE,"Other")</f>
        <v>Rum</v>
      </c>
      <c r="E1592" s="5">
        <v>3434</v>
      </c>
      <c r="F1592" s="5">
        <v>77426.720000000103</v>
      </c>
      <c r="G1592" s="5"/>
      <c r="H1592" s="5">
        <v>643</v>
      </c>
    </row>
    <row r="1593" spans="1:8">
      <c r="A1593" s="5">
        <v>2022</v>
      </c>
      <c r="B1593" s="6">
        <v>44805</v>
      </c>
      <c r="C1593" s="5" t="s">
        <v>8</v>
      </c>
      <c r="D1593" s="3" t="str" cm="1">
        <f t="array" ref="D1593">_xlfn.IFS(
 ISNUMBER(SEARCH("WHISK",C1593)),"Whiskey",
 ISNUMBER(SEARCH("BOURBON",C1593)),"Whiskey",
 ISNUMBER(SEARCH("SCOTCH",C1593)),"Whiskey",
 ISNUMBER(SEARCH("RYE",C1593)),"Whiskey",
 ISNUMBER(SEARCH("VODKA",C1593)),"Vodka",
 ISNUMBER(SEARCH("TEQUILA",C1593)),"Tequila/Mezcal",
 ISNUMBER(SEARCH("MEZCAL",C1593)),"Tequila/Mezcal",
 ISNUMBER(SEARCH("RUM",C1593)),"Rum",
 ISNUMBER(SEARCH("BRAND",C1593)),"Brandy",
 ISNUMBER(SEARCH("COGNAC",C1593)),"Brandy",
 ISNUMBER(SEARCH("LIQUEUR",C1593)),"Liqueurs",
 ISNUMBER(SEARCH("CORDIAL",C1593)),"Liqueurs",
 ISNUMBER(SEARCH("SCHNAPP",C1593)),"Liqueurs",
 ISNUMBER(SEARCH("GIN",C1593)),"Gin",
 TRUE,"Other")</f>
        <v>Brandy</v>
      </c>
      <c r="E1593" s="5">
        <v>60327</v>
      </c>
      <c r="F1593" s="5">
        <v>387878.16000000079</v>
      </c>
      <c r="G1593" s="5"/>
      <c r="H1593" s="5">
        <v>4998</v>
      </c>
    </row>
    <row r="1594" spans="1:8">
      <c r="A1594" s="5">
        <v>2022</v>
      </c>
      <c r="B1594" s="6">
        <v>44805</v>
      </c>
      <c r="C1594" s="5" t="s">
        <v>10</v>
      </c>
      <c r="D1594" s="3" t="str" cm="1">
        <f t="array" ref="D1594">_xlfn.IFS(
 ISNUMBER(SEARCH("WHISK",C1594)),"Whiskey",
 ISNUMBER(SEARCH("BOURBON",C1594)),"Whiskey",
 ISNUMBER(SEARCH("SCOTCH",C1594)),"Whiskey",
 ISNUMBER(SEARCH("RYE",C1594)),"Whiskey",
 ISNUMBER(SEARCH("VODKA",C1594)),"Vodka",
 ISNUMBER(SEARCH("TEQUILA",C1594)),"Tequila/Mezcal",
 ISNUMBER(SEARCH("MEZCAL",C1594)),"Tequila/Mezcal",
 ISNUMBER(SEARCH("RUM",C1594)),"Rum",
 ISNUMBER(SEARCH("BRAND",C1594)),"Brandy",
 ISNUMBER(SEARCH("COGNAC",C1594)),"Brandy",
 ISNUMBER(SEARCH("LIQUEUR",C1594)),"Liqueurs",
 ISNUMBER(SEARCH("CORDIAL",C1594)),"Liqueurs",
 ISNUMBER(SEARCH("SCHNAPP",C1594)),"Liqueurs",
 ISNUMBER(SEARCH("GIN",C1594)),"Gin",
 TRUE,"Other")</f>
        <v>Other</v>
      </c>
      <c r="E1594" s="5">
        <v>7508</v>
      </c>
      <c r="F1594" s="5">
        <v>134349.35999999969</v>
      </c>
      <c r="G1594" s="5"/>
      <c r="H1594" s="5">
        <v>726</v>
      </c>
    </row>
    <row r="1595" spans="1:8">
      <c r="A1595" s="5">
        <v>2022</v>
      </c>
      <c r="B1595" s="6">
        <v>44805</v>
      </c>
      <c r="C1595" s="5" t="s">
        <v>11</v>
      </c>
      <c r="D1595" s="3" t="str" cm="1">
        <f t="array" ref="D1595">_xlfn.IFS(
 ISNUMBER(SEARCH("WHISK",C1595)),"Whiskey",
 ISNUMBER(SEARCH("BOURBON",C1595)),"Whiskey",
 ISNUMBER(SEARCH("SCOTCH",C1595)),"Whiskey",
 ISNUMBER(SEARCH("RYE",C1595)),"Whiskey",
 ISNUMBER(SEARCH("VODKA",C1595)),"Vodka",
 ISNUMBER(SEARCH("TEQUILA",C1595)),"Tequila/Mezcal",
 ISNUMBER(SEARCH("MEZCAL",C1595)),"Tequila/Mezcal",
 ISNUMBER(SEARCH("RUM",C1595)),"Rum",
 ISNUMBER(SEARCH("BRAND",C1595)),"Brandy",
 ISNUMBER(SEARCH("COGNAC",C1595)),"Brandy",
 ISNUMBER(SEARCH("LIQUEUR",C1595)),"Liqueurs",
 ISNUMBER(SEARCH("CORDIAL",C1595)),"Liqueurs",
 ISNUMBER(SEARCH("SCHNAPP",C1595)),"Liqueurs",
 ISNUMBER(SEARCH("GIN",C1595)),"Gin",
 TRUE,"Other")</f>
        <v>Gin</v>
      </c>
      <c r="E1595" s="5">
        <v>29274</v>
      </c>
      <c r="F1595" s="5">
        <v>277158.00000000151</v>
      </c>
      <c r="G1595" s="5"/>
      <c r="H1595" s="5">
        <v>2873</v>
      </c>
    </row>
    <row r="1596" spans="1:8">
      <c r="A1596" s="5">
        <v>2022</v>
      </c>
      <c r="B1596" s="6">
        <v>44805</v>
      </c>
      <c r="C1596" s="5" t="s">
        <v>16</v>
      </c>
      <c r="D1596" s="3" t="str" cm="1">
        <f t="array" ref="D1596">_xlfn.IFS(
 ISNUMBER(SEARCH("WHISK",C1596)),"Whiskey",
 ISNUMBER(SEARCH("BOURBON",C1596)),"Whiskey",
 ISNUMBER(SEARCH("SCOTCH",C1596)),"Whiskey",
 ISNUMBER(SEARCH("RYE",C1596)),"Whiskey",
 ISNUMBER(SEARCH("VODKA",C1596)),"Vodka",
 ISNUMBER(SEARCH("TEQUILA",C1596)),"Tequila/Mezcal",
 ISNUMBER(SEARCH("MEZCAL",C1596)),"Tequila/Mezcal",
 ISNUMBER(SEARCH("RUM",C1596)),"Rum",
 ISNUMBER(SEARCH("BRAND",C1596)),"Brandy",
 ISNUMBER(SEARCH("COGNAC",C1596)),"Brandy",
 ISNUMBER(SEARCH("LIQUEUR",C1596)),"Liqueurs",
 ISNUMBER(SEARCH("CORDIAL",C1596)),"Liqueurs",
 ISNUMBER(SEARCH("SCHNAPP",C1596)),"Liqueurs",
 ISNUMBER(SEARCH("GIN",C1596)),"Gin",
 TRUE,"Other")</f>
        <v>Whiskey</v>
      </c>
      <c r="E1596" s="5">
        <v>75497</v>
      </c>
      <c r="F1596" s="5">
        <v>959142.54999999912</v>
      </c>
      <c r="G1596" s="5"/>
      <c r="H1596" s="5">
        <v>8151</v>
      </c>
    </row>
    <row r="1597" spans="1:8">
      <c r="A1597" s="5">
        <v>2022</v>
      </c>
      <c r="B1597" s="6">
        <v>44805</v>
      </c>
      <c r="C1597" s="5" t="s">
        <v>17</v>
      </c>
      <c r="D1597" s="3" t="str" cm="1">
        <f t="array" ref="D1597">_xlfn.IFS(
 ISNUMBER(SEARCH("WHISK",C1597)),"Whiskey",
 ISNUMBER(SEARCH("BOURBON",C1597)),"Whiskey",
 ISNUMBER(SEARCH("SCOTCH",C1597)),"Whiskey",
 ISNUMBER(SEARCH("RYE",C1597)),"Whiskey",
 ISNUMBER(SEARCH("VODKA",C1597)),"Vodka",
 ISNUMBER(SEARCH("TEQUILA",C1597)),"Tequila/Mezcal",
 ISNUMBER(SEARCH("MEZCAL",C1597)),"Tequila/Mezcal",
 ISNUMBER(SEARCH("RUM",C1597)),"Rum",
 ISNUMBER(SEARCH("BRAND",C1597)),"Brandy",
 ISNUMBER(SEARCH("COGNAC",C1597)),"Brandy",
 ISNUMBER(SEARCH("LIQUEUR",C1597)),"Liqueurs",
 ISNUMBER(SEARCH("CORDIAL",C1597)),"Liqueurs",
 ISNUMBER(SEARCH("SCHNAPP",C1597)),"Liqueurs",
 ISNUMBER(SEARCH("GIN",C1597)),"Gin",
 TRUE,"Other")</f>
        <v>Whiskey</v>
      </c>
      <c r="E1597" s="5">
        <v>2795</v>
      </c>
      <c r="F1597" s="5">
        <v>77503.839999999997</v>
      </c>
      <c r="G1597" s="5"/>
      <c r="H1597" s="5">
        <v>784</v>
      </c>
    </row>
    <row r="1598" spans="1:8">
      <c r="A1598" s="5">
        <v>2022</v>
      </c>
      <c r="B1598" s="6">
        <v>44805</v>
      </c>
      <c r="C1598" s="5" t="s">
        <v>20</v>
      </c>
      <c r="D1598" s="3" t="str" cm="1">
        <f t="array" ref="D1598">_xlfn.IFS(
 ISNUMBER(SEARCH("WHISK",C1598)),"Whiskey",
 ISNUMBER(SEARCH("BOURBON",C1598)),"Whiskey",
 ISNUMBER(SEARCH("SCOTCH",C1598)),"Whiskey",
 ISNUMBER(SEARCH("RYE",C1598)),"Whiskey",
 ISNUMBER(SEARCH("VODKA",C1598)),"Vodka",
 ISNUMBER(SEARCH("TEQUILA",C1598)),"Tequila/Mezcal",
 ISNUMBER(SEARCH("MEZCAL",C1598)),"Tequila/Mezcal",
 ISNUMBER(SEARCH("RUM",C1598)),"Rum",
 ISNUMBER(SEARCH("BRAND",C1598)),"Brandy",
 ISNUMBER(SEARCH("COGNAC",C1598)),"Brandy",
 ISNUMBER(SEARCH("LIQUEUR",C1598)),"Liqueurs",
 ISNUMBER(SEARCH("CORDIAL",C1598)),"Liqueurs",
 ISNUMBER(SEARCH("SCHNAPP",C1598)),"Liqueurs",
 ISNUMBER(SEARCH("GIN",C1598)),"Gin",
 TRUE,"Other")</f>
        <v>Liqueurs</v>
      </c>
      <c r="E1598" s="5">
        <v>9646</v>
      </c>
      <c r="F1598" s="5">
        <v>199871.69000000096</v>
      </c>
      <c r="G1598" s="5"/>
      <c r="H1598" s="5">
        <v>836</v>
      </c>
    </row>
    <row r="1599" spans="1:8">
      <c r="A1599" s="5">
        <v>2022</v>
      </c>
      <c r="B1599" s="6">
        <v>44805</v>
      </c>
      <c r="C1599" s="5" t="s">
        <v>23</v>
      </c>
      <c r="D1599" s="3" t="str" cm="1">
        <f t="array" ref="D1599">_xlfn.IFS(
 ISNUMBER(SEARCH("WHISK",C1599)),"Whiskey",
 ISNUMBER(SEARCH("BOURBON",C1599)),"Whiskey",
 ISNUMBER(SEARCH("SCOTCH",C1599)),"Whiskey",
 ISNUMBER(SEARCH("RYE",C1599)),"Whiskey",
 ISNUMBER(SEARCH("VODKA",C1599)),"Vodka",
 ISNUMBER(SEARCH("TEQUILA",C1599)),"Tequila/Mezcal",
 ISNUMBER(SEARCH("MEZCAL",C1599)),"Tequila/Mezcal",
 ISNUMBER(SEARCH("RUM",C1599)),"Rum",
 ISNUMBER(SEARCH("BRAND",C1599)),"Brandy",
 ISNUMBER(SEARCH("COGNAC",C1599)),"Brandy",
 ISNUMBER(SEARCH("LIQUEUR",C1599)),"Liqueurs",
 ISNUMBER(SEARCH("CORDIAL",C1599)),"Liqueurs",
 ISNUMBER(SEARCH("SCHNAPP",C1599)),"Liqueurs",
 ISNUMBER(SEARCH("GIN",C1599)),"Gin",
 TRUE,"Other")</f>
        <v>Gin</v>
      </c>
      <c r="E1599" s="5">
        <v>2584</v>
      </c>
      <c r="F1599" s="5">
        <v>58063.229999999981</v>
      </c>
      <c r="G1599" s="5"/>
      <c r="H1599" s="5">
        <v>325</v>
      </c>
    </row>
    <row r="1600" spans="1:8">
      <c r="A1600" s="5">
        <v>2022</v>
      </c>
      <c r="B1600" s="6">
        <v>44805</v>
      </c>
      <c r="C1600" s="5" t="s">
        <v>25</v>
      </c>
      <c r="D1600" s="3" t="str" cm="1">
        <f t="array" ref="D1600">_xlfn.IFS(
 ISNUMBER(SEARCH("WHISK",C1600)),"Whiskey",
 ISNUMBER(SEARCH("BOURBON",C1600)),"Whiskey",
 ISNUMBER(SEARCH("SCOTCH",C1600)),"Whiskey",
 ISNUMBER(SEARCH("RYE",C1600)),"Whiskey",
 ISNUMBER(SEARCH("VODKA",C1600)),"Vodka",
 ISNUMBER(SEARCH("TEQUILA",C1600)),"Tequila/Mezcal",
 ISNUMBER(SEARCH("MEZCAL",C1600)),"Tequila/Mezcal",
 ISNUMBER(SEARCH("RUM",C1600)),"Rum",
 ISNUMBER(SEARCH("BRAND",C1600)),"Brandy",
 ISNUMBER(SEARCH("COGNAC",C1600)),"Brandy",
 ISNUMBER(SEARCH("LIQUEUR",C1600)),"Liqueurs",
 ISNUMBER(SEARCH("CORDIAL",C1600)),"Liqueurs",
 ISNUMBER(SEARCH("SCHNAPP",C1600)),"Liqueurs",
 ISNUMBER(SEARCH("GIN",C1600)),"Gin",
 TRUE,"Other")</f>
        <v>Rum</v>
      </c>
      <c r="E1600" s="5">
        <v>5863</v>
      </c>
      <c r="F1600" s="5">
        <v>78933.149999999805</v>
      </c>
      <c r="G1600" s="5"/>
      <c r="H1600" s="5">
        <v>843</v>
      </c>
    </row>
    <row r="1601" spans="1:8">
      <c r="A1601" s="5">
        <v>2022</v>
      </c>
      <c r="B1601" s="6">
        <v>44805</v>
      </c>
      <c r="C1601" s="5" t="s">
        <v>26</v>
      </c>
      <c r="D1601" s="3" t="str" cm="1">
        <f t="array" ref="D1601">_xlfn.IFS(
 ISNUMBER(SEARCH("WHISK",C1601)),"Whiskey",
 ISNUMBER(SEARCH("BOURBON",C1601)),"Whiskey",
 ISNUMBER(SEARCH("SCOTCH",C1601)),"Whiskey",
 ISNUMBER(SEARCH("RYE",C1601)),"Whiskey",
 ISNUMBER(SEARCH("VODKA",C1601)),"Vodka",
 ISNUMBER(SEARCH("TEQUILA",C1601)),"Tequila/Mezcal",
 ISNUMBER(SEARCH("MEZCAL",C1601)),"Tequila/Mezcal",
 ISNUMBER(SEARCH("RUM",C1601)),"Rum",
 ISNUMBER(SEARCH("BRAND",C1601)),"Brandy",
 ISNUMBER(SEARCH("COGNAC",C1601)),"Brandy",
 ISNUMBER(SEARCH("LIQUEUR",C1601)),"Liqueurs",
 ISNUMBER(SEARCH("CORDIAL",C1601)),"Liqueurs",
 ISNUMBER(SEARCH("SCHNAPP",C1601)),"Liqueurs",
 ISNUMBER(SEARCH("GIN",C1601)),"Gin",
 TRUE,"Other")</f>
        <v>Brandy</v>
      </c>
      <c r="E1601" s="5">
        <v>51321</v>
      </c>
      <c r="F1601" s="5">
        <v>1249875.0099999758</v>
      </c>
      <c r="G1601" s="5"/>
      <c r="H1601" s="5">
        <v>4047</v>
      </c>
    </row>
    <row r="1602" spans="1:8">
      <c r="A1602" s="5">
        <v>2022</v>
      </c>
      <c r="B1602" s="6">
        <v>44805</v>
      </c>
      <c r="C1602" s="5" t="s">
        <v>28</v>
      </c>
      <c r="D1602" s="3" t="str" cm="1">
        <f t="array" ref="D1602">_xlfn.IFS(
 ISNUMBER(SEARCH("WHISK",C1602)),"Whiskey",
 ISNUMBER(SEARCH("BOURBON",C1602)),"Whiskey",
 ISNUMBER(SEARCH("SCOTCH",C1602)),"Whiskey",
 ISNUMBER(SEARCH("RYE",C1602)),"Whiskey",
 ISNUMBER(SEARCH("VODKA",C1602)),"Vodka",
 ISNUMBER(SEARCH("TEQUILA",C1602)),"Tequila/Mezcal",
 ISNUMBER(SEARCH("MEZCAL",C1602)),"Tequila/Mezcal",
 ISNUMBER(SEARCH("RUM",C1602)),"Rum",
 ISNUMBER(SEARCH("BRAND",C1602)),"Brandy",
 ISNUMBER(SEARCH("COGNAC",C1602)),"Brandy",
 ISNUMBER(SEARCH("LIQUEUR",C1602)),"Liqueurs",
 ISNUMBER(SEARCH("CORDIAL",C1602)),"Liqueurs",
 ISNUMBER(SEARCH("SCHNAPP",C1602)),"Liqueurs",
 ISNUMBER(SEARCH("GIN",C1602)),"Gin",
 TRUE,"Other")</f>
        <v>Other</v>
      </c>
      <c r="E1602" s="5">
        <v>32367</v>
      </c>
      <c r="F1602" s="5">
        <v>258710.54999999984</v>
      </c>
      <c r="G1602" s="5"/>
      <c r="H1602" s="5">
        <v>428</v>
      </c>
    </row>
    <row r="1603" spans="1:8">
      <c r="A1603" s="5">
        <v>2022</v>
      </c>
      <c r="B1603" s="6">
        <v>44805</v>
      </c>
      <c r="C1603" s="5" t="s">
        <v>32</v>
      </c>
      <c r="D1603" s="3" t="str" cm="1">
        <f t="array" ref="D1603">_xlfn.IFS(
 ISNUMBER(SEARCH("WHISK",C1603)),"Whiskey",
 ISNUMBER(SEARCH("BOURBON",C1603)),"Whiskey",
 ISNUMBER(SEARCH("SCOTCH",C1603)),"Whiskey",
 ISNUMBER(SEARCH("RYE",C1603)),"Whiskey",
 ISNUMBER(SEARCH("VODKA",C1603)),"Vodka",
 ISNUMBER(SEARCH("TEQUILA",C1603)),"Tequila/Mezcal",
 ISNUMBER(SEARCH("MEZCAL",C1603)),"Tequila/Mezcal",
 ISNUMBER(SEARCH("RUM",C1603)),"Rum",
 ISNUMBER(SEARCH("BRAND",C1603)),"Brandy",
 ISNUMBER(SEARCH("COGNAC",C1603)),"Brandy",
 ISNUMBER(SEARCH("LIQUEUR",C1603)),"Liqueurs",
 ISNUMBER(SEARCH("CORDIAL",C1603)),"Liqueurs",
 ISNUMBER(SEARCH("SCHNAPP",C1603)),"Liqueurs",
 ISNUMBER(SEARCH("GIN",C1603)),"Gin",
 TRUE,"Other")</f>
        <v>Vodka</v>
      </c>
      <c r="E1603" s="5">
        <v>58069</v>
      </c>
      <c r="F1603" s="5">
        <v>985796.79999998095</v>
      </c>
      <c r="G1603" s="5"/>
      <c r="H1603" s="5">
        <v>5559</v>
      </c>
    </row>
    <row r="1604" spans="1:8">
      <c r="A1604" s="5">
        <v>2022</v>
      </c>
      <c r="B1604" s="6">
        <v>44805</v>
      </c>
      <c r="C1604" s="5" t="s">
        <v>34</v>
      </c>
      <c r="D1604" s="3" t="str" cm="1">
        <f t="array" ref="D1604">_xlfn.IFS(
 ISNUMBER(SEARCH("WHISK",C1604)),"Whiskey",
 ISNUMBER(SEARCH("BOURBON",C1604)),"Whiskey",
 ISNUMBER(SEARCH("SCOTCH",C1604)),"Whiskey",
 ISNUMBER(SEARCH("RYE",C1604)),"Whiskey",
 ISNUMBER(SEARCH("VODKA",C1604)),"Vodka",
 ISNUMBER(SEARCH("TEQUILA",C1604)),"Tequila/Mezcal",
 ISNUMBER(SEARCH("MEZCAL",C1604)),"Tequila/Mezcal",
 ISNUMBER(SEARCH("RUM",C1604)),"Rum",
 ISNUMBER(SEARCH("BRAND",C1604)),"Brandy",
 ISNUMBER(SEARCH("COGNAC",C1604)),"Brandy",
 ISNUMBER(SEARCH("LIQUEUR",C1604)),"Liqueurs",
 ISNUMBER(SEARCH("CORDIAL",C1604)),"Liqueurs",
 ISNUMBER(SEARCH("SCHNAPP",C1604)),"Liqueurs",
 ISNUMBER(SEARCH("GIN",C1604)),"Gin",
 TRUE,"Other")</f>
        <v>Tequila/Mezcal</v>
      </c>
      <c r="E1604" s="5">
        <v>1282</v>
      </c>
      <c r="F1604" s="5">
        <v>41776.340000000004</v>
      </c>
      <c r="G1604" s="5"/>
      <c r="H1604" s="5">
        <v>279</v>
      </c>
    </row>
    <row r="1605" spans="1:8">
      <c r="A1605" s="5">
        <v>2022</v>
      </c>
      <c r="B1605" s="6">
        <v>44805</v>
      </c>
      <c r="C1605" s="5" t="s">
        <v>35</v>
      </c>
      <c r="D1605" s="3" t="str" cm="1">
        <f t="array" ref="D1605">_xlfn.IFS(
 ISNUMBER(SEARCH("WHISK",C1605)),"Whiskey",
 ISNUMBER(SEARCH("BOURBON",C1605)),"Whiskey",
 ISNUMBER(SEARCH("SCOTCH",C1605)),"Whiskey",
 ISNUMBER(SEARCH("RYE",C1605)),"Whiskey",
 ISNUMBER(SEARCH("VODKA",C1605)),"Vodka",
 ISNUMBER(SEARCH("TEQUILA",C1605)),"Tequila/Mezcal",
 ISNUMBER(SEARCH("MEZCAL",C1605)),"Tequila/Mezcal",
 ISNUMBER(SEARCH("RUM",C1605)),"Rum",
 ISNUMBER(SEARCH("BRAND",C1605)),"Brandy",
 ISNUMBER(SEARCH("COGNAC",C1605)),"Brandy",
 ISNUMBER(SEARCH("LIQUEUR",C1605)),"Liqueurs",
 ISNUMBER(SEARCH("CORDIAL",C1605)),"Liqueurs",
 ISNUMBER(SEARCH("SCHNAPP",C1605)),"Liqueurs",
 ISNUMBER(SEARCH("GIN",C1605)),"Gin",
 TRUE,"Other")</f>
        <v>Tequila/Mezcal</v>
      </c>
      <c r="E1605" s="5">
        <v>61578</v>
      </c>
      <c r="F1605" s="5">
        <v>831599.08000000741</v>
      </c>
      <c r="G1605" s="5"/>
      <c r="H1605" s="5">
        <v>4799</v>
      </c>
    </row>
    <row r="1606" spans="1:8">
      <c r="A1606" s="5">
        <v>2022</v>
      </c>
      <c r="B1606" s="6">
        <v>44805</v>
      </c>
      <c r="C1606" s="5" t="s">
        <v>37</v>
      </c>
      <c r="D1606" s="3" t="str" cm="1">
        <f t="array" ref="D1606">_xlfn.IFS(
 ISNUMBER(SEARCH("WHISK",C1606)),"Whiskey",
 ISNUMBER(SEARCH("BOURBON",C1606)),"Whiskey",
 ISNUMBER(SEARCH("SCOTCH",C1606)),"Whiskey",
 ISNUMBER(SEARCH("RYE",C1606)),"Whiskey",
 ISNUMBER(SEARCH("VODKA",C1606)),"Vodka",
 ISNUMBER(SEARCH("TEQUILA",C1606)),"Tequila/Mezcal",
 ISNUMBER(SEARCH("MEZCAL",C1606)),"Tequila/Mezcal",
 ISNUMBER(SEARCH("RUM",C1606)),"Rum",
 ISNUMBER(SEARCH("BRAND",C1606)),"Brandy",
 ISNUMBER(SEARCH("COGNAC",C1606)),"Brandy",
 ISNUMBER(SEARCH("LIQUEUR",C1606)),"Liqueurs",
 ISNUMBER(SEARCH("CORDIAL",C1606)),"Liqueurs",
 ISNUMBER(SEARCH("SCHNAPP",C1606)),"Liqueurs",
 ISNUMBER(SEARCH("GIN",C1606)),"Gin",
 TRUE,"Other")</f>
        <v>Other</v>
      </c>
      <c r="E1606" s="5">
        <v>18390</v>
      </c>
      <c r="F1606" s="5">
        <v>310584.0800000024</v>
      </c>
      <c r="G1606" s="5"/>
      <c r="H1606" s="5">
        <v>3350</v>
      </c>
    </row>
    <row r="1607" spans="1:8">
      <c r="A1607" s="5">
        <v>2022</v>
      </c>
      <c r="B1607" s="6">
        <v>44805</v>
      </c>
      <c r="C1607" s="5" t="s">
        <v>38</v>
      </c>
      <c r="D1607" s="3" t="str" cm="1">
        <f t="array" ref="D1607">_xlfn.IFS(
 ISNUMBER(SEARCH("WHISK",C1607)),"Whiskey",
 ISNUMBER(SEARCH("BOURBON",C1607)),"Whiskey",
 ISNUMBER(SEARCH("SCOTCH",C1607)),"Whiskey",
 ISNUMBER(SEARCH("RYE",C1607)),"Whiskey",
 ISNUMBER(SEARCH("VODKA",C1607)),"Vodka",
 ISNUMBER(SEARCH("TEQUILA",C1607)),"Tequila/Mezcal",
 ISNUMBER(SEARCH("MEZCAL",C1607)),"Tequila/Mezcal",
 ISNUMBER(SEARCH("RUM",C1607)),"Rum",
 ISNUMBER(SEARCH("BRAND",C1607)),"Brandy",
 ISNUMBER(SEARCH("COGNAC",C1607)),"Brandy",
 ISNUMBER(SEARCH("LIQUEUR",C1607)),"Liqueurs",
 ISNUMBER(SEARCH("CORDIAL",C1607)),"Liqueurs",
 ISNUMBER(SEARCH("SCHNAPP",C1607)),"Liqueurs",
 ISNUMBER(SEARCH("GIN",C1607)),"Gin",
 TRUE,"Other")</f>
        <v>Whiskey</v>
      </c>
      <c r="E1607" s="5">
        <v>16210</v>
      </c>
      <c r="F1607" s="5">
        <v>416706.64000000025</v>
      </c>
      <c r="G1607" s="5"/>
      <c r="H1607" s="5">
        <v>2702</v>
      </c>
    </row>
    <row r="1608" spans="1:8">
      <c r="A1608" s="5">
        <v>2022</v>
      </c>
      <c r="B1608" s="6">
        <v>44805</v>
      </c>
      <c r="C1608" s="5" t="s">
        <v>39</v>
      </c>
      <c r="D1608" s="3" t="str" cm="1">
        <f t="array" ref="D1608">_xlfn.IFS(
 ISNUMBER(SEARCH("WHISK",C1608)),"Whiskey",
 ISNUMBER(SEARCH("BOURBON",C1608)),"Whiskey",
 ISNUMBER(SEARCH("SCOTCH",C1608)),"Whiskey",
 ISNUMBER(SEARCH("RYE",C1608)),"Whiskey",
 ISNUMBER(SEARCH("VODKA",C1608)),"Vodka",
 ISNUMBER(SEARCH("TEQUILA",C1608)),"Tequila/Mezcal",
 ISNUMBER(SEARCH("MEZCAL",C1608)),"Tequila/Mezcal",
 ISNUMBER(SEARCH("RUM",C1608)),"Rum",
 ISNUMBER(SEARCH("BRAND",C1608)),"Brandy",
 ISNUMBER(SEARCH("COGNAC",C1608)),"Brandy",
 ISNUMBER(SEARCH("LIQUEUR",C1608)),"Liqueurs",
 ISNUMBER(SEARCH("CORDIAL",C1608)),"Liqueurs",
 ISNUMBER(SEARCH("SCHNAPP",C1608)),"Liqueurs",
 ISNUMBER(SEARCH("GIN",C1608)),"Gin",
 TRUE,"Other")</f>
        <v>Whiskey</v>
      </c>
      <c r="E1608" s="5">
        <v>2334</v>
      </c>
      <c r="F1608" s="5">
        <v>70804.740000000005</v>
      </c>
      <c r="G1608" s="5"/>
      <c r="H1608" s="5">
        <v>260</v>
      </c>
    </row>
    <row r="1609" spans="1:8">
      <c r="A1609" s="5">
        <v>2022</v>
      </c>
      <c r="B1609" s="6">
        <v>44805</v>
      </c>
      <c r="C1609" s="5" t="s">
        <v>40</v>
      </c>
      <c r="D1609" s="3" t="str" cm="1">
        <f t="array" ref="D1609">_xlfn.IFS(
 ISNUMBER(SEARCH("WHISK",C1609)),"Whiskey",
 ISNUMBER(SEARCH("BOURBON",C1609)),"Whiskey",
 ISNUMBER(SEARCH("SCOTCH",C1609)),"Whiskey",
 ISNUMBER(SEARCH("RYE",C1609)),"Whiskey",
 ISNUMBER(SEARCH("VODKA",C1609)),"Vodka",
 ISNUMBER(SEARCH("TEQUILA",C1609)),"Tequila/Mezcal",
 ISNUMBER(SEARCH("MEZCAL",C1609)),"Tequila/Mezcal",
 ISNUMBER(SEARCH("RUM",C1609)),"Rum",
 ISNUMBER(SEARCH("BRAND",C1609)),"Brandy",
 ISNUMBER(SEARCH("COGNAC",C1609)),"Brandy",
 ISNUMBER(SEARCH("LIQUEUR",C1609)),"Liqueurs",
 ISNUMBER(SEARCH("CORDIAL",C1609)),"Liqueurs",
 ISNUMBER(SEARCH("SCHNAPP",C1609)),"Liqueurs",
 ISNUMBER(SEARCH("GIN",C1609)),"Gin",
 TRUE,"Other")</f>
        <v>Whiskey</v>
      </c>
      <c r="E1609" s="5">
        <v>9651</v>
      </c>
      <c r="F1609" s="5">
        <v>449932.71000000049</v>
      </c>
      <c r="G1609" s="5"/>
      <c r="H1609" s="5">
        <v>1496</v>
      </c>
    </row>
    <row r="1610" spans="1:8">
      <c r="A1610" s="5">
        <v>2022</v>
      </c>
      <c r="B1610" s="6">
        <v>44805</v>
      </c>
      <c r="C1610" s="5" t="s">
        <v>41</v>
      </c>
      <c r="D1610" s="3" t="str" cm="1">
        <f t="array" ref="D1610">_xlfn.IFS(
 ISNUMBER(SEARCH("WHISK",C1610)),"Whiskey",
 ISNUMBER(SEARCH("BOURBON",C1610)),"Whiskey",
 ISNUMBER(SEARCH("SCOTCH",C1610)),"Whiskey",
 ISNUMBER(SEARCH("RYE",C1610)),"Whiskey",
 ISNUMBER(SEARCH("VODKA",C1610)),"Vodka",
 ISNUMBER(SEARCH("TEQUILA",C1610)),"Tequila/Mezcal",
 ISNUMBER(SEARCH("MEZCAL",C1610)),"Tequila/Mezcal",
 ISNUMBER(SEARCH("RUM",C1610)),"Rum",
 ISNUMBER(SEARCH("BRAND",C1610)),"Brandy",
 ISNUMBER(SEARCH("COGNAC",C1610)),"Brandy",
 ISNUMBER(SEARCH("LIQUEUR",C1610)),"Liqueurs",
 ISNUMBER(SEARCH("CORDIAL",C1610)),"Liqueurs",
 ISNUMBER(SEARCH("SCHNAPP",C1610)),"Liqueurs",
 ISNUMBER(SEARCH("GIN",C1610)),"Gin",
 TRUE,"Other")</f>
        <v>Other</v>
      </c>
      <c r="E1610" s="5">
        <v>2538</v>
      </c>
      <c r="F1610" s="5">
        <v>54202.550000000032</v>
      </c>
      <c r="G1610" s="5"/>
      <c r="H1610" s="5">
        <v>210</v>
      </c>
    </row>
    <row r="1611" spans="1:8">
      <c r="A1611" s="5">
        <v>2022</v>
      </c>
      <c r="B1611" s="6">
        <v>44805</v>
      </c>
      <c r="C1611" s="5" t="s">
        <v>44</v>
      </c>
      <c r="D1611" s="3" t="str" cm="1">
        <f t="array" ref="D1611">_xlfn.IFS(
 ISNUMBER(SEARCH("WHISK",C1611)),"Whiskey",
 ISNUMBER(SEARCH("BOURBON",C1611)),"Whiskey",
 ISNUMBER(SEARCH("SCOTCH",C1611)),"Whiskey",
 ISNUMBER(SEARCH("RYE",C1611)),"Whiskey",
 ISNUMBER(SEARCH("VODKA",C1611)),"Vodka",
 ISNUMBER(SEARCH("TEQUILA",C1611)),"Tequila/Mezcal",
 ISNUMBER(SEARCH("MEZCAL",C1611)),"Tequila/Mezcal",
 ISNUMBER(SEARCH("RUM",C1611)),"Rum",
 ISNUMBER(SEARCH("BRAND",C1611)),"Brandy",
 ISNUMBER(SEARCH("COGNAC",C1611)),"Brandy",
 ISNUMBER(SEARCH("LIQUEUR",C1611)),"Liqueurs",
 ISNUMBER(SEARCH("CORDIAL",C1611)),"Liqueurs",
 ISNUMBER(SEARCH("SCHNAPP",C1611)),"Liqueurs",
 ISNUMBER(SEARCH("GIN",C1611)),"Gin",
 TRUE,"Other")</f>
        <v>Whiskey</v>
      </c>
      <c r="E1611" s="5">
        <v>11765</v>
      </c>
      <c r="F1611" s="5">
        <v>381739.82000000303</v>
      </c>
      <c r="G1611" s="5"/>
      <c r="H1611" s="5">
        <v>1638</v>
      </c>
    </row>
    <row r="1612" spans="1:8">
      <c r="A1612" s="5">
        <v>2022</v>
      </c>
      <c r="B1612" s="6">
        <v>44805</v>
      </c>
      <c r="C1612" s="5" t="s">
        <v>45</v>
      </c>
      <c r="D1612" s="3" t="str" cm="1">
        <f t="array" ref="D1612">_xlfn.IFS(
 ISNUMBER(SEARCH("WHISK",C1612)),"Whiskey",
 ISNUMBER(SEARCH("BOURBON",C1612)),"Whiskey",
 ISNUMBER(SEARCH("SCOTCH",C1612)),"Whiskey",
 ISNUMBER(SEARCH("RYE",C1612)),"Whiskey",
 ISNUMBER(SEARCH("VODKA",C1612)),"Vodka",
 ISNUMBER(SEARCH("TEQUILA",C1612)),"Tequila/Mezcal",
 ISNUMBER(SEARCH("MEZCAL",C1612)),"Tequila/Mezcal",
 ISNUMBER(SEARCH("RUM",C1612)),"Rum",
 ISNUMBER(SEARCH("BRAND",C1612)),"Brandy",
 ISNUMBER(SEARCH("COGNAC",C1612)),"Brandy",
 ISNUMBER(SEARCH("LIQUEUR",C1612)),"Liqueurs",
 ISNUMBER(SEARCH("CORDIAL",C1612)),"Liqueurs",
 ISNUMBER(SEARCH("SCHNAPP",C1612)),"Liqueurs",
 ISNUMBER(SEARCH("GIN",C1612)),"Gin",
 TRUE,"Other")</f>
        <v>Other</v>
      </c>
      <c r="E1612" s="5">
        <v>65633</v>
      </c>
      <c r="F1612" s="5">
        <v>1854811.4699998742</v>
      </c>
      <c r="G1612" s="5"/>
      <c r="H1612" s="5">
        <v>8319</v>
      </c>
    </row>
    <row r="1613" spans="1:8">
      <c r="A1613" s="5">
        <v>2022</v>
      </c>
      <c r="B1613" s="6">
        <v>44805</v>
      </c>
      <c r="C1613" s="5" t="s">
        <v>14</v>
      </c>
      <c r="D1613" s="3" t="str" cm="1">
        <f t="array" ref="D1613">_xlfn.IFS(
 ISNUMBER(SEARCH("WHISK",C1613)),"Whiskey",
 ISNUMBER(SEARCH("BOURBON",C1613)),"Whiskey",
 ISNUMBER(SEARCH("SCOTCH",C1613)),"Whiskey",
 ISNUMBER(SEARCH("RYE",C1613)),"Whiskey",
 ISNUMBER(SEARCH("VODKA",C1613)),"Vodka",
 ISNUMBER(SEARCH("TEQUILA",C1613)),"Tequila/Mezcal",
 ISNUMBER(SEARCH("MEZCAL",C1613)),"Tequila/Mezcal",
 ISNUMBER(SEARCH("RUM",C1613)),"Rum",
 ISNUMBER(SEARCH("BRAND",C1613)),"Brandy",
 ISNUMBER(SEARCH("COGNAC",C1613)),"Brandy",
 ISNUMBER(SEARCH("LIQUEUR",C1613)),"Liqueurs",
 ISNUMBER(SEARCH("CORDIAL",C1613)),"Liqueurs",
 ISNUMBER(SEARCH("SCHNAPP",C1613)),"Liqueurs",
 ISNUMBER(SEARCH("GIN",C1613)),"Gin",
 TRUE,"Other")</f>
        <v>Gin</v>
      </c>
      <c r="E1613" s="5">
        <v>393</v>
      </c>
      <c r="F1613" s="5">
        <v>3195.0900000000011</v>
      </c>
      <c r="G1613" s="5"/>
      <c r="H1613" s="5">
        <v>51</v>
      </c>
    </row>
    <row r="1614" spans="1:8">
      <c r="A1614" s="5">
        <v>2022</v>
      </c>
      <c r="B1614" s="6">
        <v>44805</v>
      </c>
      <c r="C1614" s="5" t="s">
        <v>36</v>
      </c>
      <c r="D1614" s="3" t="str" cm="1">
        <f t="array" ref="D1614">_xlfn.IFS(
 ISNUMBER(SEARCH("WHISK",C1614)),"Whiskey",
 ISNUMBER(SEARCH("BOURBON",C1614)),"Whiskey",
 ISNUMBER(SEARCH("SCOTCH",C1614)),"Whiskey",
 ISNUMBER(SEARCH("RYE",C1614)),"Whiskey",
 ISNUMBER(SEARCH("VODKA",C1614)),"Vodka",
 ISNUMBER(SEARCH("TEQUILA",C1614)),"Tequila/Mezcal",
 ISNUMBER(SEARCH("MEZCAL",C1614)),"Tequila/Mezcal",
 ISNUMBER(SEARCH("RUM",C1614)),"Rum",
 ISNUMBER(SEARCH("BRAND",C1614)),"Brandy",
 ISNUMBER(SEARCH("COGNAC",C1614)),"Brandy",
 ISNUMBER(SEARCH("LIQUEUR",C1614)),"Liqueurs",
 ISNUMBER(SEARCH("CORDIAL",C1614)),"Liqueurs",
 ISNUMBER(SEARCH("SCHNAPP",C1614)),"Liqueurs",
 ISNUMBER(SEARCH("GIN",C1614)),"Gin",
 TRUE,"Other")</f>
        <v>Other</v>
      </c>
      <c r="E1614" s="5">
        <v>5075</v>
      </c>
      <c r="F1614" s="5">
        <v>72818.430000000008</v>
      </c>
      <c r="G1614" s="5"/>
      <c r="H1614" s="5">
        <v>432</v>
      </c>
    </row>
    <row r="1615" spans="1:8">
      <c r="A1615" s="5">
        <v>2022</v>
      </c>
      <c r="B1615" s="6">
        <v>44805</v>
      </c>
      <c r="C1615" s="5" t="s">
        <v>21</v>
      </c>
      <c r="D1615" s="3" t="str" cm="1">
        <f t="array" ref="D1615">_xlfn.IFS(
 ISNUMBER(SEARCH("WHISK",C1615)),"Whiskey",
 ISNUMBER(SEARCH("BOURBON",C1615)),"Whiskey",
 ISNUMBER(SEARCH("SCOTCH",C1615)),"Whiskey",
 ISNUMBER(SEARCH("RYE",C1615)),"Whiskey",
 ISNUMBER(SEARCH("VODKA",C1615)),"Vodka",
 ISNUMBER(SEARCH("TEQUILA",C1615)),"Tequila/Mezcal",
 ISNUMBER(SEARCH("MEZCAL",C1615)),"Tequila/Mezcal",
 ISNUMBER(SEARCH("RUM",C1615)),"Rum",
 ISNUMBER(SEARCH("BRAND",C1615)),"Brandy",
 ISNUMBER(SEARCH("COGNAC",C1615)),"Brandy",
 ISNUMBER(SEARCH("LIQUEUR",C1615)),"Liqueurs",
 ISNUMBER(SEARCH("CORDIAL",C1615)),"Liqueurs",
 ISNUMBER(SEARCH("SCHNAPP",C1615)),"Liqueurs",
 ISNUMBER(SEARCH("GIN",C1615)),"Gin",
 TRUE,"Other")</f>
        <v>Whiskey</v>
      </c>
      <c r="E1615" s="5">
        <v>739</v>
      </c>
      <c r="F1615" s="5">
        <v>24079.41</v>
      </c>
      <c r="G1615" s="5"/>
      <c r="H1615" s="5">
        <v>114</v>
      </c>
    </row>
    <row r="1616" spans="1:8">
      <c r="A1616" s="5">
        <v>2023</v>
      </c>
      <c r="B1616" s="6">
        <v>45017</v>
      </c>
      <c r="C1616" s="5" t="s">
        <v>19</v>
      </c>
      <c r="D1616" s="3" t="str" cm="1">
        <f t="array" ref="D1616">_xlfn.IFS(
 ISNUMBER(SEARCH("WHISK",C1616)),"Whiskey",
 ISNUMBER(SEARCH("BOURBON",C1616)),"Whiskey",
 ISNUMBER(SEARCH("SCOTCH",C1616)),"Whiskey",
 ISNUMBER(SEARCH("RYE",C1616)),"Whiskey",
 ISNUMBER(SEARCH("VODKA",C1616)),"Vodka",
 ISNUMBER(SEARCH("TEQUILA",C1616)),"Tequila/Mezcal",
 ISNUMBER(SEARCH("MEZCAL",C1616)),"Tequila/Mezcal",
 ISNUMBER(SEARCH("RUM",C1616)),"Rum",
 ISNUMBER(SEARCH("BRAND",C1616)),"Brandy",
 ISNUMBER(SEARCH("COGNAC",C1616)),"Brandy",
 ISNUMBER(SEARCH("LIQUEUR",C1616)),"Liqueurs",
 ISNUMBER(SEARCH("CORDIAL",C1616)),"Liqueurs",
 ISNUMBER(SEARCH("SCHNAPP",C1616)),"Liqueurs",
 ISNUMBER(SEARCH("GIN",C1616)),"Gin",
 TRUE,"Other")</f>
        <v>Other</v>
      </c>
      <c r="E1616" s="5">
        <v>78224</v>
      </c>
      <c r="F1616" s="5">
        <v>982620.29000000388</v>
      </c>
      <c r="G1616" s="5"/>
      <c r="H1616" s="5">
        <v>6938</v>
      </c>
    </row>
    <row r="1617" spans="1:8">
      <c r="A1617" s="5">
        <v>2023</v>
      </c>
      <c r="B1617" s="6">
        <v>45017</v>
      </c>
      <c r="C1617" s="5" t="s">
        <v>20</v>
      </c>
      <c r="D1617" s="3" t="str" cm="1">
        <f t="array" ref="D1617">_xlfn.IFS(
 ISNUMBER(SEARCH("WHISK",C1617)),"Whiskey",
 ISNUMBER(SEARCH("BOURBON",C1617)),"Whiskey",
 ISNUMBER(SEARCH("SCOTCH",C1617)),"Whiskey",
 ISNUMBER(SEARCH("RYE",C1617)),"Whiskey",
 ISNUMBER(SEARCH("VODKA",C1617)),"Vodka",
 ISNUMBER(SEARCH("TEQUILA",C1617)),"Tequila/Mezcal",
 ISNUMBER(SEARCH("MEZCAL",C1617)),"Tequila/Mezcal",
 ISNUMBER(SEARCH("RUM",C1617)),"Rum",
 ISNUMBER(SEARCH("BRAND",C1617)),"Brandy",
 ISNUMBER(SEARCH("COGNAC",C1617)),"Brandy",
 ISNUMBER(SEARCH("LIQUEUR",C1617)),"Liqueurs",
 ISNUMBER(SEARCH("CORDIAL",C1617)),"Liqueurs",
 ISNUMBER(SEARCH("SCHNAPP",C1617)),"Liqueurs",
 ISNUMBER(SEARCH("GIN",C1617)),"Gin",
 TRUE,"Other")</f>
        <v>Liqueurs</v>
      </c>
      <c r="E1617" s="5">
        <v>7052</v>
      </c>
      <c r="F1617" s="5">
        <v>154923.80000000057</v>
      </c>
      <c r="G1617" s="5"/>
      <c r="H1617" s="5">
        <v>766</v>
      </c>
    </row>
    <row r="1618" spans="1:8">
      <c r="A1618" s="5">
        <v>2023</v>
      </c>
      <c r="B1618" s="6">
        <v>45017</v>
      </c>
      <c r="C1618" s="5" t="s">
        <v>21</v>
      </c>
      <c r="D1618" s="3" t="str" cm="1">
        <f t="array" ref="D1618">_xlfn.IFS(
 ISNUMBER(SEARCH("WHISK",C1618)),"Whiskey",
 ISNUMBER(SEARCH("BOURBON",C1618)),"Whiskey",
 ISNUMBER(SEARCH("SCOTCH",C1618)),"Whiskey",
 ISNUMBER(SEARCH("RYE",C1618)),"Whiskey",
 ISNUMBER(SEARCH("VODKA",C1618)),"Vodka",
 ISNUMBER(SEARCH("TEQUILA",C1618)),"Tequila/Mezcal",
 ISNUMBER(SEARCH("MEZCAL",C1618)),"Tequila/Mezcal",
 ISNUMBER(SEARCH("RUM",C1618)),"Rum",
 ISNUMBER(SEARCH("BRAND",C1618)),"Brandy",
 ISNUMBER(SEARCH("COGNAC",C1618)),"Brandy",
 ISNUMBER(SEARCH("LIQUEUR",C1618)),"Liqueurs",
 ISNUMBER(SEARCH("CORDIAL",C1618)),"Liqueurs",
 ISNUMBER(SEARCH("SCHNAPP",C1618)),"Liqueurs",
 ISNUMBER(SEARCH("GIN",C1618)),"Gin",
 TRUE,"Other")</f>
        <v>Whiskey</v>
      </c>
      <c r="E1618" s="5">
        <v>908</v>
      </c>
      <c r="F1618" s="5">
        <v>27958.720000000001</v>
      </c>
      <c r="G1618" s="5"/>
      <c r="H1618" s="5">
        <v>203</v>
      </c>
    </row>
    <row r="1619" spans="1:8">
      <c r="A1619" s="5">
        <v>2023</v>
      </c>
      <c r="B1619" s="6">
        <v>45017</v>
      </c>
      <c r="C1619" s="5" t="s">
        <v>22</v>
      </c>
      <c r="D1619" s="3" t="str" cm="1">
        <f t="array" ref="D1619">_xlfn.IFS(
 ISNUMBER(SEARCH("WHISK",C1619)),"Whiskey",
 ISNUMBER(SEARCH("BOURBON",C1619)),"Whiskey",
 ISNUMBER(SEARCH("SCOTCH",C1619)),"Whiskey",
 ISNUMBER(SEARCH("RYE",C1619)),"Whiskey",
 ISNUMBER(SEARCH("VODKA",C1619)),"Vodka",
 ISNUMBER(SEARCH("TEQUILA",C1619)),"Tequila/Mezcal",
 ISNUMBER(SEARCH("MEZCAL",C1619)),"Tequila/Mezcal",
 ISNUMBER(SEARCH("RUM",C1619)),"Rum",
 ISNUMBER(SEARCH("BRAND",C1619)),"Brandy",
 ISNUMBER(SEARCH("COGNAC",C1619)),"Brandy",
 ISNUMBER(SEARCH("LIQUEUR",C1619)),"Liqueurs",
 ISNUMBER(SEARCH("CORDIAL",C1619)),"Liqueurs",
 ISNUMBER(SEARCH("SCHNAPP",C1619)),"Liqueurs",
 ISNUMBER(SEARCH("GIN",C1619)),"Gin",
 TRUE,"Other")</f>
        <v>Liqueurs</v>
      </c>
      <c r="E1619" s="5">
        <v>21734</v>
      </c>
      <c r="F1619" s="5">
        <v>433759.95999999187</v>
      </c>
      <c r="G1619" s="5"/>
      <c r="H1619" s="5">
        <v>3272</v>
      </c>
    </row>
    <row r="1620" spans="1:8">
      <c r="A1620" s="5">
        <v>2023</v>
      </c>
      <c r="B1620" s="6">
        <v>45017</v>
      </c>
      <c r="C1620" s="5" t="s">
        <v>23</v>
      </c>
      <c r="D1620" s="3" t="str" cm="1">
        <f t="array" ref="D1620">_xlfn.IFS(
 ISNUMBER(SEARCH("WHISK",C1620)),"Whiskey",
 ISNUMBER(SEARCH("BOURBON",C1620)),"Whiskey",
 ISNUMBER(SEARCH("SCOTCH",C1620)),"Whiskey",
 ISNUMBER(SEARCH("RYE",C1620)),"Whiskey",
 ISNUMBER(SEARCH("VODKA",C1620)),"Vodka",
 ISNUMBER(SEARCH("TEQUILA",C1620)),"Tequila/Mezcal",
 ISNUMBER(SEARCH("MEZCAL",C1620)),"Tequila/Mezcal",
 ISNUMBER(SEARCH("RUM",C1620)),"Rum",
 ISNUMBER(SEARCH("BRAND",C1620)),"Brandy",
 ISNUMBER(SEARCH("COGNAC",C1620)),"Brandy",
 ISNUMBER(SEARCH("LIQUEUR",C1620)),"Liqueurs",
 ISNUMBER(SEARCH("CORDIAL",C1620)),"Liqueurs",
 ISNUMBER(SEARCH("SCHNAPP",C1620)),"Liqueurs",
 ISNUMBER(SEARCH("GIN",C1620)),"Gin",
 TRUE,"Other")</f>
        <v>Gin</v>
      </c>
      <c r="E1620" s="5">
        <v>3024</v>
      </c>
      <c r="F1620" s="5">
        <v>77443.349999999991</v>
      </c>
      <c r="G1620" s="5"/>
      <c r="H1620" s="5">
        <v>324</v>
      </c>
    </row>
    <row r="1621" spans="1:8">
      <c r="A1621" s="5">
        <v>2023</v>
      </c>
      <c r="B1621" s="6">
        <v>45017</v>
      </c>
      <c r="C1621" s="5" t="s">
        <v>24</v>
      </c>
      <c r="D1621" s="3" t="str" cm="1">
        <f t="array" ref="D1621">_xlfn.IFS(
 ISNUMBER(SEARCH("WHISK",C1621)),"Whiskey",
 ISNUMBER(SEARCH("BOURBON",C1621)),"Whiskey",
 ISNUMBER(SEARCH("SCOTCH",C1621)),"Whiskey",
 ISNUMBER(SEARCH("RYE",C1621)),"Whiskey",
 ISNUMBER(SEARCH("VODKA",C1621)),"Vodka",
 ISNUMBER(SEARCH("TEQUILA",C1621)),"Tequila/Mezcal",
 ISNUMBER(SEARCH("MEZCAL",C1621)),"Tequila/Mezcal",
 ISNUMBER(SEARCH("RUM",C1621)),"Rum",
 ISNUMBER(SEARCH("BRAND",C1621)),"Brandy",
 ISNUMBER(SEARCH("COGNAC",C1621)),"Brandy",
 ISNUMBER(SEARCH("LIQUEUR",C1621)),"Liqueurs",
 ISNUMBER(SEARCH("CORDIAL",C1621)),"Liqueurs",
 ISNUMBER(SEARCH("SCHNAPP",C1621)),"Liqueurs",
 ISNUMBER(SEARCH("GIN",C1621)),"Gin",
 TRUE,"Other")</f>
        <v>Rum</v>
      </c>
      <c r="E1621" s="5">
        <v>47422</v>
      </c>
      <c r="F1621" s="5">
        <v>736860.78999999678</v>
      </c>
      <c r="G1621" s="5"/>
      <c r="H1621" s="5">
        <v>4511</v>
      </c>
    </row>
    <row r="1622" spans="1:8">
      <c r="A1622" s="5">
        <v>2023</v>
      </c>
      <c r="B1622" s="6">
        <v>45017</v>
      </c>
      <c r="C1622" s="5" t="s">
        <v>25</v>
      </c>
      <c r="D1622" s="3" t="str" cm="1">
        <f t="array" ref="D1622">_xlfn.IFS(
 ISNUMBER(SEARCH("WHISK",C1622)),"Whiskey",
 ISNUMBER(SEARCH("BOURBON",C1622)),"Whiskey",
 ISNUMBER(SEARCH("SCOTCH",C1622)),"Whiskey",
 ISNUMBER(SEARCH("RYE",C1622)),"Whiskey",
 ISNUMBER(SEARCH("VODKA",C1622)),"Vodka",
 ISNUMBER(SEARCH("TEQUILA",C1622)),"Tequila/Mezcal",
 ISNUMBER(SEARCH("MEZCAL",C1622)),"Tequila/Mezcal",
 ISNUMBER(SEARCH("RUM",C1622)),"Rum",
 ISNUMBER(SEARCH("BRAND",C1622)),"Brandy",
 ISNUMBER(SEARCH("COGNAC",C1622)),"Brandy",
 ISNUMBER(SEARCH("LIQUEUR",C1622)),"Liqueurs",
 ISNUMBER(SEARCH("CORDIAL",C1622)),"Liqueurs",
 ISNUMBER(SEARCH("SCHNAPP",C1622)),"Liqueurs",
 ISNUMBER(SEARCH("GIN",C1622)),"Gin",
 TRUE,"Other")</f>
        <v>Rum</v>
      </c>
      <c r="E1622" s="5">
        <v>5863</v>
      </c>
      <c r="F1622" s="5">
        <v>82358.919999999765</v>
      </c>
      <c r="G1622" s="5"/>
      <c r="H1622" s="5">
        <v>869</v>
      </c>
    </row>
    <row r="1623" spans="1:8">
      <c r="A1623" s="5">
        <v>2023</v>
      </c>
      <c r="B1623" s="6">
        <v>45017</v>
      </c>
      <c r="C1623" s="5" t="s">
        <v>26</v>
      </c>
      <c r="D1623" s="3" t="str" cm="1">
        <f t="array" ref="D1623">_xlfn.IFS(
 ISNUMBER(SEARCH("WHISK",C1623)),"Whiskey",
 ISNUMBER(SEARCH("BOURBON",C1623)),"Whiskey",
 ISNUMBER(SEARCH("SCOTCH",C1623)),"Whiskey",
 ISNUMBER(SEARCH("RYE",C1623)),"Whiskey",
 ISNUMBER(SEARCH("VODKA",C1623)),"Vodka",
 ISNUMBER(SEARCH("TEQUILA",C1623)),"Tequila/Mezcal",
 ISNUMBER(SEARCH("MEZCAL",C1623)),"Tequila/Mezcal",
 ISNUMBER(SEARCH("RUM",C1623)),"Rum",
 ISNUMBER(SEARCH("BRAND",C1623)),"Brandy",
 ISNUMBER(SEARCH("COGNAC",C1623)),"Brandy",
 ISNUMBER(SEARCH("LIQUEUR",C1623)),"Liqueurs",
 ISNUMBER(SEARCH("CORDIAL",C1623)),"Liqueurs",
 ISNUMBER(SEARCH("SCHNAPP",C1623)),"Liqueurs",
 ISNUMBER(SEARCH("GIN",C1623)),"Gin",
 TRUE,"Other")</f>
        <v>Brandy</v>
      </c>
      <c r="E1623" s="5">
        <v>36871</v>
      </c>
      <c r="F1623" s="5">
        <v>842593.33999999205</v>
      </c>
      <c r="G1623" s="5"/>
      <c r="H1623" s="5">
        <v>3122</v>
      </c>
    </row>
    <row r="1624" spans="1:8">
      <c r="A1624" s="5">
        <v>2023</v>
      </c>
      <c r="B1624" s="6">
        <v>45017</v>
      </c>
      <c r="C1624" s="5" t="s">
        <v>60</v>
      </c>
      <c r="D1624" s="3" t="str" cm="1">
        <f t="array" ref="D1624">_xlfn.IFS(
 ISNUMBER(SEARCH("WHISK",C1624)),"Whiskey",
 ISNUMBER(SEARCH("BOURBON",C1624)),"Whiskey",
 ISNUMBER(SEARCH("SCOTCH",C1624)),"Whiskey",
 ISNUMBER(SEARCH("RYE",C1624)),"Whiskey",
 ISNUMBER(SEARCH("VODKA",C1624)),"Vodka",
 ISNUMBER(SEARCH("TEQUILA",C1624)),"Tequila/Mezcal",
 ISNUMBER(SEARCH("MEZCAL",C1624)),"Tequila/Mezcal",
 ISNUMBER(SEARCH("RUM",C1624)),"Rum",
 ISNUMBER(SEARCH("BRAND",C1624)),"Brandy",
 ISNUMBER(SEARCH("COGNAC",C1624)),"Brandy",
 ISNUMBER(SEARCH("LIQUEUR",C1624)),"Liqueurs",
 ISNUMBER(SEARCH("CORDIAL",C1624)),"Liqueurs",
 ISNUMBER(SEARCH("SCHNAPP",C1624)),"Liqueurs",
 ISNUMBER(SEARCH("GIN",C1624)),"Gin",
 TRUE,"Other")</f>
        <v>Liqueurs</v>
      </c>
      <c r="E1624" s="5">
        <v>39474</v>
      </c>
      <c r="F1624" s="5">
        <v>921196.75000000279</v>
      </c>
      <c r="G1624" s="5"/>
      <c r="H1624" s="5">
        <v>4311</v>
      </c>
    </row>
    <row r="1625" spans="1:8">
      <c r="A1625" s="5">
        <v>2023</v>
      </c>
      <c r="B1625" s="6">
        <v>45017</v>
      </c>
      <c r="C1625" s="5" t="s">
        <v>28</v>
      </c>
      <c r="D1625" s="3" t="str" cm="1">
        <f t="array" ref="D1625">_xlfn.IFS(
 ISNUMBER(SEARCH("WHISK",C1625)),"Whiskey",
 ISNUMBER(SEARCH("BOURBON",C1625)),"Whiskey",
 ISNUMBER(SEARCH("SCOTCH",C1625)),"Whiskey",
 ISNUMBER(SEARCH("RYE",C1625)),"Whiskey",
 ISNUMBER(SEARCH("VODKA",C1625)),"Vodka",
 ISNUMBER(SEARCH("TEQUILA",C1625)),"Tequila/Mezcal",
 ISNUMBER(SEARCH("MEZCAL",C1625)),"Tequila/Mezcal",
 ISNUMBER(SEARCH("RUM",C1625)),"Rum",
 ISNUMBER(SEARCH("BRAND",C1625)),"Brandy",
 ISNUMBER(SEARCH("COGNAC",C1625)),"Brandy",
 ISNUMBER(SEARCH("LIQUEUR",C1625)),"Liqueurs",
 ISNUMBER(SEARCH("CORDIAL",C1625)),"Liqueurs",
 ISNUMBER(SEARCH("SCHNAPP",C1625)),"Liqueurs",
 ISNUMBER(SEARCH("GIN",C1625)),"Gin",
 TRUE,"Other")</f>
        <v>Other</v>
      </c>
      <c r="E1625" s="5">
        <v>28186</v>
      </c>
      <c r="F1625" s="5">
        <v>219833.63999999972</v>
      </c>
      <c r="G1625" s="5"/>
      <c r="H1625" s="5">
        <v>506</v>
      </c>
    </row>
    <row r="1626" spans="1:8">
      <c r="A1626" s="5">
        <v>2023</v>
      </c>
      <c r="B1626" s="6">
        <v>45017</v>
      </c>
      <c r="C1626" s="5" t="s">
        <v>29</v>
      </c>
      <c r="D1626" s="3" t="str" cm="1">
        <f t="array" ref="D1626">_xlfn.IFS(
 ISNUMBER(SEARCH("WHISK",C1626)),"Whiskey",
 ISNUMBER(SEARCH("BOURBON",C1626)),"Whiskey",
 ISNUMBER(SEARCH("SCOTCH",C1626)),"Whiskey",
 ISNUMBER(SEARCH("RYE",C1626)),"Whiskey",
 ISNUMBER(SEARCH("VODKA",C1626)),"Vodka",
 ISNUMBER(SEARCH("TEQUILA",C1626)),"Tequila/Mezcal",
 ISNUMBER(SEARCH("MEZCAL",C1626)),"Tequila/Mezcal",
 ISNUMBER(SEARCH("RUM",C1626)),"Rum",
 ISNUMBER(SEARCH("BRAND",C1626)),"Brandy",
 ISNUMBER(SEARCH("COGNAC",C1626)),"Brandy",
 ISNUMBER(SEARCH("LIQUEUR",C1626)),"Liqueurs",
 ISNUMBER(SEARCH("CORDIAL",C1626)),"Liqueurs",
 ISNUMBER(SEARCH("SCHNAPP",C1626)),"Liqueurs",
 ISNUMBER(SEARCH("GIN",C1626)),"Gin",
 TRUE,"Other")</f>
        <v>Gin</v>
      </c>
      <c r="E1626" s="5">
        <v>18227</v>
      </c>
      <c r="F1626" s="5">
        <v>471549.92999999947</v>
      </c>
      <c r="G1626" s="5"/>
      <c r="H1626" s="5">
        <v>1979</v>
      </c>
    </row>
    <row r="1627" spans="1:8">
      <c r="A1627" s="5">
        <v>2023</v>
      </c>
      <c r="B1627" s="6">
        <v>45017</v>
      </c>
      <c r="C1627" s="5" t="s">
        <v>30</v>
      </c>
      <c r="D1627" s="3" t="str" cm="1">
        <f t="array" ref="D1627">_xlfn.IFS(
 ISNUMBER(SEARCH("WHISK",C1627)),"Whiskey",
 ISNUMBER(SEARCH("BOURBON",C1627)),"Whiskey",
 ISNUMBER(SEARCH("SCOTCH",C1627)),"Whiskey",
 ISNUMBER(SEARCH("RYE",C1627)),"Whiskey",
 ISNUMBER(SEARCH("VODKA",C1627)),"Vodka",
 ISNUMBER(SEARCH("TEQUILA",C1627)),"Tequila/Mezcal",
 ISNUMBER(SEARCH("MEZCAL",C1627)),"Tequila/Mezcal",
 ISNUMBER(SEARCH("RUM",C1627)),"Rum",
 ISNUMBER(SEARCH("BRAND",C1627)),"Brandy",
 ISNUMBER(SEARCH("COGNAC",C1627)),"Brandy",
 ISNUMBER(SEARCH("LIQUEUR",C1627)),"Liqueurs",
 ISNUMBER(SEARCH("CORDIAL",C1627)),"Liqueurs",
 ISNUMBER(SEARCH("SCHNAPP",C1627)),"Liqueurs",
 ISNUMBER(SEARCH("GIN",C1627)),"Gin",
 TRUE,"Other")</f>
        <v>Vodka</v>
      </c>
      <c r="E1627" s="5">
        <v>21007</v>
      </c>
      <c r="F1627" s="5">
        <v>367191.72000000073</v>
      </c>
      <c r="G1627" s="5"/>
      <c r="H1627" s="5">
        <v>2635</v>
      </c>
    </row>
    <row r="1628" spans="1:8">
      <c r="A1628" s="5">
        <v>2023</v>
      </c>
      <c r="B1628" s="6">
        <v>45017</v>
      </c>
      <c r="C1628" s="5" t="s">
        <v>31</v>
      </c>
      <c r="D1628" s="3" t="str" cm="1">
        <f t="array" ref="D1628">_xlfn.IFS(
 ISNUMBER(SEARCH("WHISK",C1628)),"Whiskey",
 ISNUMBER(SEARCH("BOURBON",C1628)),"Whiskey",
 ISNUMBER(SEARCH("SCOTCH",C1628)),"Whiskey",
 ISNUMBER(SEARCH("RYE",C1628)),"Whiskey",
 ISNUMBER(SEARCH("VODKA",C1628)),"Vodka",
 ISNUMBER(SEARCH("TEQUILA",C1628)),"Tequila/Mezcal",
 ISNUMBER(SEARCH("MEZCAL",C1628)),"Tequila/Mezcal",
 ISNUMBER(SEARCH("RUM",C1628)),"Rum",
 ISNUMBER(SEARCH("BRAND",C1628)),"Brandy",
 ISNUMBER(SEARCH("COGNAC",C1628)),"Brandy",
 ISNUMBER(SEARCH("LIQUEUR",C1628)),"Liqueurs",
 ISNUMBER(SEARCH("CORDIAL",C1628)),"Liqueurs",
 ISNUMBER(SEARCH("SCHNAPP",C1628)),"Liqueurs",
 ISNUMBER(SEARCH("GIN",C1628)),"Gin",
 TRUE,"Other")</f>
        <v>Liqueurs</v>
      </c>
      <c r="E1628" s="5">
        <v>25982</v>
      </c>
      <c r="F1628" s="5">
        <v>453283.76999999897</v>
      </c>
      <c r="G1628" s="5"/>
      <c r="H1628" s="5">
        <v>2674</v>
      </c>
    </row>
    <row r="1629" spans="1:8">
      <c r="A1629" s="5">
        <v>2023</v>
      </c>
      <c r="B1629" s="6">
        <v>45017</v>
      </c>
      <c r="C1629" s="5" t="s">
        <v>32</v>
      </c>
      <c r="D1629" s="3" t="str" cm="1">
        <f t="array" ref="D1629">_xlfn.IFS(
 ISNUMBER(SEARCH("WHISK",C1629)),"Whiskey",
 ISNUMBER(SEARCH("BOURBON",C1629)),"Whiskey",
 ISNUMBER(SEARCH("SCOTCH",C1629)),"Whiskey",
 ISNUMBER(SEARCH("RYE",C1629)),"Whiskey",
 ISNUMBER(SEARCH("VODKA",C1629)),"Vodka",
 ISNUMBER(SEARCH("TEQUILA",C1629)),"Tequila/Mezcal",
 ISNUMBER(SEARCH("MEZCAL",C1629)),"Tequila/Mezcal",
 ISNUMBER(SEARCH("RUM",C1629)),"Rum",
 ISNUMBER(SEARCH("BRAND",C1629)),"Brandy",
 ISNUMBER(SEARCH("COGNAC",C1629)),"Brandy",
 ISNUMBER(SEARCH("LIQUEUR",C1629)),"Liqueurs",
 ISNUMBER(SEARCH("CORDIAL",C1629)),"Liqueurs",
 ISNUMBER(SEARCH("SCHNAPP",C1629)),"Liqueurs",
 ISNUMBER(SEARCH("GIN",C1629)),"Gin",
 TRUE,"Other")</f>
        <v>Vodka</v>
      </c>
      <c r="E1629" s="5">
        <v>53814</v>
      </c>
      <c r="F1629" s="5">
        <v>920800.24999998824</v>
      </c>
      <c r="G1629" s="5"/>
      <c r="H1629" s="5">
        <v>4545</v>
      </c>
    </row>
    <row r="1630" spans="1:8">
      <c r="A1630" s="5">
        <v>2023</v>
      </c>
      <c r="B1630" s="6">
        <v>45017</v>
      </c>
      <c r="C1630" s="5" t="s">
        <v>33</v>
      </c>
      <c r="D1630" s="3" t="str" cm="1">
        <f t="array" ref="D1630">_xlfn.IFS(
 ISNUMBER(SEARCH("WHISK",C1630)),"Whiskey",
 ISNUMBER(SEARCH("BOURBON",C1630)),"Whiskey",
 ISNUMBER(SEARCH("SCOTCH",C1630)),"Whiskey",
 ISNUMBER(SEARCH("RYE",C1630)),"Whiskey",
 ISNUMBER(SEARCH("VODKA",C1630)),"Vodka",
 ISNUMBER(SEARCH("TEQUILA",C1630)),"Tequila/Mezcal",
 ISNUMBER(SEARCH("MEZCAL",C1630)),"Tequila/Mezcal",
 ISNUMBER(SEARCH("RUM",C1630)),"Rum",
 ISNUMBER(SEARCH("BRAND",C1630)),"Brandy",
 ISNUMBER(SEARCH("COGNAC",C1630)),"Brandy",
 ISNUMBER(SEARCH("LIQUEUR",C1630)),"Liqueurs",
 ISNUMBER(SEARCH("CORDIAL",C1630)),"Liqueurs",
 ISNUMBER(SEARCH("SCHNAPP",C1630)),"Liqueurs",
 ISNUMBER(SEARCH("GIN",C1630)),"Gin",
 TRUE,"Other")</f>
        <v>Whiskey</v>
      </c>
      <c r="E1630" s="5">
        <v>22957</v>
      </c>
      <c r="F1630" s="5">
        <v>635022.96999999613</v>
      </c>
      <c r="G1630" s="5"/>
      <c r="H1630" s="5">
        <v>2282</v>
      </c>
    </row>
    <row r="1631" spans="1:8">
      <c r="A1631" s="5">
        <v>2023</v>
      </c>
      <c r="B1631" s="6">
        <v>45017</v>
      </c>
      <c r="C1631" s="5" t="s">
        <v>34</v>
      </c>
      <c r="D1631" s="3" t="str" cm="1">
        <f t="array" ref="D1631">_xlfn.IFS(
 ISNUMBER(SEARCH("WHISK",C1631)),"Whiskey",
 ISNUMBER(SEARCH("BOURBON",C1631)),"Whiskey",
 ISNUMBER(SEARCH("SCOTCH",C1631)),"Whiskey",
 ISNUMBER(SEARCH("RYE",C1631)),"Whiskey",
 ISNUMBER(SEARCH("VODKA",C1631)),"Vodka",
 ISNUMBER(SEARCH("TEQUILA",C1631)),"Tequila/Mezcal",
 ISNUMBER(SEARCH("MEZCAL",C1631)),"Tequila/Mezcal",
 ISNUMBER(SEARCH("RUM",C1631)),"Rum",
 ISNUMBER(SEARCH("BRAND",C1631)),"Brandy",
 ISNUMBER(SEARCH("COGNAC",C1631)),"Brandy",
 ISNUMBER(SEARCH("LIQUEUR",C1631)),"Liqueurs",
 ISNUMBER(SEARCH("CORDIAL",C1631)),"Liqueurs",
 ISNUMBER(SEARCH("SCHNAPP",C1631)),"Liqueurs",
 ISNUMBER(SEARCH("GIN",C1631)),"Gin",
 TRUE,"Other")</f>
        <v>Tequila/Mezcal</v>
      </c>
      <c r="E1631" s="5">
        <v>1290</v>
      </c>
      <c r="F1631" s="5">
        <v>44447.250000000007</v>
      </c>
      <c r="G1631" s="5"/>
      <c r="H1631" s="5">
        <v>280</v>
      </c>
    </row>
    <row r="1632" spans="1:8">
      <c r="A1632" s="5">
        <v>2023</v>
      </c>
      <c r="B1632" s="6">
        <v>45017</v>
      </c>
      <c r="C1632" s="5" t="s">
        <v>35</v>
      </c>
      <c r="D1632" s="3" t="str" cm="1">
        <f t="array" ref="D1632">_xlfn.IFS(
 ISNUMBER(SEARCH("WHISK",C1632)),"Whiskey",
 ISNUMBER(SEARCH("BOURBON",C1632)),"Whiskey",
 ISNUMBER(SEARCH("SCOTCH",C1632)),"Whiskey",
 ISNUMBER(SEARCH("RYE",C1632)),"Whiskey",
 ISNUMBER(SEARCH("VODKA",C1632)),"Vodka",
 ISNUMBER(SEARCH("TEQUILA",C1632)),"Tequila/Mezcal",
 ISNUMBER(SEARCH("MEZCAL",C1632)),"Tequila/Mezcal",
 ISNUMBER(SEARCH("RUM",C1632)),"Rum",
 ISNUMBER(SEARCH("BRAND",C1632)),"Brandy",
 ISNUMBER(SEARCH("COGNAC",C1632)),"Brandy",
 ISNUMBER(SEARCH("LIQUEUR",C1632)),"Liqueurs",
 ISNUMBER(SEARCH("CORDIAL",C1632)),"Liqueurs",
 ISNUMBER(SEARCH("SCHNAPP",C1632)),"Liqueurs",
 ISNUMBER(SEARCH("GIN",C1632)),"Gin",
 TRUE,"Other")</f>
        <v>Tequila/Mezcal</v>
      </c>
      <c r="E1632" s="5">
        <v>67855</v>
      </c>
      <c r="F1632" s="5">
        <v>1013679.9599999931</v>
      </c>
      <c r="G1632" s="5"/>
      <c r="H1632" s="5">
        <v>4618</v>
      </c>
    </row>
    <row r="1633" spans="1:8">
      <c r="A1633" s="5">
        <v>2023</v>
      </c>
      <c r="B1633" s="6">
        <v>45017</v>
      </c>
      <c r="C1633" s="5" t="s">
        <v>36</v>
      </c>
      <c r="D1633" s="3" t="str" cm="1">
        <f t="array" ref="D1633">_xlfn.IFS(
 ISNUMBER(SEARCH("WHISK",C1633)),"Whiskey",
 ISNUMBER(SEARCH("BOURBON",C1633)),"Whiskey",
 ISNUMBER(SEARCH("SCOTCH",C1633)),"Whiskey",
 ISNUMBER(SEARCH("RYE",C1633)),"Whiskey",
 ISNUMBER(SEARCH("VODKA",C1633)),"Vodka",
 ISNUMBER(SEARCH("TEQUILA",C1633)),"Tequila/Mezcal",
 ISNUMBER(SEARCH("MEZCAL",C1633)),"Tequila/Mezcal",
 ISNUMBER(SEARCH("RUM",C1633)),"Rum",
 ISNUMBER(SEARCH("BRAND",C1633)),"Brandy",
 ISNUMBER(SEARCH("COGNAC",C1633)),"Brandy",
 ISNUMBER(SEARCH("LIQUEUR",C1633)),"Liqueurs",
 ISNUMBER(SEARCH("CORDIAL",C1633)),"Liqueurs",
 ISNUMBER(SEARCH("SCHNAPP",C1633)),"Liqueurs",
 ISNUMBER(SEARCH("GIN",C1633)),"Gin",
 TRUE,"Other")</f>
        <v>Other</v>
      </c>
      <c r="E1633" s="5">
        <v>2270</v>
      </c>
      <c r="F1633" s="5">
        <v>32999.899999999994</v>
      </c>
      <c r="G1633" s="5"/>
      <c r="H1633" s="5">
        <v>312</v>
      </c>
    </row>
    <row r="1634" spans="1:8">
      <c r="A1634" s="5">
        <v>2023</v>
      </c>
      <c r="B1634" s="6">
        <v>45017</v>
      </c>
      <c r="C1634" s="5" t="s">
        <v>37</v>
      </c>
      <c r="D1634" s="3" t="str" cm="1">
        <f t="array" ref="D1634">_xlfn.IFS(
 ISNUMBER(SEARCH("WHISK",C1634)),"Whiskey",
 ISNUMBER(SEARCH("BOURBON",C1634)),"Whiskey",
 ISNUMBER(SEARCH("SCOTCH",C1634)),"Whiskey",
 ISNUMBER(SEARCH("RYE",C1634)),"Whiskey",
 ISNUMBER(SEARCH("VODKA",C1634)),"Vodka",
 ISNUMBER(SEARCH("TEQUILA",C1634)),"Tequila/Mezcal",
 ISNUMBER(SEARCH("MEZCAL",C1634)),"Tequila/Mezcal",
 ISNUMBER(SEARCH("RUM",C1634)),"Rum",
 ISNUMBER(SEARCH("BRAND",C1634)),"Brandy",
 ISNUMBER(SEARCH("COGNAC",C1634)),"Brandy",
 ISNUMBER(SEARCH("LIQUEUR",C1634)),"Liqueurs",
 ISNUMBER(SEARCH("CORDIAL",C1634)),"Liqueurs",
 ISNUMBER(SEARCH("SCHNAPP",C1634)),"Liqueurs",
 ISNUMBER(SEARCH("GIN",C1634)),"Gin",
 TRUE,"Other")</f>
        <v>Other</v>
      </c>
      <c r="E1634" s="5">
        <v>18493</v>
      </c>
      <c r="F1634" s="5">
        <v>309957.81000000233</v>
      </c>
      <c r="G1634" s="5"/>
      <c r="H1634" s="5">
        <v>3444</v>
      </c>
    </row>
    <row r="1635" spans="1:8">
      <c r="A1635" s="5">
        <v>2023</v>
      </c>
      <c r="B1635" s="6">
        <v>45017</v>
      </c>
      <c r="C1635" s="5" t="s">
        <v>38</v>
      </c>
      <c r="D1635" s="3" t="str" cm="1">
        <f t="array" ref="D1635">_xlfn.IFS(
 ISNUMBER(SEARCH("WHISK",C1635)),"Whiskey",
 ISNUMBER(SEARCH("BOURBON",C1635)),"Whiskey",
 ISNUMBER(SEARCH("SCOTCH",C1635)),"Whiskey",
 ISNUMBER(SEARCH("RYE",C1635)),"Whiskey",
 ISNUMBER(SEARCH("VODKA",C1635)),"Vodka",
 ISNUMBER(SEARCH("TEQUILA",C1635)),"Tequila/Mezcal",
 ISNUMBER(SEARCH("MEZCAL",C1635)),"Tequila/Mezcal",
 ISNUMBER(SEARCH("RUM",C1635)),"Rum",
 ISNUMBER(SEARCH("BRAND",C1635)),"Brandy",
 ISNUMBER(SEARCH("COGNAC",C1635)),"Brandy",
 ISNUMBER(SEARCH("LIQUEUR",C1635)),"Liqueurs",
 ISNUMBER(SEARCH("CORDIAL",C1635)),"Liqueurs",
 ISNUMBER(SEARCH("SCHNAPP",C1635)),"Liqueurs",
 ISNUMBER(SEARCH("GIN",C1635)),"Gin",
 TRUE,"Other")</f>
        <v>Whiskey</v>
      </c>
      <c r="E1635" s="5">
        <v>17846</v>
      </c>
      <c r="F1635" s="5">
        <v>521294.42999999993</v>
      </c>
      <c r="G1635" s="5"/>
      <c r="H1635" s="5">
        <v>2640</v>
      </c>
    </row>
    <row r="1636" spans="1:8">
      <c r="A1636" s="5">
        <v>2023</v>
      </c>
      <c r="B1636" s="6">
        <v>45017</v>
      </c>
      <c r="C1636" s="5" t="s">
        <v>39</v>
      </c>
      <c r="D1636" s="3" t="str" cm="1">
        <f t="array" ref="D1636">_xlfn.IFS(
 ISNUMBER(SEARCH("WHISK",C1636)),"Whiskey",
 ISNUMBER(SEARCH("BOURBON",C1636)),"Whiskey",
 ISNUMBER(SEARCH("SCOTCH",C1636)),"Whiskey",
 ISNUMBER(SEARCH("RYE",C1636)),"Whiskey",
 ISNUMBER(SEARCH("VODKA",C1636)),"Vodka",
 ISNUMBER(SEARCH("TEQUILA",C1636)),"Tequila/Mezcal",
 ISNUMBER(SEARCH("MEZCAL",C1636)),"Tequila/Mezcal",
 ISNUMBER(SEARCH("RUM",C1636)),"Rum",
 ISNUMBER(SEARCH("BRAND",C1636)),"Brandy",
 ISNUMBER(SEARCH("COGNAC",C1636)),"Brandy",
 ISNUMBER(SEARCH("LIQUEUR",C1636)),"Liqueurs",
 ISNUMBER(SEARCH("CORDIAL",C1636)),"Liqueurs",
 ISNUMBER(SEARCH("SCHNAPP",C1636)),"Liqueurs",
 ISNUMBER(SEARCH("GIN",C1636)),"Gin",
 TRUE,"Other")</f>
        <v>Whiskey</v>
      </c>
      <c r="E1636" s="5">
        <v>2302</v>
      </c>
      <c r="F1636" s="5">
        <v>89136.75999999998</v>
      </c>
      <c r="G1636" s="5"/>
      <c r="H1636" s="5">
        <v>373</v>
      </c>
    </row>
    <row r="1637" spans="1:8">
      <c r="A1637" s="5">
        <v>2023</v>
      </c>
      <c r="B1637" s="6">
        <v>45017</v>
      </c>
      <c r="C1637" s="5" t="s">
        <v>40</v>
      </c>
      <c r="D1637" s="3" t="str" cm="1">
        <f t="array" ref="D1637">_xlfn.IFS(
 ISNUMBER(SEARCH("WHISK",C1637)),"Whiskey",
 ISNUMBER(SEARCH("BOURBON",C1637)),"Whiskey",
 ISNUMBER(SEARCH("SCOTCH",C1637)),"Whiskey",
 ISNUMBER(SEARCH("RYE",C1637)),"Whiskey",
 ISNUMBER(SEARCH("VODKA",C1637)),"Vodka",
 ISNUMBER(SEARCH("TEQUILA",C1637)),"Tequila/Mezcal",
 ISNUMBER(SEARCH("MEZCAL",C1637)),"Tequila/Mezcal",
 ISNUMBER(SEARCH("RUM",C1637)),"Rum",
 ISNUMBER(SEARCH("BRAND",C1637)),"Brandy",
 ISNUMBER(SEARCH("COGNAC",C1637)),"Brandy",
 ISNUMBER(SEARCH("LIQUEUR",C1637)),"Liqueurs",
 ISNUMBER(SEARCH("CORDIAL",C1637)),"Liqueurs",
 ISNUMBER(SEARCH("SCHNAPP",C1637)),"Liqueurs",
 ISNUMBER(SEARCH("GIN",C1637)),"Gin",
 TRUE,"Other")</f>
        <v>Whiskey</v>
      </c>
      <c r="E1637" s="5">
        <v>5349</v>
      </c>
      <c r="F1637" s="5">
        <v>296842.03000000055</v>
      </c>
      <c r="G1637" s="5"/>
      <c r="H1637" s="5">
        <v>1210</v>
      </c>
    </row>
    <row r="1638" spans="1:8">
      <c r="A1638" s="5">
        <v>2023</v>
      </c>
      <c r="B1638" s="6">
        <v>45017</v>
      </c>
      <c r="C1638" s="5" t="s">
        <v>42</v>
      </c>
      <c r="D1638" s="3" t="str" cm="1">
        <f t="array" ref="D1638">_xlfn.IFS(
 ISNUMBER(SEARCH("WHISK",C1638)),"Whiskey",
 ISNUMBER(SEARCH("BOURBON",C1638)),"Whiskey",
 ISNUMBER(SEARCH("SCOTCH",C1638)),"Whiskey",
 ISNUMBER(SEARCH("RYE",C1638)),"Whiskey",
 ISNUMBER(SEARCH("VODKA",C1638)),"Vodka",
 ISNUMBER(SEARCH("TEQUILA",C1638)),"Tequila/Mezcal",
 ISNUMBER(SEARCH("MEZCAL",C1638)),"Tequila/Mezcal",
 ISNUMBER(SEARCH("RUM",C1638)),"Rum",
 ISNUMBER(SEARCH("BRAND",C1638)),"Brandy",
 ISNUMBER(SEARCH("COGNAC",C1638)),"Brandy",
 ISNUMBER(SEARCH("LIQUEUR",C1638)),"Liqueurs",
 ISNUMBER(SEARCH("CORDIAL",C1638)),"Liqueurs",
 ISNUMBER(SEARCH("SCHNAPP",C1638)),"Liqueurs",
 ISNUMBER(SEARCH("GIN",C1638)),"Gin",
 TRUE,"Other")</f>
        <v>Rum</v>
      </c>
      <c r="E1638" s="5">
        <v>95954</v>
      </c>
      <c r="F1638" s="5">
        <v>1342465.5099999956</v>
      </c>
      <c r="G1638" s="5"/>
      <c r="H1638" s="5">
        <v>7700</v>
      </c>
    </row>
    <row r="1639" spans="1:8">
      <c r="A1639" s="5">
        <v>2023</v>
      </c>
      <c r="B1639" s="6">
        <v>45017</v>
      </c>
      <c r="C1639" s="5" t="s">
        <v>43</v>
      </c>
      <c r="D1639" s="3" t="str" cm="1">
        <f t="array" ref="D1639">_xlfn.IFS(
 ISNUMBER(SEARCH("WHISK",C1639)),"Whiskey",
 ISNUMBER(SEARCH("BOURBON",C1639)),"Whiskey",
 ISNUMBER(SEARCH("SCOTCH",C1639)),"Whiskey",
 ISNUMBER(SEARCH("RYE",C1639)),"Whiskey",
 ISNUMBER(SEARCH("VODKA",C1639)),"Vodka",
 ISNUMBER(SEARCH("TEQUILA",C1639)),"Tequila/Mezcal",
 ISNUMBER(SEARCH("MEZCAL",C1639)),"Tequila/Mezcal",
 ISNUMBER(SEARCH("RUM",C1639)),"Rum",
 ISNUMBER(SEARCH("BRAND",C1639)),"Brandy",
 ISNUMBER(SEARCH("COGNAC",C1639)),"Brandy",
 ISNUMBER(SEARCH("LIQUEUR",C1639)),"Liqueurs",
 ISNUMBER(SEARCH("CORDIAL",C1639)),"Liqueurs",
 ISNUMBER(SEARCH("SCHNAPP",C1639)),"Liqueurs",
 ISNUMBER(SEARCH("GIN",C1639)),"Gin",
 TRUE,"Other")</f>
        <v>Whiskey</v>
      </c>
      <c r="E1639" s="5">
        <v>125463</v>
      </c>
      <c r="F1639" s="5">
        <v>2785813.9399999776</v>
      </c>
      <c r="G1639" s="5"/>
      <c r="H1639" s="5">
        <v>14612</v>
      </c>
    </row>
    <row r="1640" spans="1:8">
      <c r="A1640" s="5">
        <v>2023</v>
      </c>
      <c r="B1640" s="6">
        <v>45017</v>
      </c>
      <c r="C1640" s="5" t="s">
        <v>44</v>
      </c>
      <c r="D1640" s="3" t="str" cm="1">
        <f t="array" ref="D1640">_xlfn.IFS(
 ISNUMBER(SEARCH("WHISK",C1640)),"Whiskey",
 ISNUMBER(SEARCH("BOURBON",C1640)),"Whiskey",
 ISNUMBER(SEARCH("SCOTCH",C1640)),"Whiskey",
 ISNUMBER(SEARCH("RYE",C1640)),"Whiskey",
 ISNUMBER(SEARCH("VODKA",C1640)),"Vodka",
 ISNUMBER(SEARCH("TEQUILA",C1640)),"Tequila/Mezcal",
 ISNUMBER(SEARCH("MEZCAL",C1640)),"Tequila/Mezcal",
 ISNUMBER(SEARCH("RUM",C1640)),"Rum",
 ISNUMBER(SEARCH("BRAND",C1640)),"Brandy",
 ISNUMBER(SEARCH("COGNAC",C1640)),"Brandy",
 ISNUMBER(SEARCH("LIQUEUR",C1640)),"Liqueurs",
 ISNUMBER(SEARCH("CORDIAL",C1640)),"Liqueurs",
 ISNUMBER(SEARCH("SCHNAPP",C1640)),"Liqueurs",
 ISNUMBER(SEARCH("GIN",C1640)),"Gin",
 TRUE,"Other")</f>
        <v>Whiskey</v>
      </c>
      <c r="E1640" s="5">
        <v>10376</v>
      </c>
      <c r="F1640" s="5">
        <v>341547.30000000197</v>
      </c>
      <c r="G1640" s="5"/>
      <c r="H1640" s="5">
        <v>1378</v>
      </c>
    </row>
    <row r="1641" spans="1:8">
      <c r="A1641" s="5">
        <v>2023</v>
      </c>
      <c r="B1641" s="6">
        <v>45017</v>
      </c>
      <c r="C1641" s="5" t="s">
        <v>45</v>
      </c>
      <c r="D1641" s="3" t="str" cm="1">
        <f t="array" ref="D1641">_xlfn.IFS(
 ISNUMBER(SEARCH("WHISK",C1641)),"Whiskey",
 ISNUMBER(SEARCH("BOURBON",C1641)),"Whiskey",
 ISNUMBER(SEARCH("SCOTCH",C1641)),"Whiskey",
 ISNUMBER(SEARCH("RYE",C1641)),"Whiskey",
 ISNUMBER(SEARCH("VODKA",C1641)),"Vodka",
 ISNUMBER(SEARCH("TEQUILA",C1641)),"Tequila/Mezcal",
 ISNUMBER(SEARCH("MEZCAL",C1641)),"Tequila/Mezcal",
 ISNUMBER(SEARCH("RUM",C1641)),"Rum",
 ISNUMBER(SEARCH("BRAND",C1641)),"Brandy",
 ISNUMBER(SEARCH("COGNAC",C1641)),"Brandy",
 ISNUMBER(SEARCH("LIQUEUR",C1641)),"Liqueurs",
 ISNUMBER(SEARCH("CORDIAL",C1641)),"Liqueurs",
 ISNUMBER(SEARCH("SCHNAPP",C1641)),"Liqueurs",
 ISNUMBER(SEARCH("GIN",C1641)),"Gin",
 TRUE,"Other")</f>
        <v>Other</v>
      </c>
      <c r="E1641" s="5">
        <v>8296</v>
      </c>
      <c r="F1641" s="5">
        <v>313012.12000000133</v>
      </c>
      <c r="G1641" s="5"/>
      <c r="H1641" s="5">
        <v>2556</v>
      </c>
    </row>
    <row r="1642" spans="1:8">
      <c r="A1642" s="5">
        <v>2023</v>
      </c>
      <c r="B1642" s="6">
        <v>45017</v>
      </c>
      <c r="C1642" s="5" t="s">
        <v>46</v>
      </c>
      <c r="D1642" s="3" t="str" cm="1">
        <f t="array" ref="D1642">_xlfn.IFS(
 ISNUMBER(SEARCH("WHISK",C1642)),"Whiskey",
 ISNUMBER(SEARCH("BOURBON",C1642)),"Whiskey",
 ISNUMBER(SEARCH("SCOTCH",C1642)),"Whiskey",
 ISNUMBER(SEARCH("RYE",C1642)),"Whiskey",
 ISNUMBER(SEARCH("VODKA",C1642)),"Vodka",
 ISNUMBER(SEARCH("TEQUILA",C1642)),"Tequila/Mezcal",
 ISNUMBER(SEARCH("MEZCAL",C1642)),"Tequila/Mezcal",
 ISNUMBER(SEARCH("RUM",C1642)),"Rum",
 ISNUMBER(SEARCH("BRAND",C1642)),"Brandy",
 ISNUMBER(SEARCH("COGNAC",C1642)),"Brandy",
 ISNUMBER(SEARCH("LIQUEUR",C1642)),"Liqueurs",
 ISNUMBER(SEARCH("CORDIAL",C1642)),"Liqueurs",
 ISNUMBER(SEARCH("SCHNAPP",C1642)),"Liqueurs",
 ISNUMBER(SEARCH("GIN",C1642)),"Gin",
 TRUE,"Other")</f>
        <v>Whiskey</v>
      </c>
      <c r="E1642" s="5">
        <v>58618</v>
      </c>
      <c r="F1642" s="5">
        <v>1330656.7799999726</v>
      </c>
      <c r="G1642" s="5"/>
      <c r="H1642" s="5">
        <v>6081</v>
      </c>
    </row>
    <row r="1643" spans="1:8">
      <c r="A1643" s="5">
        <v>2023</v>
      </c>
      <c r="B1643" s="6">
        <v>45017</v>
      </c>
      <c r="C1643" s="5" t="s">
        <v>47</v>
      </c>
      <c r="D1643" s="3" t="str" cm="1">
        <f t="array" ref="D1643">_xlfn.IFS(
 ISNUMBER(SEARCH("WHISK",C1643)),"Whiskey",
 ISNUMBER(SEARCH("BOURBON",C1643)),"Whiskey",
 ISNUMBER(SEARCH("SCOTCH",C1643)),"Whiskey",
 ISNUMBER(SEARCH("RYE",C1643)),"Whiskey",
 ISNUMBER(SEARCH("VODKA",C1643)),"Vodka",
 ISNUMBER(SEARCH("TEQUILA",C1643)),"Tequila/Mezcal",
 ISNUMBER(SEARCH("MEZCAL",C1643)),"Tequila/Mezcal",
 ISNUMBER(SEARCH("RUM",C1643)),"Rum",
 ISNUMBER(SEARCH("BRAND",C1643)),"Brandy",
 ISNUMBER(SEARCH("COGNAC",C1643)),"Brandy",
 ISNUMBER(SEARCH("LIQUEUR",C1643)),"Liqueurs",
 ISNUMBER(SEARCH("CORDIAL",C1643)),"Liqueurs",
 ISNUMBER(SEARCH("SCHNAPP",C1643)),"Liqueurs",
 ISNUMBER(SEARCH("GIN",C1643)),"Gin",
 TRUE,"Other")</f>
        <v>Other</v>
      </c>
      <c r="E1643" s="5">
        <v>17122</v>
      </c>
      <c r="F1643" s="5">
        <v>71108.719999999928</v>
      </c>
      <c r="G1643" s="5"/>
      <c r="H1643" s="5">
        <v>642</v>
      </c>
    </row>
    <row r="1644" spans="1:8">
      <c r="A1644" s="5">
        <v>2023</v>
      </c>
      <c r="B1644" s="6">
        <v>45017</v>
      </c>
      <c r="C1644" s="5" t="s">
        <v>48</v>
      </c>
      <c r="D1644" s="3" t="str" cm="1">
        <f t="array" ref="D1644">_xlfn.IFS(
 ISNUMBER(SEARCH("WHISK",C1644)),"Whiskey",
 ISNUMBER(SEARCH("BOURBON",C1644)),"Whiskey",
 ISNUMBER(SEARCH("SCOTCH",C1644)),"Whiskey",
 ISNUMBER(SEARCH("RYE",C1644)),"Whiskey",
 ISNUMBER(SEARCH("VODKA",C1644)),"Vodka",
 ISNUMBER(SEARCH("TEQUILA",C1644)),"Tequila/Mezcal",
 ISNUMBER(SEARCH("MEZCAL",C1644)),"Tequila/Mezcal",
 ISNUMBER(SEARCH("RUM",C1644)),"Rum",
 ISNUMBER(SEARCH("BRAND",C1644)),"Brandy",
 ISNUMBER(SEARCH("COGNAC",C1644)),"Brandy",
 ISNUMBER(SEARCH("LIQUEUR",C1644)),"Liqueurs",
 ISNUMBER(SEARCH("CORDIAL",C1644)),"Liqueurs",
 ISNUMBER(SEARCH("SCHNAPP",C1644)),"Liqueurs",
 ISNUMBER(SEARCH("GIN",C1644)),"Gin",
 TRUE,"Other")</f>
        <v>Whiskey</v>
      </c>
      <c r="E1644" s="5">
        <v>341008</v>
      </c>
      <c r="F1644" s="5">
        <v>2039340.0299999511</v>
      </c>
      <c r="G1644" s="5"/>
      <c r="H1644" s="5">
        <v>12961</v>
      </c>
    </row>
    <row r="1645" spans="1:8">
      <c r="A1645" s="5">
        <v>2023</v>
      </c>
      <c r="B1645" s="6">
        <v>45017</v>
      </c>
      <c r="C1645" s="5" t="s">
        <v>49</v>
      </c>
      <c r="D1645" s="3" t="str" cm="1">
        <f t="array" ref="D1645">_xlfn.IFS(
 ISNUMBER(SEARCH("WHISK",C1645)),"Whiskey",
 ISNUMBER(SEARCH("BOURBON",C1645)),"Whiskey",
 ISNUMBER(SEARCH("SCOTCH",C1645)),"Whiskey",
 ISNUMBER(SEARCH("RYE",C1645)),"Whiskey",
 ISNUMBER(SEARCH("VODKA",C1645)),"Vodka",
 ISNUMBER(SEARCH("TEQUILA",C1645)),"Tequila/Mezcal",
 ISNUMBER(SEARCH("MEZCAL",C1645)),"Tequila/Mezcal",
 ISNUMBER(SEARCH("RUM",C1645)),"Rum",
 ISNUMBER(SEARCH("BRAND",C1645)),"Brandy",
 ISNUMBER(SEARCH("COGNAC",C1645)),"Brandy",
 ISNUMBER(SEARCH("LIQUEUR",C1645)),"Liqueurs",
 ISNUMBER(SEARCH("CORDIAL",C1645)),"Liqueurs",
 ISNUMBER(SEARCH("SCHNAPP",C1645)),"Liqueurs",
 ISNUMBER(SEARCH("GIN",C1645)),"Gin",
 TRUE,"Other")</f>
        <v>Rum</v>
      </c>
      <c r="E1645" s="5">
        <v>38498</v>
      </c>
      <c r="F1645" s="5">
        <v>440245.3699999972</v>
      </c>
      <c r="G1645" s="5"/>
      <c r="H1645" s="5">
        <v>3496</v>
      </c>
    </row>
    <row r="1646" spans="1:8">
      <c r="A1646" s="5">
        <v>2023</v>
      </c>
      <c r="B1646" s="6">
        <v>45017</v>
      </c>
      <c r="C1646" s="5" t="s">
        <v>50</v>
      </c>
      <c r="D1646" s="3" t="str" cm="1">
        <f t="array" ref="D1646">_xlfn.IFS(
 ISNUMBER(SEARCH("WHISK",C1646)),"Whiskey",
 ISNUMBER(SEARCH("BOURBON",C1646)),"Whiskey",
 ISNUMBER(SEARCH("SCOTCH",C1646)),"Whiskey",
 ISNUMBER(SEARCH("RYE",C1646)),"Whiskey",
 ISNUMBER(SEARCH("VODKA",C1646)),"Vodka",
 ISNUMBER(SEARCH("TEQUILA",C1646)),"Tequila/Mezcal",
 ISNUMBER(SEARCH("MEZCAL",C1646)),"Tequila/Mezcal",
 ISNUMBER(SEARCH("RUM",C1646)),"Rum",
 ISNUMBER(SEARCH("BRAND",C1646)),"Brandy",
 ISNUMBER(SEARCH("COGNAC",C1646)),"Brandy",
 ISNUMBER(SEARCH("LIQUEUR",C1646)),"Liqueurs",
 ISNUMBER(SEARCH("CORDIAL",C1646)),"Liqueurs",
 ISNUMBER(SEARCH("SCHNAPP",C1646)),"Liqueurs",
 ISNUMBER(SEARCH("GIN",C1646)),"Gin",
 TRUE,"Other")</f>
        <v>Tequila/Mezcal</v>
      </c>
      <c r="E1646" s="5">
        <v>90883</v>
      </c>
      <c r="F1646" s="5">
        <v>2604835.7699999786</v>
      </c>
      <c r="G1646" s="5"/>
      <c r="H1646" s="5">
        <v>9524</v>
      </c>
    </row>
    <row r="1647" spans="1:8">
      <c r="A1647" s="5">
        <v>2023</v>
      </c>
      <c r="B1647" s="6">
        <v>45017</v>
      </c>
      <c r="C1647" s="5" t="s">
        <v>7</v>
      </c>
      <c r="D1647" s="3" t="str" cm="1">
        <f t="array" ref="D1647">_xlfn.IFS(
 ISNUMBER(SEARCH("WHISK",C1647)),"Whiskey",
 ISNUMBER(SEARCH("BOURBON",C1647)),"Whiskey",
 ISNUMBER(SEARCH("SCOTCH",C1647)),"Whiskey",
 ISNUMBER(SEARCH("RYE",C1647)),"Whiskey",
 ISNUMBER(SEARCH("VODKA",C1647)),"Vodka",
 ISNUMBER(SEARCH("TEQUILA",C1647)),"Tequila/Mezcal",
 ISNUMBER(SEARCH("MEZCAL",C1647)),"Tequila/Mezcal",
 ISNUMBER(SEARCH("RUM",C1647)),"Rum",
 ISNUMBER(SEARCH("BRAND",C1647)),"Brandy",
 ISNUMBER(SEARCH("COGNAC",C1647)),"Brandy",
 ISNUMBER(SEARCH("LIQUEUR",C1647)),"Liqueurs",
 ISNUMBER(SEARCH("CORDIAL",C1647)),"Liqueurs",
 ISNUMBER(SEARCH("SCHNAPP",C1647)),"Liqueurs",
 ISNUMBER(SEARCH("GIN",C1647)),"Gin",
 TRUE,"Other")</f>
        <v>Rum</v>
      </c>
      <c r="E1647" s="5">
        <v>3354</v>
      </c>
      <c r="F1647" s="5">
        <v>70998.300000000076</v>
      </c>
      <c r="G1647" s="5"/>
      <c r="H1647" s="5">
        <v>541</v>
      </c>
    </row>
    <row r="1648" spans="1:8">
      <c r="A1648" s="5">
        <v>2023</v>
      </c>
      <c r="B1648" s="6">
        <v>45017</v>
      </c>
      <c r="C1648" s="5" t="s">
        <v>8</v>
      </c>
      <c r="D1648" s="3" t="str" cm="1">
        <f t="array" ref="D1648">_xlfn.IFS(
 ISNUMBER(SEARCH("WHISK",C1648)),"Whiskey",
 ISNUMBER(SEARCH("BOURBON",C1648)),"Whiskey",
 ISNUMBER(SEARCH("SCOTCH",C1648)),"Whiskey",
 ISNUMBER(SEARCH("RYE",C1648)),"Whiskey",
 ISNUMBER(SEARCH("VODKA",C1648)),"Vodka",
 ISNUMBER(SEARCH("TEQUILA",C1648)),"Tequila/Mezcal",
 ISNUMBER(SEARCH("MEZCAL",C1648)),"Tequila/Mezcal",
 ISNUMBER(SEARCH("RUM",C1648)),"Rum",
 ISNUMBER(SEARCH("BRAND",C1648)),"Brandy",
 ISNUMBER(SEARCH("COGNAC",C1648)),"Brandy",
 ISNUMBER(SEARCH("LIQUEUR",C1648)),"Liqueurs",
 ISNUMBER(SEARCH("CORDIAL",C1648)),"Liqueurs",
 ISNUMBER(SEARCH("SCHNAPP",C1648)),"Liqueurs",
 ISNUMBER(SEARCH("GIN",C1648)),"Gin",
 TRUE,"Other")</f>
        <v>Brandy</v>
      </c>
      <c r="E1648" s="5">
        <v>57077</v>
      </c>
      <c r="F1648" s="5">
        <v>363751.69000000152</v>
      </c>
      <c r="G1648" s="5"/>
      <c r="H1648" s="5">
        <v>4434</v>
      </c>
    </row>
    <row r="1649" spans="1:8">
      <c r="A1649" s="5">
        <v>2023</v>
      </c>
      <c r="B1649" s="6">
        <v>45017</v>
      </c>
      <c r="C1649" s="5" t="s">
        <v>59</v>
      </c>
      <c r="D1649" s="3" t="str" cm="1">
        <f t="array" ref="D1649">_xlfn.IFS(
 ISNUMBER(SEARCH("WHISK",C1649)),"Whiskey",
 ISNUMBER(SEARCH("BOURBON",C1649)),"Whiskey",
 ISNUMBER(SEARCH("SCOTCH",C1649)),"Whiskey",
 ISNUMBER(SEARCH("RYE",C1649)),"Whiskey",
 ISNUMBER(SEARCH("VODKA",C1649)),"Vodka",
 ISNUMBER(SEARCH("TEQUILA",C1649)),"Tequila/Mezcal",
 ISNUMBER(SEARCH("MEZCAL",C1649)),"Tequila/Mezcal",
 ISNUMBER(SEARCH("RUM",C1649)),"Rum",
 ISNUMBER(SEARCH("BRAND",C1649)),"Brandy",
 ISNUMBER(SEARCH("COGNAC",C1649)),"Brandy",
 ISNUMBER(SEARCH("LIQUEUR",C1649)),"Liqueurs",
 ISNUMBER(SEARCH("CORDIAL",C1649)),"Liqueurs",
 ISNUMBER(SEARCH("SCHNAPP",C1649)),"Liqueurs",
 ISNUMBER(SEARCH("GIN",C1649)),"Gin",
 TRUE,"Other")</f>
        <v>Liqueurs</v>
      </c>
      <c r="E1649" s="5">
        <v>32574</v>
      </c>
      <c r="F1649" s="5">
        <v>304616.39000000036</v>
      </c>
      <c r="G1649" s="5"/>
      <c r="H1649" s="5">
        <v>4870</v>
      </c>
    </row>
    <row r="1650" spans="1:8">
      <c r="A1650" s="5">
        <v>2023</v>
      </c>
      <c r="B1650" s="6">
        <v>45017</v>
      </c>
      <c r="C1650" s="5" t="s">
        <v>10</v>
      </c>
      <c r="D1650" s="3" t="str" cm="1">
        <f t="array" ref="D1650">_xlfn.IFS(
 ISNUMBER(SEARCH("WHISK",C1650)),"Whiskey",
 ISNUMBER(SEARCH("BOURBON",C1650)),"Whiskey",
 ISNUMBER(SEARCH("SCOTCH",C1650)),"Whiskey",
 ISNUMBER(SEARCH("RYE",C1650)),"Whiskey",
 ISNUMBER(SEARCH("VODKA",C1650)),"Vodka",
 ISNUMBER(SEARCH("TEQUILA",C1650)),"Tequila/Mezcal",
 ISNUMBER(SEARCH("MEZCAL",C1650)),"Tequila/Mezcal",
 ISNUMBER(SEARCH("RUM",C1650)),"Rum",
 ISNUMBER(SEARCH("BRAND",C1650)),"Brandy",
 ISNUMBER(SEARCH("COGNAC",C1650)),"Brandy",
 ISNUMBER(SEARCH("LIQUEUR",C1650)),"Liqueurs",
 ISNUMBER(SEARCH("CORDIAL",C1650)),"Liqueurs",
 ISNUMBER(SEARCH("SCHNAPP",C1650)),"Liqueurs",
 ISNUMBER(SEARCH("GIN",C1650)),"Gin",
 TRUE,"Other")</f>
        <v>Other</v>
      </c>
      <c r="E1650" s="5">
        <v>7489</v>
      </c>
      <c r="F1650" s="5">
        <v>162560.84999999971</v>
      </c>
      <c r="G1650" s="5"/>
      <c r="H1650" s="5">
        <v>754</v>
      </c>
    </row>
    <row r="1651" spans="1:8">
      <c r="A1651" s="5">
        <v>2023</v>
      </c>
      <c r="B1651" s="6">
        <v>45017</v>
      </c>
      <c r="C1651" s="5" t="s">
        <v>11</v>
      </c>
      <c r="D1651" s="3" t="str" cm="1">
        <f t="array" ref="D1651">_xlfn.IFS(
 ISNUMBER(SEARCH("WHISK",C1651)),"Whiskey",
 ISNUMBER(SEARCH("BOURBON",C1651)),"Whiskey",
 ISNUMBER(SEARCH("SCOTCH",C1651)),"Whiskey",
 ISNUMBER(SEARCH("RYE",C1651)),"Whiskey",
 ISNUMBER(SEARCH("VODKA",C1651)),"Vodka",
 ISNUMBER(SEARCH("TEQUILA",C1651)),"Tequila/Mezcal",
 ISNUMBER(SEARCH("MEZCAL",C1651)),"Tequila/Mezcal",
 ISNUMBER(SEARCH("RUM",C1651)),"Rum",
 ISNUMBER(SEARCH("BRAND",C1651)),"Brandy",
 ISNUMBER(SEARCH("COGNAC",C1651)),"Brandy",
 ISNUMBER(SEARCH("LIQUEUR",C1651)),"Liqueurs",
 ISNUMBER(SEARCH("CORDIAL",C1651)),"Liqueurs",
 ISNUMBER(SEARCH("SCHNAPP",C1651)),"Liqueurs",
 ISNUMBER(SEARCH("GIN",C1651)),"Gin",
 TRUE,"Other")</f>
        <v>Gin</v>
      </c>
      <c r="E1651" s="5">
        <v>30920</v>
      </c>
      <c r="F1651" s="5">
        <v>284655.84000000189</v>
      </c>
      <c r="G1651" s="5"/>
      <c r="H1651" s="5">
        <v>2691</v>
      </c>
    </row>
    <row r="1652" spans="1:8">
      <c r="A1652" s="5">
        <v>2023</v>
      </c>
      <c r="B1652" s="6">
        <v>45017</v>
      </c>
      <c r="C1652" s="5" t="s">
        <v>12</v>
      </c>
      <c r="D1652" s="3" t="str" cm="1">
        <f t="array" ref="D1652">_xlfn.IFS(
 ISNUMBER(SEARCH("WHISK",C1652)),"Whiskey",
 ISNUMBER(SEARCH("BOURBON",C1652)),"Whiskey",
 ISNUMBER(SEARCH("SCOTCH",C1652)),"Whiskey",
 ISNUMBER(SEARCH("RYE",C1652)),"Whiskey",
 ISNUMBER(SEARCH("VODKA",C1652)),"Vodka",
 ISNUMBER(SEARCH("TEQUILA",C1652)),"Tequila/Mezcal",
 ISNUMBER(SEARCH("MEZCAL",C1652)),"Tequila/Mezcal",
 ISNUMBER(SEARCH("RUM",C1652)),"Rum",
 ISNUMBER(SEARCH("BRAND",C1652)),"Brandy",
 ISNUMBER(SEARCH("COGNAC",C1652)),"Brandy",
 ISNUMBER(SEARCH("LIQUEUR",C1652)),"Liqueurs",
 ISNUMBER(SEARCH("CORDIAL",C1652)),"Liqueurs",
 ISNUMBER(SEARCH("SCHNAPP",C1652)),"Liqueurs",
 ISNUMBER(SEARCH("GIN",C1652)),"Gin",
 TRUE,"Other")</f>
        <v>Vodka</v>
      </c>
      <c r="E1652" s="5">
        <v>83185</v>
      </c>
      <c r="F1652" s="5">
        <v>913696.59000003571</v>
      </c>
      <c r="G1652" s="5"/>
      <c r="H1652" s="5">
        <v>10075</v>
      </c>
    </row>
    <row r="1653" spans="1:8">
      <c r="A1653" s="5">
        <v>2023</v>
      </c>
      <c r="B1653" s="6">
        <v>45017</v>
      </c>
      <c r="C1653" s="5" t="s">
        <v>13</v>
      </c>
      <c r="D1653" s="3" t="str" cm="1">
        <f t="array" ref="D1653">_xlfn.IFS(
 ISNUMBER(SEARCH("WHISK",C1653)),"Whiskey",
 ISNUMBER(SEARCH("BOURBON",C1653)),"Whiskey",
 ISNUMBER(SEARCH("SCOTCH",C1653)),"Whiskey",
 ISNUMBER(SEARCH("RYE",C1653)),"Whiskey",
 ISNUMBER(SEARCH("VODKA",C1653)),"Vodka",
 ISNUMBER(SEARCH("TEQUILA",C1653)),"Tequila/Mezcal",
 ISNUMBER(SEARCH("MEZCAL",C1653)),"Tequila/Mezcal",
 ISNUMBER(SEARCH("RUM",C1653)),"Rum",
 ISNUMBER(SEARCH("BRAND",C1653)),"Brandy",
 ISNUMBER(SEARCH("COGNAC",C1653)),"Brandy",
 ISNUMBER(SEARCH("LIQUEUR",C1653)),"Liqueurs",
 ISNUMBER(SEARCH("CORDIAL",C1653)),"Liqueurs",
 ISNUMBER(SEARCH("SCHNAPP",C1653)),"Liqueurs",
 ISNUMBER(SEARCH("GIN",C1653)),"Gin",
 TRUE,"Other")</f>
        <v>Liqueurs</v>
      </c>
      <c r="E1653" s="5">
        <v>81862</v>
      </c>
      <c r="F1653" s="5">
        <v>535277.72000001103</v>
      </c>
      <c r="G1653" s="5"/>
      <c r="H1653" s="5">
        <v>6845</v>
      </c>
    </row>
    <row r="1654" spans="1:8">
      <c r="A1654" s="5">
        <v>2023</v>
      </c>
      <c r="B1654" s="6">
        <v>45017</v>
      </c>
      <c r="C1654" s="5" t="s">
        <v>14</v>
      </c>
      <c r="D1654" s="3" t="str" cm="1">
        <f t="array" ref="D1654">_xlfn.IFS(
 ISNUMBER(SEARCH("WHISK",C1654)),"Whiskey",
 ISNUMBER(SEARCH("BOURBON",C1654)),"Whiskey",
 ISNUMBER(SEARCH("SCOTCH",C1654)),"Whiskey",
 ISNUMBER(SEARCH("RYE",C1654)),"Whiskey",
 ISNUMBER(SEARCH("VODKA",C1654)),"Vodka",
 ISNUMBER(SEARCH("TEQUILA",C1654)),"Tequila/Mezcal",
 ISNUMBER(SEARCH("MEZCAL",C1654)),"Tequila/Mezcal",
 ISNUMBER(SEARCH("RUM",C1654)),"Rum",
 ISNUMBER(SEARCH("BRAND",C1654)),"Brandy",
 ISNUMBER(SEARCH("COGNAC",C1654)),"Brandy",
 ISNUMBER(SEARCH("LIQUEUR",C1654)),"Liqueurs",
 ISNUMBER(SEARCH("CORDIAL",C1654)),"Liqueurs",
 ISNUMBER(SEARCH("SCHNAPP",C1654)),"Liqueurs",
 ISNUMBER(SEARCH("GIN",C1654)),"Gin",
 TRUE,"Other")</f>
        <v>Gin</v>
      </c>
      <c r="E1654" s="5">
        <v>260</v>
      </c>
      <c r="F1654" s="5">
        <v>2220.3999999999992</v>
      </c>
      <c r="G1654" s="5"/>
      <c r="H1654" s="5">
        <v>50</v>
      </c>
    </row>
    <row r="1655" spans="1:8">
      <c r="A1655" s="5">
        <v>2023</v>
      </c>
      <c r="B1655" s="6">
        <v>45017</v>
      </c>
      <c r="C1655" s="5" t="s">
        <v>15</v>
      </c>
      <c r="D1655" s="3" t="str" cm="1">
        <f t="array" ref="D1655">_xlfn.IFS(
 ISNUMBER(SEARCH("WHISK",C1655)),"Whiskey",
 ISNUMBER(SEARCH("BOURBON",C1655)),"Whiskey",
 ISNUMBER(SEARCH("SCOTCH",C1655)),"Whiskey",
 ISNUMBER(SEARCH("RYE",C1655)),"Whiskey",
 ISNUMBER(SEARCH("VODKA",C1655)),"Vodka",
 ISNUMBER(SEARCH("TEQUILA",C1655)),"Tequila/Mezcal",
 ISNUMBER(SEARCH("MEZCAL",C1655)),"Tequila/Mezcal",
 ISNUMBER(SEARCH("RUM",C1655)),"Rum",
 ISNUMBER(SEARCH("BRAND",C1655)),"Brandy",
 ISNUMBER(SEARCH("COGNAC",C1655)),"Brandy",
 ISNUMBER(SEARCH("LIQUEUR",C1655)),"Liqueurs",
 ISNUMBER(SEARCH("CORDIAL",C1655)),"Liqueurs",
 ISNUMBER(SEARCH("SCHNAPP",C1655)),"Liqueurs",
 ISNUMBER(SEARCH("GIN",C1655)),"Gin",
 TRUE,"Other")</f>
        <v>Vodka</v>
      </c>
      <c r="E1655" s="5">
        <v>498043</v>
      </c>
      <c r="F1655" s="5">
        <v>4969675.5799998557</v>
      </c>
      <c r="G1655" s="5"/>
      <c r="H1655" s="5">
        <v>30982</v>
      </c>
    </row>
    <row r="1656" spans="1:8">
      <c r="A1656" s="5">
        <v>2023</v>
      </c>
      <c r="B1656" s="6">
        <v>45017</v>
      </c>
      <c r="C1656" s="5" t="s">
        <v>16</v>
      </c>
      <c r="D1656" s="3" t="str" cm="1">
        <f t="array" ref="D1656">_xlfn.IFS(
 ISNUMBER(SEARCH("WHISK",C1656)),"Whiskey",
 ISNUMBER(SEARCH("BOURBON",C1656)),"Whiskey",
 ISNUMBER(SEARCH("SCOTCH",C1656)),"Whiskey",
 ISNUMBER(SEARCH("RYE",C1656)),"Whiskey",
 ISNUMBER(SEARCH("VODKA",C1656)),"Vodka",
 ISNUMBER(SEARCH("TEQUILA",C1656)),"Tequila/Mezcal",
 ISNUMBER(SEARCH("MEZCAL",C1656)),"Tequila/Mezcal",
 ISNUMBER(SEARCH("RUM",C1656)),"Rum",
 ISNUMBER(SEARCH("BRAND",C1656)),"Brandy",
 ISNUMBER(SEARCH("COGNAC",C1656)),"Brandy",
 ISNUMBER(SEARCH("LIQUEUR",C1656)),"Liqueurs",
 ISNUMBER(SEARCH("CORDIAL",C1656)),"Liqueurs",
 ISNUMBER(SEARCH("SCHNAPP",C1656)),"Liqueurs",
 ISNUMBER(SEARCH("GIN",C1656)),"Gin",
 TRUE,"Other")</f>
        <v>Whiskey</v>
      </c>
      <c r="E1656" s="5">
        <v>61860</v>
      </c>
      <c r="F1656" s="5">
        <v>760052.04999999399</v>
      </c>
      <c r="G1656" s="5"/>
      <c r="H1656" s="5">
        <v>6779</v>
      </c>
    </row>
    <row r="1657" spans="1:8">
      <c r="A1657" s="5">
        <v>2023</v>
      </c>
      <c r="B1657" s="6">
        <v>45017</v>
      </c>
      <c r="C1657" s="5" t="s">
        <v>17</v>
      </c>
      <c r="D1657" s="3" t="str" cm="1">
        <f t="array" ref="D1657">_xlfn.IFS(
 ISNUMBER(SEARCH("WHISK",C1657)),"Whiskey",
 ISNUMBER(SEARCH("BOURBON",C1657)),"Whiskey",
 ISNUMBER(SEARCH("SCOTCH",C1657)),"Whiskey",
 ISNUMBER(SEARCH("RYE",C1657)),"Whiskey",
 ISNUMBER(SEARCH("VODKA",C1657)),"Vodka",
 ISNUMBER(SEARCH("TEQUILA",C1657)),"Tequila/Mezcal",
 ISNUMBER(SEARCH("MEZCAL",C1657)),"Tequila/Mezcal",
 ISNUMBER(SEARCH("RUM",C1657)),"Rum",
 ISNUMBER(SEARCH("BRAND",C1657)),"Brandy",
 ISNUMBER(SEARCH("COGNAC",C1657)),"Brandy",
 ISNUMBER(SEARCH("LIQUEUR",C1657)),"Liqueurs",
 ISNUMBER(SEARCH("CORDIAL",C1657)),"Liqueurs",
 ISNUMBER(SEARCH("SCHNAPP",C1657)),"Liqueurs",
 ISNUMBER(SEARCH("GIN",C1657)),"Gin",
 TRUE,"Other")</f>
        <v>Whiskey</v>
      </c>
      <c r="E1657" s="5">
        <v>3321</v>
      </c>
      <c r="F1657" s="5">
        <v>110676.66000000006</v>
      </c>
      <c r="G1657" s="5"/>
      <c r="H1657" s="5">
        <v>713</v>
      </c>
    </row>
    <row r="1658" spans="1:8">
      <c r="A1658" s="5">
        <v>2023</v>
      </c>
      <c r="B1658" s="6">
        <v>45017</v>
      </c>
      <c r="C1658" s="5" t="s">
        <v>18</v>
      </c>
      <c r="D1658" s="3" t="str" cm="1">
        <f t="array" ref="D1658">_xlfn.IFS(
 ISNUMBER(SEARCH("WHISK",C1658)),"Whiskey",
 ISNUMBER(SEARCH("BOURBON",C1658)),"Whiskey",
 ISNUMBER(SEARCH("SCOTCH",C1658)),"Whiskey",
 ISNUMBER(SEARCH("RYE",C1658)),"Whiskey",
 ISNUMBER(SEARCH("VODKA",C1658)),"Vodka",
 ISNUMBER(SEARCH("TEQUILA",C1658)),"Tequila/Mezcal",
 ISNUMBER(SEARCH("MEZCAL",C1658)),"Tequila/Mezcal",
 ISNUMBER(SEARCH("RUM",C1658)),"Rum",
 ISNUMBER(SEARCH("BRAND",C1658)),"Brandy",
 ISNUMBER(SEARCH("COGNAC",C1658)),"Brandy",
 ISNUMBER(SEARCH("LIQUEUR",C1658)),"Liqueurs",
 ISNUMBER(SEARCH("CORDIAL",C1658)),"Liqueurs",
 ISNUMBER(SEARCH("SCHNAPP",C1658)),"Liqueurs",
 ISNUMBER(SEARCH("GIN",C1658)),"Gin",
 TRUE,"Other")</f>
        <v>Whiskey</v>
      </c>
      <c r="E1658" s="5">
        <v>210121</v>
      </c>
      <c r="F1658" s="5">
        <v>3392091.3499997989</v>
      </c>
      <c r="G1658" s="5"/>
      <c r="H1658" s="5">
        <v>18953</v>
      </c>
    </row>
    <row r="1659" spans="1:8">
      <c r="A1659" s="5">
        <v>2023</v>
      </c>
      <c r="B1659" s="6">
        <v>45017</v>
      </c>
      <c r="C1659" s="5" t="s">
        <v>41</v>
      </c>
      <c r="D1659" s="3" t="str" cm="1">
        <f t="array" ref="D1659">_xlfn.IFS(
 ISNUMBER(SEARCH("WHISK",C1659)),"Whiskey",
 ISNUMBER(SEARCH("BOURBON",C1659)),"Whiskey",
 ISNUMBER(SEARCH("SCOTCH",C1659)),"Whiskey",
 ISNUMBER(SEARCH("RYE",C1659)),"Whiskey",
 ISNUMBER(SEARCH("VODKA",C1659)),"Vodka",
 ISNUMBER(SEARCH("TEQUILA",C1659)),"Tequila/Mezcal",
 ISNUMBER(SEARCH("MEZCAL",C1659)),"Tequila/Mezcal",
 ISNUMBER(SEARCH("RUM",C1659)),"Rum",
 ISNUMBER(SEARCH("BRAND",C1659)),"Brandy",
 ISNUMBER(SEARCH("COGNAC",C1659)),"Brandy",
 ISNUMBER(SEARCH("LIQUEUR",C1659)),"Liqueurs",
 ISNUMBER(SEARCH("CORDIAL",C1659)),"Liqueurs",
 ISNUMBER(SEARCH("SCHNAPP",C1659)),"Liqueurs",
 ISNUMBER(SEARCH("GIN",C1659)),"Gin",
 TRUE,"Other")</f>
        <v>Other</v>
      </c>
      <c r="E1659" s="5">
        <v>8957</v>
      </c>
      <c r="F1659" s="5">
        <v>109289.07000000015</v>
      </c>
      <c r="G1659" s="5"/>
      <c r="H1659" s="5">
        <v>189</v>
      </c>
    </row>
    <row r="1660" spans="1:8">
      <c r="A1660" s="5">
        <v>2023</v>
      </c>
      <c r="B1660" s="6">
        <v>45047</v>
      </c>
      <c r="C1660" s="5" t="s">
        <v>50</v>
      </c>
      <c r="D1660" s="3" t="str" cm="1">
        <f t="array" ref="D1660">_xlfn.IFS(
 ISNUMBER(SEARCH("WHISK",C1660)),"Whiskey",
 ISNUMBER(SEARCH("BOURBON",C1660)),"Whiskey",
 ISNUMBER(SEARCH("SCOTCH",C1660)),"Whiskey",
 ISNUMBER(SEARCH("RYE",C1660)),"Whiskey",
 ISNUMBER(SEARCH("VODKA",C1660)),"Vodka",
 ISNUMBER(SEARCH("TEQUILA",C1660)),"Tequila/Mezcal",
 ISNUMBER(SEARCH("MEZCAL",C1660)),"Tequila/Mezcal",
 ISNUMBER(SEARCH("RUM",C1660)),"Rum",
 ISNUMBER(SEARCH("BRAND",C1660)),"Brandy",
 ISNUMBER(SEARCH("COGNAC",C1660)),"Brandy",
 ISNUMBER(SEARCH("LIQUEUR",C1660)),"Liqueurs",
 ISNUMBER(SEARCH("CORDIAL",C1660)),"Liqueurs",
 ISNUMBER(SEARCH("SCHNAPP",C1660)),"Liqueurs",
 ISNUMBER(SEARCH("GIN",C1660)),"Gin",
 TRUE,"Other")</f>
        <v>Tequila/Mezcal</v>
      </c>
      <c r="E1660" s="5">
        <v>108043</v>
      </c>
      <c r="F1660" s="5">
        <v>3161765.8899999759</v>
      </c>
      <c r="G1660" s="5"/>
      <c r="H1660" s="5">
        <v>12246</v>
      </c>
    </row>
    <row r="1661" spans="1:8">
      <c r="A1661" s="5">
        <v>2023</v>
      </c>
      <c r="B1661" s="6">
        <v>45047</v>
      </c>
      <c r="C1661" s="5" t="s">
        <v>7</v>
      </c>
      <c r="D1661" s="3" t="str" cm="1">
        <f t="array" ref="D1661">_xlfn.IFS(
 ISNUMBER(SEARCH("WHISK",C1661)),"Whiskey",
 ISNUMBER(SEARCH("BOURBON",C1661)),"Whiskey",
 ISNUMBER(SEARCH("SCOTCH",C1661)),"Whiskey",
 ISNUMBER(SEARCH("RYE",C1661)),"Whiskey",
 ISNUMBER(SEARCH("VODKA",C1661)),"Vodka",
 ISNUMBER(SEARCH("TEQUILA",C1661)),"Tequila/Mezcal",
 ISNUMBER(SEARCH("MEZCAL",C1661)),"Tequila/Mezcal",
 ISNUMBER(SEARCH("RUM",C1661)),"Rum",
 ISNUMBER(SEARCH("BRAND",C1661)),"Brandy",
 ISNUMBER(SEARCH("COGNAC",C1661)),"Brandy",
 ISNUMBER(SEARCH("LIQUEUR",C1661)),"Liqueurs",
 ISNUMBER(SEARCH("CORDIAL",C1661)),"Liqueurs",
 ISNUMBER(SEARCH("SCHNAPP",C1661)),"Liqueurs",
 ISNUMBER(SEARCH("GIN",C1661)),"Gin",
 TRUE,"Other")</f>
        <v>Rum</v>
      </c>
      <c r="E1661" s="5">
        <v>3860</v>
      </c>
      <c r="F1661" s="5">
        <v>83054.260000000053</v>
      </c>
      <c r="G1661" s="5"/>
      <c r="H1661" s="5">
        <v>639</v>
      </c>
    </row>
    <row r="1662" spans="1:8">
      <c r="A1662" s="5">
        <v>2023</v>
      </c>
      <c r="B1662" s="6">
        <v>45047</v>
      </c>
      <c r="C1662" s="5" t="s">
        <v>8</v>
      </c>
      <c r="D1662" s="3" t="str" cm="1">
        <f t="array" ref="D1662">_xlfn.IFS(
 ISNUMBER(SEARCH("WHISK",C1662)),"Whiskey",
 ISNUMBER(SEARCH("BOURBON",C1662)),"Whiskey",
 ISNUMBER(SEARCH("SCOTCH",C1662)),"Whiskey",
 ISNUMBER(SEARCH("RYE",C1662)),"Whiskey",
 ISNUMBER(SEARCH("VODKA",C1662)),"Vodka",
 ISNUMBER(SEARCH("TEQUILA",C1662)),"Tequila/Mezcal",
 ISNUMBER(SEARCH("MEZCAL",C1662)),"Tequila/Mezcal",
 ISNUMBER(SEARCH("RUM",C1662)),"Rum",
 ISNUMBER(SEARCH("BRAND",C1662)),"Brandy",
 ISNUMBER(SEARCH("COGNAC",C1662)),"Brandy",
 ISNUMBER(SEARCH("LIQUEUR",C1662)),"Liqueurs",
 ISNUMBER(SEARCH("CORDIAL",C1662)),"Liqueurs",
 ISNUMBER(SEARCH("SCHNAPP",C1662)),"Liqueurs",
 ISNUMBER(SEARCH("GIN",C1662)),"Gin",
 TRUE,"Other")</f>
        <v>Brandy</v>
      </c>
      <c r="E1662" s="5">
        <v>63814</v>
      </c>
      <c r="F1662" s="5">
        <v>403504.9000000013</v>
      </c>
      <c r="G1662" s="5"/>
      <c r="H1662" s="5">
        <v>4995</v>
      </c>
    </row>
    <row r="1663" spans="1:8">
      <c r="A1663" s="5">
        <v>2023</v>
      </c>
      <c r="B1663" s="6">
        <v>45047</v>
      </c>
      <c r="C1663" s="5" t="s">
        <v>59</v>
      </c>
      <c r="D1663" s="3" t="str" cm="1">
        <f t="array" ref="D1663">_xlfn.IFS(
 ISNUMBER(SEARCH("WHISK",C1663)),"Whiskey",
 ISNUMBER(SEARCH("BOURBON",C1663)),"Whiskey",
 ISNUMBER(SEARCH("SCOTCH",C1663)),"Whiskey",
 ISNUMBER(SEARCH("RYE",C1663)),"Whiskey",
 ISNUMBER(SEARCH("VODKA",C1663)),"Vodka",
 ISNUMBER(SEARCH("TEQUILA",C1663)),"Tequila/Mezcal",
 ISNUMBER(SEARCH("MEZCAL",C1663)),"Tequila/Mezcal",
 ISNUMBER(SEARCH("RUM",C1663)),"Rum",
 ISNUMBER(SEARCH("BRAND",C1663)),"Brandy",
 ISNUMBER(SEARCH("COGNAC",C1663)),"Brandy",
 ISNUMBER(SEARCH("LIQUEUR",C1663)),"Liqueurs",
 ISNUMBER(SEARCH("CORDIAL",C1663)),"Liqueurs",
 ISNUMBER(SEARCH("SCHNAPP",C1663)),"Liqueurs",
 ISNUMBER(SEARCH("GIN",C1663)),"Gin",
 TRUE,"Other")</f>
        <v>Liqueurs</v>
      </c>
      <c r="E1663" s="5">
        <v>38829</v>
      </c>
      <c r="F1663" s="5">
        <v>408482.9400000163</v>
      </c>
      <c r="G1663" s="5"/>
      <c r="H1663" s="5">
        <v>6079</v>
      </c>
    </row>
    <row r="1664" spans="1:8">
      <c r="A1664" s="5">
        <v>2023</v>
      </c>
      <c r="B1664" s="6">
        <v>45047</v>
      </c>
      <c r="C1664" s="5" t="s">
        <v>10</v>
      </c>
      <c r="D1664" s="3" t="str" cm="1">
        <f t="array" ref="D1664">_xlfn.IFS(
 ISNUMBER(SEARCH("WHISK",C1664)),"Whiskey",
 ISNUMBER(SEARCH("BOURBON",C1664)),"Whiskey",
 ISNUMBER(SEARCH("SCOTCH",C1664)),"Whiskey",
 ISNUMBER(SEARCH("RYE",C1664)),"Whiskey",
 ISNUMBER(SEARCH("VODKA",C1664)),"Vodka",
 ISNUMBER(SEARCH("TEQUILA",C1664)),"Tequila/Mezcal",
 ISNUMBER(SEARCH("MEZCAL",C1664)),"Tequila/Mezcal",
 ISNUMBER(SEARCH("RUM",C1664)),"Rum",
 ISNUMBER(SEARCH("BRAND",C1664)),"Brandy",
 ISNUMBER(SEARCH("COGNAC",C1664)),"Brandy",
 ISNUMBER(SEARCH("LIQUEUR",C1664)),"Liqueurs",
 ISNUMBER(SEARCH("CORDIAL",C1664)),"Liqueurs",
 ISNUMBER(SEARCH("SCHNAPP",C1664)),"Liqueurs",
 ISNUMBER(SEARCH("GIN",C1664)),"Gin",
 TRUE,"Other")</f>
        <v>Other</v>
      </c>
      <c r="E1664" s="5">
        <v>6720</v>
      </c>
      <c r="F1664" s="5">
        <v>151276.65999999963</v>
      </c>
      <c r="G1664" s="5"/>
      <c r="H1664" s="5">
        <v>941</v>
      </c>
    </row>
    <row r="1665" spans="1:8">
      <c r="A1665" s="5">
        <v>2023</v>
      </c>
      <c r="B1665" s="6">
        <v>45047</v>
      </c>
      <c r="C1665" s="5" t="s">
        <v>11</v>
      </c>
      <c r="D1665" s="3" t="str" cm="1">
        <f t="array" ref="D1665">_xlfn.IFS(
 ISNUMBER(SEARCH("WHISK",C1665)),"Whiskey",
 ISNUMBER(SEARCH("BOURBON",C1665)),"Whiskey",
 ISNUMBER(SEARCH("SCOTCH",C1665)),"Whiskey",
 ISNUMBER(SEARCH("RYE",C1665)),"Whiskey",
 ISNUMBER(SEARCH("VODKA",C1665)),"Vodka",
 ISNUMBER(SEARCH("TEQUILA",C1665)),"Tequila/Mezcal",
 ISNUMBER(SEARCH("MEZCAL",C1665)),"Tequila/Mezcal",
 ISNUMBER(SEARCH("RUM",C1665)),"Rum",
 ISNUMBER(SEARCH("BRAND",C1665)),"Brandy",
 ISNUMBER(SEARCH("COGNAC",C1665)),"Brandy",
 ISNUMBER(SEARCH("LIQUEUR",C1665)),"Liqueurs",
 ISNUMBER(SEARCH("CORDIAL",C1665)),"Liqueurs",
 ISNUMBER(SEARCH("SCHNAPP",C1665)),"Liqueurs",
 ISNUMBER(SEARCH("GIN",C1665)),"Gin",
 TRUE,"Other")</f>
        <v>Gin</v>
      </c>
      <c r="E1665" s="5">
        <v>30073</v>
      </c>
      <c r="F1665" s="5">
        <v>282167.58000000211</v>
      </c>
      <c r="G1665" s="5"/>
      <c r="H1665" s="5">
        <v>2994</v>
      </c>
    </row>
    <row r="1666" spans="1:8">
      <c r="A1666" s="5">
        <v>2023</v>
      </c>
      <c r="B1666" s="6">
        <v>45047</v>
      </c>
      <c r="C1666" s="5" t="s">
        <v>12</v>
      </c>
      <c r="D1666" s="3" t="str" cm="1">
        <f t="array" ref="D1666">_xlfn.IFS(
 ISNUMBER(SEARCH("WHISK",C1666)),"Whiskey",
 ISNUMBER(SEARCH("BOURBON",C1666)),"Whiskey",
 ISNUMBER(SEARCH("SCOTCH",C1666)),"Whiskey",
 ISNUMBER(SEARCH("RYE",C1666)),"Whiskey",
 ISNUMBER(SEARCH("VODKA",C1666)),"Vodka",
 ISNUMBER(SEARCH("TEQUILA",C1666)),"Tequila/Mezcal",
 ISNUMBER(SEARCH("MEZCAL",C1666)),"Tequila/Mezcal",
 ISNUMBER(SEARCH("RUM",C1666)),"Rum",
 ISNUMBER(SEARCH("BRAND",C1666)),"Brandy",
 ISNUMBER(SEARCH("COGNAC",C1666)),"Brandy",
 ISNUMBER(SEARCH("LIQUEUR",C1666)),"Liqueurs",
 ISNUMBER(SEARCH("CORDIAL",C1666)),"Liqueurs",
 ISNUMBER(SEARCH("SCHNAPP",C1666)),"Liqueurs",
 ISNUMBER(SEARCH("GIN",C1666)),"Gin",
 TRUE,"Other")</f>
        <v>Vodka</v>
      </c>
      <c r="E1666" s="5">
        <v>93880</v>
      </c>
      <c r="F1666" s="5">
        <v>1055024.8400000529</v>
      </c>
      <c r="G1666" s="5"/>
      <c r="H1666" s="5">
        <v>11994</v>
      </c>
    </row>
    <row r="1667" spans="1:8">
      <c r="A1667" s="5">
        <v>2023</v>
      </c>
      <c r="B1667" s="6">
        <v>45047</v>
      </c>
      <c r="C1667" s="5" t="s">
        <v>13</v>
      </c>
      <c r="D1667" s="3" t="str" cm="1">
        <f t="array" ref="D1667">_xlfn.IFS(
 ISNUMBER(SEARCH("WHISK",C1667)),"Whiskey",
 ISNUMBER(SEARCH("BOURBON",C1667)),"Whiskey",
 ISNUMBER(SEARCH("SCOTCH",C1667)),"Whiskey",
 ISNUMBER(SEARCH("RYE",C1667)),"Whiskey",
 ISNUMBER(SEARCH("VODKA",C1667)),"Vodka",
 ISNUMBER(SEARCH("TEQUILA",C1667)),"Tequila/Mezcal",
 ISNUMBER(SEARCH("MEZCAL",C1667)),"Tequila/Mezcal",
 ISNUMBER(SEARCH("RUM",C1667)),"Rum",
 ISNUMBER(SEARCH("BRAND",C1667)),"Brandy",
 ISNUMBER(SEARCH("COGNAC",C1667)),"Brandy",
 ISNUMBER(SEARCH("LIQUEUR",C1667)),"Liqueurs",
 ISNUMBER(SEARCH("CORDIAL",C1667)),"Liqueurs",
 ISNUMBER(SEARCH("SCHNAPP",C1667)),"Liqueurs",
 ISNUMBER(SEARCH("GIN",C1667)),"Gin",
 TRUE,"Other")</f>
        <v>Liqueurs</v>
      </c>
      <c r="E1667" s="5">
        <v>77376</v>
      </c>
      <c r="F1667" s="5">
        <v>575970.74000001908</v>
      </c>
      <c r="G1667" s="5"/>
      <c r="H1667" s="5">
        <v>6371</v>
      </c>
    </row>
    <row r="1668" spans="1:8">
      <c r="A1668" s="5">
        <v>2023</v>
      </c>
      <c r="B1668" s="6">
        <v>45047</v>
      </c>
      <c r="C1668" s="5" t="s">
        <v>15</v>
      </c>
      <c r="D1668" s="3" t="str" cm="1">
        <f t="array" ref="D1668">_xlfn.IFS(
 ISNUMBER(SEARCH("WHISK",C1668)),"Whiskey",
 ISNUMBER(SEARCH("BOURBON",C1668)),"Whiskey",
 ISNUMBER(SEARCH("SCOTCH",C1668)),"Whiskey",
 ISNUMBER(SEARCH("RYE",C1668)),"Whiskey",
 ISNUMBER(SEARCH("VODKA",C1668)),"Vodka",
 ISNUMBER(SEARCH("TEQUILA",C1668)),"Tequila/Mezcal",
 ISNUMBER(SEARCH("MEZCAL",C1668)),"Tequila/Mezcal",
 ISNUMBER(SEARCH("RUM",C1668)),"Rum",
 ISNUMBER(SEARCH("BRAND",C1668)),"Brandy",
 ISNUMBER(SEARCH("COGNAC",C1668)),"Brandy",
 ISNUMBER(SEARCH("LIQUEUR",C1668)),"Liqueurs",
 ISNUMBER(SEARCH("CORDIAL",C1668)),"Liqueurs",
 ISNUMBER(SEARCH("SCHNAPP",C1668)),"Liqueurs",
 ISNUMBER(SEARCH("GIN",C1668)),"Gin",
 TRUE,"Other")</f>
        <v>Vodka</v>
      </c>
      <c r="E1668" s="5">
        <v>590981</v>
      </c>
      <c r="F1668" s="5">
        <v>6452465.6199997226</v>
      </c>
      <c r="G1668" s="5"/>
      <c r="H1668" s="5">
        <v>36270</v>
      </c>
    </row>
    <row r="1669" spans="1:8">
      <c r="A1669" s="5">
        <v>2023</v>
      </c>
      <c r="B1669" s="6">
        <v>45047</v>
      </c>
      <c r="C1669" s="5" t="s">
        <v>16</v>
      </c>
      <c r="D1669" s="3" t="str" cm="1">
        <f t="array" ref="D1669">_xlfn.IFS(
 ISNUMBER(SEARCH("WHISK",C1669)),"Whiskey",
 ISNUMBER(SEARCH("BOURBON",C1669)),"Whiskey",
 ISNUMBER(SEARCH("SCOTCH",C1669)),"Whiskey",
 ISNUMBER(SEARCH("RYE",C1669)),"Whiskey",
 ISNUMBER(SEARCH("VODKA",C1669)),"Vodka",
 ISNUMBER(SEARCH("TEQUILA",C1669)),"Tequila/Mezcal",
 ISNUMBER(SEARCH("MEZCAL",C1669)),"Tequila/Mezcal",
 ISNUMBER(SEARCH("RUM",C1669)),"Rum",
 ISNUMBER(SEARCH("BRAND",C1669)),"Brandy",
 ISNUMBER(SEARCH("COGNAC",C1669)),"Brandy",
 ISNUMBER(SEARCH("LIQUEUR",C1669)),"Liqueurs",
 ISNUMBER(SEARCH("CORDIAL",C1669)),"Liqueurs",
 ISNUMBER(SEARCH("SCHNAPP",C1669)),"Liqueurs",
 ISNUMBER(SEARCH("GIN",C1669)),"Gin",
 TRUE,"Other")</f>
        <v>Whiskey</v>
      </c>
      <c r="E1669" s="5">
        <v>73600</v>
      </c>
      <c r="F1669" s="5">
        <v>928306.94999999064</v>
      </c>
      <c r="G1669" s="5"/>
      <c r="H1669" s="5">
        <v>7620</v>
      </c>
    </row>
    <row r="1670" spans="1:8">
      <c r="A1670" s="5">
        <v>2023</v>
      </c>
      <c r="B1670" s="6">
        <v>45047</v>
      </c>
      <c r="C1670" s="5" t="s">
        <v>17</v>
      </c>
      <c r="D1670" s="3" t="str" cm="1">
        <f t="array" ref="D1670">_xlfn.IFS(
 ISNUMBER(SEARCH("WHISK",C1670)),"Whiskey",
 ISNUMBER(SEARCH("BOURBON",C1670)),"Whiskey",
 ISNUMBER(SEARCH("SCOTCH",C1670)),"Whiskey",
 ISNUMBER(SEARCH("RYE",C1670)),"Whiskey",
 ISNUMBER(SEARCH("VODKA",C1670)),"Vodka",
 ISNUMBER(SEARCH("TEQUILA",C1670)),"Tequila/Mezcal",
 ISNUMBER(SEARCH("MEZCAL",C1670)),"Tequila/Mezcal",
 ISNUMBER(SEARCH("RUM",C1670)),"Rum",
 ISNUMBER(SEARCH("BRAND",C1670)),"Brandy",
 ISNUMBER(SEARCH("COGNAC",C1670)),"Brandy",
 ISNUMBER(SEARCH("LIQUEUR",C1670)),"Liqueurs",
 ISNUMBER(SEARCH("CORDIAL",C1670)),"Liqueurs",
 ISNUMBER(SEARCH("SCHNAPP",C1670)),"Liqueurs",
 ISNUMBER(SEARCH("GIN",C1670)),"Gin",
 TRUE,"Other")</f>
        <v>Whiskey</v>
      </c>
      <c r="E1670" s="5">
        <v>4208</v>
      </c>
      <c r="F1670" s="5">
        <v>132188.82</v>
      </c>
      <c r="G1670" s="5"/>
      <c r="H1670" s="5">
        <v>1041</v>
      </c>
    </row>
    <row r="1671" spans="1:8">
      <c r="A1671" s="5">
        <v>2023</v>
      </c>
      <c r="B1671" s="6">
        <v>45047</v>
      </c>
      <c r="C1671" s="5" t="s">
        <v>18</v>
      </c>
      <c r="D1671" s="3" t="str" cm="1">
        <f t="array" ref="D1671">_xlfn.IFS(
 ISNUMBER(SEARCH("WHISK",C1671)),"Whiskey",
 ISNUMBER(SEARCH("BOURBON",C1671)),"Whiskey",
 ISNUMBER(SEARCH("SCOTCH",C1671)),"Whiskey",
 ISNUMBER(SEARCH("RYE",C1671)),"Whiskey",
 ISNUMBER(SEARCH("VODKA",C1671)),"Vodka",
 ISNUMBER(SEARCH("TEQUILA",C1671)),"Tequila/Mezcal",
 ISNUMBER(SEARCH("MEZCAL",C1671)),"Tequila/Mezcal",
 ISNUMBER(SEARCH("RUM",C1671)),"Rum",
 ISNUMBER(SEARCH("BRAND",C1671)),"Brandy",
 ISNUMBER(SEARCH("COGNAC",C1671)),"Brandy",
 ISNUMBER(SEARCH("LIQUEUR",C1671)),"Liqueurs",
 ISNUMBER(SEARCH("CORDIAL",C1671)),"Liqueurs",
 ISNUMBER(SEARCH("SCHNAPP",C1671)),"Liqueurs",
 ISNUMBER(SEARCH("GIN",C1671)),"Gin",
 TRUE,"Other")</f>
        <v>Whiskey</v>
      </c>
      <c r="E1671" s="5">
        <v>297233</v>
      </c>
      <c r="F1671" s="5">
        <v>4952549.9399999427</v>
      </c>
      <c r="G1671" s="5"/>
      <c r="H1671" s="5">
        <v>23309</v>
      </c>
    </row>
    <row r="1672" spans="1:8">
      <c r="A1672" s="5">
        <v>2023</v>
      </c>
      <c r="B1672" s="6">
        <v>45047</v>
      </c>
      <c r="C1672" s="5" t="s">
        <v>19</v>
      </c>
      <c r="D1672" s="3" t="str" cm="1">
        <f t="array" ref="D1672">_xlfn.IFS(
 ISNUMBER(SEARCH("WHISK",C1672)),"Whiskey",
 ISNUMBER(SEARCH("BOURBON",C1672)),"Whiskey",
 ISNUMBER(SEARCH("SCOTCH",C1672)),"Whiskey",
 ISNUMBER(SEARCH("RYE",C1672)),"Whiskey",
 ISNUMBER(SEARCH("VODKA",C1672)),"Vodka",
 ISNUMBER(SEARCH("TEQUILA",C1672)),"Tequila/Mezcal",
 ISNUMBER(SEARCH("MEZCAL",C1672)),"Tequila/Mezcal",
 ISNUMBER(SEARCH("RUM",C1672)),"Rum",
 ISNUMBER(SEARCH("BRAND",C1672)),"Brandy",
 ISNUMBER(SEARCH("COGNAC",C1672)),"Brandy",
 ISNUMBER(SEARCH("LIQUEUR",C1672)),"Liqueurs",
 ISNUMBER(SEARCH("CORDIAL",C1672)),"Liqueurs",
 ISNUMBER(SEARCH("SCHNAPP",C1672)),"Liqueurs",
 ISNUMBER(SEARCH("GIN",C1672)),"Gin",
 TRUE,"Other")</f>
        <v>Other</v>
      </c>
      <c r="E1672" s="5">
        <v>70029</v>
      </c>
      <c r="F1672" s="5">
        <v>826878.79999999271</v>
      </c>
      <c r="G1672" s="5"/>
      <c r="H1672" s="5">
        <v>8645</v>
      </c>
    </row>
    <row r="1673" spans="1:8">
      <c r="A1673" s="5">
        <v>2023</v>
      </c>
      <c r="B1673" s="6">
        <v>45047</v>
      </c>
      <c r="C1673" s="5" t="s">
        <v>20</v>
      </c>
      <c r="D1673" s="3" t="str" cm="1">
        <f t="array" ref="D1673">_xlfn.IFS(
 ISNUMBER(SEARCH("WHISK",C1673)),"Whiskey",
 ISNUMBER(SEARCH("BOURBON",C1673)),"Whiskey",
 ISNUMBER(SEARCH("SCOTCH",C1673)),"Whiskey",
 ISNUMBER(SEARCH("RYE",C1673)),"Whiskey",
 ISNUMBER(SEARCH("VODKA",C1673)),"Vodka",
 ISNUMBER(SEARCH("TEQUILA",C1673)),"Tequila/Mezcal",
 ISNUMBER(SEARCH("MEZCAL",C1673)),"Tequila/Mezcal",
 ISNUMBER(SEARCH("RUM",C1673)),"Rum",
 ISNUMBER(SEARCH("BRAND",C1673)),"Brandy",
 ISNUMBER(SEARCH("COGNAC",C1673)),"Brandy",
 ISNUMBER(SEARCH("LIQUEUR",C1673)),"Liqueurs",
 ISNUMBER(SEARCH("CORDIAL",C1673)),"Liqueurs",
 ISNUMBER(SEARCH("SCHNAPP",C1673)),"Liqueurs",
 ISNUMBER(SEARCH("GIN",C1673)),"Gin",
 TRUE,"Other")</f>
        <v>Liqueurs</v>
      </c>
      <c r="E1673" s="5">
        <v>8000</v>
      </c>
      <c r="F1673" s="5">
        <v>174638.67000000106</v>
      </c>
      <c r="G1673" s="5"/>
      <c r="H1673" s="5">
        <v>1003</v>
      </c>
    </row>
    <row r="1674" spans="1:8">
      <c r="A1674" s="5">
        <v>2023</v>
      </c>
      <c r="B1674" s="6">
        <v>45047</v>
      </c>
      <c r="C1674" s="5" t="s">
        <v>22</v>
      </c>
      <c r="D1674" s="3" t="str" cm="1">
        <f t="array" ref="D1674">_xlfn.IFS(
 ISNUMBER(SEARCH("WHISK",C1674)),"Whiskey",
 ISNUMBER(SEARCH("BOURBON",C1674)),"Whiskey",
 ISNUMBER(SEARCH("SCOTCH",C1674)),"Whiskey",
 ISNUMBER(SEARCH("RYE",C1674)),"Whiskey",
 ISNUMBER(SEARCH("VODKA",C1674)),"Vodka",
 ISNUMBER(SEARCH("TEQUILA",C1674)),"Tequila/Mezcal",
 ISNUMBER(SEARCH("MEZCAL",C1674)),"Tequila/Mezcal",
 ISNUMBER(SEARCH("RUM",C1674)),"Rum",
 ISNUMBER(SEARCH("BRAND",C1674)),"Brandy",
 ISNUMBER(SEARCH("COGNAC",C1674)),"Brandy",
 ISNUMBER(SEARCH("LIQUEUR",C1674)),"Liqueurs",
 ISNUMBER(SEARCH("CORDIAL",C1674)),"Liqueurs",
 ISNUMBER(SEARCH("SCHNAPP",C1674)),"Liqueurs",
 ISNUMBER(SEARCH("GIN",C1674)),"Gin",
 TRUE,"Other")</f>
        <v>Liqueurs</v>
      </c>
      <c r="E1674" s="5">
        <v>25287</v>
      </c>
      <c r="F1674" s="5">
        <v>511245.57999999565</v>
      </c>
      <c r="G1674" s="5"/>
      <c r="H1674" s="5">
        <v>3722</v>
      </c>
    </row>
    <row r="1675" spans="1:8">
      <c r="A1675" s="5">
        <v>2023</v>
      </c>
      <c r="B1675" s="6">
        <v>45047</v>
      </c>
      <c r="C1675" s="5" t="s">
        <v>23</v>
      </c>
      <c r="D1675" s="3" t="str" cm="1">
        <f t="array" ref="D1675">_xlfn.IFS(
 ISNUMBER(SEARCH("WHISK",C1675)),"Whiskey",
 ISNUMBER(SEARCH("BOURBON",C1675)),"Whiskey",
 ISNUMBER(SEARCH("SCOTCH",C1675)),"Whiskey",
 ISNUMBER(SEARCH("RYE",C1675)),"Whiskey",
 ISNUMBER(SEARCH("VODKA",C1675)),"Vodka",
 ISNUMBER(SEARCH("TEQUILA",C1675)),"Tequila/Mezcal",
 ISNUMBER(SEARCH("MEZCAL",C1675)),"Tequila/Mezcal",
 ISNUMBER(SEARCH("RUM",C1675)),"Rum",
 ISNUMBER(SEARCH("BRAND",C1675)),"Brandy",
 ISNUMBER(SEARCH("COGNAC",C1675)),"Brandy",
 ISNUMBER(SEARCH("LIQUEUR",C1675)),"Liqueurs",
 ISNUMBER(SEARCH("CORDIAL",C1675)),"Liqueurs",
 ISNUMBER(SEARCH("SCHNAPP",C1675)),"Liqueurs",
 ISNUMBER(SEARCH("GIN",C1675)),"Gin",
 TRUE,"Other")</f>
        <v>Gin</v>
      </c>
      <c r="E1675" s="5">
        <v>2994</v>
      </c>
      <c r="F1675" s="5">
        <v>75264.23000000001</v>
      </c>
      <c r="G1675" s="5"/>
      <c r="H1675" s="5">
        <v>416</v>
      </c>
    </row>
    <row r="1676" spans="1:8">
      <c r="A1676" s="5">
        <v>2023</v>
      </c>
      <c r="B1676" s="6">
        <v>45047</v>
      </c>
      <c r="C1676" s="5" t="s">
        <v>24</v>
      </c>
      <c r="D1676" s="3" t="str" cm="1">
        <f t="array" ref="D1676">_xlfn.IFS(
 ISNUMBER(SEARCH("WHISK",C1676)),"Whiskey",
 ISNUMBER(SEARCH("BOURBON",C1676)),"Whiskey",
 ISNUMBER(SEARCH("SCOTCH",C1676)),"Whiskey",
 ISNUMBER(SEARCH("RYE",C1676)),"Whiskey",
 ISNUMBER(SEARCH("VODKA",C1676)),"Vodka",
 ISNUMBER(SEARCH("TEQUILA",C1676)),"Tequila/Mezcal",
 ISNUMBER(SEARCH("MEZCAL",C1676)),"Tequila/Mezcal",
 ISNUMBER(SEARCH("RUM",C1676)),"Rum",
 ISNUMBER(SEARCH("BRAND",C1676)),"Brandy",
 ISNUMBER(SEARCH("COGNAC",C1676)),"Brandy",
 ISNUMBER(SEARCH("LIQUEUR",C1676)),"Liqueurs",
 ISNUMBER(SEARCH("CORDIAL",C1676)),"Liqueurs",
 ISNUMBER(SEARCH("SCHNAPP",C1676)),"Liqueurs",
 ISNUMBER(SEARCH("GIN",C1676)),"Gin",
 TRUE,"Other")</f>
        <v>Rum</v>
      </c>
      <c r="E1676" s="5">
        <v>51932</v>
      </c>
      <c r="F1676" s="5">
        <v>811697.25999999302</v>
      </c>
      <c r="G1676" s="5"/>
      <c r="H1676" s="5">
        <v>5180</v>
      </c>
    </row>
    <row r="1677" spans="1:8">
      <c r="A1677" s="5">
        <v>2023</v>
      </c>
      <c r="B1677" s="6">
        <v>45047</v>
      </c>
      <c r="C1677" s="5" t="s">
        <v>26</v>
      </c>
      <c r="D1677" s="3" t="str" cm="1">
        <f t="array" ref="D1677">_xlfn.IFS(
 ISNUMBER(SEARCH("WHISK",C1677)),"Whiskey",
 ISNUMBER(SEARCH("BOURBON",C1677)),"Whiskey",
 ISNUMBER(SEARCH("SCOTCH",C1677)),"Whiskey",
 ISNUMBER(SEARCH("RYE",C1677)),"Whiskey",
 ISNUMBER(SEARCH("VODKA",C1677)),"Vodka",
 ISNUMBER(SEARCH("TEQUILA",C1677)),"Tequila/Mezcal",
 ISNUMBER(SEARCH("MEZCAL",C1677)),"Tequila/Mezcal",
 ISNUMBER(SEARCH("RUM",C1677)),"Rum",
 ISNUMBER(SEARCH("BRAND",C1677)),"Brandy",
 ISNUMBER(SEARCH("COGNAC",C1677)),"Brandy",
 ISNUMBER(SEARCH("LIQUEUR",C1677)),"Liqueurs",
 ISNUMBER(SEARCH("CORDIAL",C1677)),"Liqueurs",
 ISNUMBER(SEARCH("SCHNAPP",C1677)),"Liqueurs",
 ISNUMBER(SEARCH("GIN",C1677)),"Gin",
 TRUE,"Other")</f>
        <v>Brandy</v>
      </c>
      <c r="E1677" s="5">
        <v>45984</v>
      </c>
      <c r="F1677" s="5">
        <v>1063594.0799999861</v>
      </c>
      <c r="G1677" s="5"/>
      <c r="H1677" s="5">
        <v>3767</v>
      </c>
    </row>
    <row r="1678" spans="1:8">
      <c r="A1678" s="5">
        <v>2023</v>
      </c>
      <c r="B1678" s="6">
        <v>45047</v>
      </c>
      <c r="C1678" s="5" t="s">
        <v>60</v>
      </c>
      <c r="D1678" s="3" t="str" cm="1">
        <f t="array" ref="D1678">_xlfn.IFS(
 ISNUMBER(SEARCH("WHISK",C1678)),"Whiskey",
 ISNUMBER(SEARCH("BOURBON",C1678)),"Whiskey",
 ISNUMBER(SEARCH("SCOTCH",C1678)),"Whiskey",
 ISNUMBER(SEARCH("RYE",C1678)),"Whiskey",
 ISNUMBER(SEARCH("VODKA",C1678)),"Vodka",
 ISNUMBER(SEARCH("TEQUILA",C1678)),"Tequila/Mezcal",
 ISNUMBER(SEARCH("MEZCAL",C1678)),"Tequila/Mezcal",
 ISNUMBER(SEARCH("RUM",C1678)),"Rum",
 ISNUMBER(SEARCH("BRAND",C1678)),"Brandy",
 ISNUMBER(SEARCH("COGNAC",C1678)),"Brandy",
 ISNUMBER(SEARCH("LIQUEUR",C1678)),"Liqueurs",
 ISNUMBER(SEARCH("CORDIAL",C1678)),"Liqueurs",
 ISNUMBER(SEARCH("SCHNAPP",C1678)),"Liqueurs",
 ISNUMBER(SEARCH("GIN",C1678)),"Gin",
 TRUE,"Other")</f>
        <v>Liqueurs</v>
      </c>
      <c r="E1678" s="5">
        <v>48342</v>
      </c>
      <c r="F1678" s="5">
        <v>1137103.6000000061</v>
      </c>
      <c r="G1678" s="5"/>
      <c r="H1678" s="5">
        <v>5323</v>
      </c>
    </row>
    <row r="1679" spans="1:8">
      <c r="A1679" s="5">
        <v>2023</v>
      </c>
      <c r="B1679" s="6">
        <v>45047</v>
      </c>
      <c r="C1679" s="5" t="s">
        <v>29</v>
      </c>
      <c r="D1679" s="3" t="str" cm="1">
        <f t="array" ref="D1679">_xlfn.IFS(
 ISNUMBER(SEARCH("WHISK",C1679)),"Whiskey",
 ISNUMBER(SEARCH("BOURBON",C1679)),"Whiskey",
 ISNUMBER(SEARCH("SCOTCH",C1679)),"Whiskey",
 ISNUMBER(SEARCH("RYE",C1679)),"Whiskey",
 ISNUMBER(SEARCH("VODKA",C1679)),"Vodka",
 ISNUMBER(SEARCH("TEQUILA",C1679)),"Tequila/Mezcal",
 ISNUMBER(SEARCH("MEZCAL",C1679)),"Tequila/Mezcal",
 ISNUMBER(SEARCH("RUM",C1679)),"Rum",
 ISNUMBER(SEARCH("BRAND",C1679)),"Brandy",
 ISNUMBER(SEARCH("COGNAC",C1679)),"Brandy",
 ISNUMBER(SEARCH("LIQUEUR",C1679)),"Liqueurs",
 ISNUMBER(SEARCH("CORDIAL",C1679)),"Liqueurs",
 ISNUMBER(SEARCH("SCHNAPP",C1679)),"Liqueurs",
 ISNUMBER(SEARCH("GIN",C1679)),"Gin",
 TRUE,"Other")</f>
        <v>Gin</v>
      </c>
      <c r="E1679" s="5">
        <v>20722</v>
      </c>
      <c r="F1679" s="5">
        <v>537206.60999999824</v>
      </c>
      <c r="G1679" s="5"/>
      <c r="H1679" s="5">
        <v>2461</v>
      </c>
    </row>
    <row r="1680" spans="1:8">
      <c r="A1680" s="5">
        <v>2023</v>
      </c>
      <c r="B1680" s="6">
        <v>45047</v>
      </c>
      <c r="C1680" s="5" t="s">
        <v>30</v>
      </c>
      <c r="D1680" s="3" t="str" cm="1">
        <f t="array" ref="D1680">_xlfn.IFS(
 ISNUMBER(SEARCH("WHISK",C1680)),"Whiskey",
 ISNUMBER(SEARCH("BOURBON",C1680)),"Whiskey",
 ISNUMBER(SEARCH("SCOTCH",C1680)),"Whiskey",
 ISNUMBER(SEARCH("RYE",C1680)),"Whiskey",
 ISNUMBER(SEARCH("VODKA",C1680)),"Vodka",
 ISNUMBER(SEARCH("TEQUILA",C1680)),"Tequila/Mezcal",
 ISNUMBER(SEARCH("MEZCAL",C1680)),"Tequila/Mezcal",
 ISNUMBER(SEARCH("RUM",C1680)),"Rum",
 ISNUMBER(SEARCH("BRAND",C1680)),"Brandy",
 ISNUMBER(SEARCH("COGNAC",C1680)),"Brandy",
 ISNUMBER(SEARCH("LIQUEUR",C1680)),"Liqueurs",
 ISNUMBER(SEARCH("CORDIAL",C1680)),"Liqueurs",
 ISNUMBER(SEARCH("SCHNAPP",C1680)),"Liqueurs",
 ISNUMBER(SEARCH("GIN",C1680)),"Gin",
 TRUE,"Other")</f>
        <v>Vodka</v>
      </c>
      <c r="E1680" s="5">
        <v>24315</v>
      </c>
      <c r="F1680" s="5">
        <v>434247.71999999945</v>
      </c>
      <c r="G1680" s="5"/>
      <c r="H1680" s="5">
        <v>3063</v>
      </c>
    </row>
    <row r="1681" spans="1:8">
      <c r="A1681" s="5">
        <v>2023</v>
      </c>
      <c r="B1681" s="6">
        <v>45047</v>
      </c>
      <c r="C1681" s="5" t="s">
        <v>31</v>
      </c>
      <c r="D1681" s="3" t="str" cm="1">
        <f t="array" ref="D1681">_xlfn.IFS(
 ISNUMBER(SEARCH("WHISK",C1681)),"Whiskey",
 ISNUMBER(SEARCH("BOURBON",C1681)),"Whiskey",
 ISNUMBER(SEARCH("SCOTCH",C1681)),"Whiskey",
 ISNUMBER(SEARCH("RYE",C1681)),"Whiskey",
 ISNUMBER(SEARCH("VODKA",C1681)),"Vodka",
 ISNUMBER(SEARCH("TEQUILA",C1681)),"Tequila/Mezcal",
 ISNUMBER(SEARCH("MEZCAL",C1681)),"Tequila/Mezcal",
 ISNUMBER(SEARCH("RUM",C1681)),"Rum",
 ISNUMBER(SEARCH("BRAND",C1681)),"Brandy",
 ISNUMBER(SEARCH("COGNAC",C1681)),"Brandy",
 ISNUMBER(SEARCH("LIQUEUR",C1681)),"Liqueurs",
 ISNUMBER(SEARCH("CORDIAL",C1681)),"Liqueurs",
 ISNUMBER(SEARCH("SCHNAPP",C1681)),"Liqueurs",
 ISNUMBER(SEARCH("GIN",C1681)),"Gin",
 TRUE,"Other")</f>
        <v>Liqueurs</v>
      </c>
      <c r="E1681" s="5">
        <v>29648</v>
      </c>
      <c r="F1681" s="5">
        <v>509023.81999999908</v>
      </c>
      <c r="G1681" s="5"/>
      <c r="H1681" s="5">
        <v>3110</v>
      </c>
    </row>
    <row r="1682" spans="1:8">
      <c r="A1682" s="5">
        <v>2023</v>
      </c>
      <c r="B1682" s="6">
        <v>45047</v>
      </c>
      <c r="C1682" s="5" t="s">
        <v>32</v>
      </c>
      <c r="D1682" s="3" t="str" cm="1">
        <f t="array" ref="D1682">_xlfn.IFS(
 ISNUMBER(SEARCH("WHISK",C1682)),"Whiskey",
 ISNUMBER(SEARCH("BOURBON",C1682)),"Whiskey",
 ISNUMBER(SEARCH("SCOTCH",C1682)),"Whiskey",
 ISNUMBER(SEARCH("RYE",C1682)),"Whiskey",
 ISNUMBER(SEARCH("VODKA",C1682)),"Vodka",
 ISNUMBER(SEARCH("TEQUILA",C1682)),"Tequila/Mezcal",
 ISNUMBER(SEARCH("MEZCAL",C1682)),"Tequila/Mezcal",
 ISNUMBER(SEARCH("RUM",C1682)),"Rum",
 ISNUMBER(SEARCH("BRAND",C1682)),"Brandy",
 ISNUMBER(SEARCH("COGNAC",C1682)),"Brandy",
 ISNUMBER(SEARCH("LIQUEUR",C1682)),"Liqueurs",
 ISNUMBER(SEARCH("CORDIAL",C1682)),"Liqueurs",
 ISNUMBER(SEARCH("SCHNAPP",C1682)),"Liqueurs",
 ISNUMBER(SEARCH("GIN",C1682)),"Gin",
 TRUE,"Other")</f>
        <v>Vodka</v>
      </c>
      <c r="E1682" s="5">
        <v>66161</v>
      </c>
      <c r="F1682" s="5">
        <v>1137409.7099999678</v>
      </c>
      <c r="G1682" s="5"/>
      <c r="H1682" s="5">
        <v>5351</v>
      </c>
    </row>
    <row r="1683" spans="1:8">
      <c r="A1683" s="5">
        <v>2023</v>
      </c>
      <c r="B1683" s="6">
        <v>45047</v>
      </c>
      <c r="C1683" s="5" t="s">
        <v>33</v>
      </c>
      <c r="D1683" s="3" t="str" cm="1">
        <f t="array" ref="D1683">_xlfn.IFS(
 ISNUMBER(SEARCH("WHISK",C1683)),"Whiskey",
 ISNUMBER(SEARCH("BOURBON",C1683)),"Whiskey",
 ISNUMBER(SEARCH("SCOTCH",C1683)),"Whiskey",
 ISNUMBER(SEARCH("RYE",C1683)),"Whiskey",
 ISNUMBER(SEARCH("VODKA",C1683)),"Vodka",
 ISNUMBER(SEARCH("TEQUILA",C1683)),"Tequila/Mezcal",
 ISNUMBER(SEARCH("MEZCAL",C1683)),"Tequila/Mezcal",
 ISNUMBER(SEARCH("RUM",C1683)),"Rum",
 ISNUMBER(SEARCH("BRAND",C1683)),"Brandy",
 ISNUMBER(SEARCH("COGNAC",C1683)),"Brandy",
 ISNUMBER(SEARCH("LIQUEUR",C1683)),"Liqueurs",
 ISNUMBER(SEARCH("CORDIAL",C1683)),"Liqueurs",
 ISNUMBER(SEARCH("SCHNAPP",C1683)),"Liqueurs",
 ISNUMBER(SEARCH("GIN",C1683)),"Gin",
 TRUE,"Other")</f>
        <v>Whiskey</v>
      </c>
      <c r="E1683" s="5">
        <v>26379</v>
      </c>
      <c r="F1683" s="5">
        <v>735249.96999998915</v>
      </c>
      <c r="G1683" s="5"/>
      <c r="H1683" s="5">
        <v>2866</v>
      </c>
    </row>
    <row r="1684" spans="1:8">
      <c r="A1684" s="5">
        <v>2023</v>
      </c>
      <c r="B1684" s="6">
        <v>45047</v>
      </c>
      <c r="C1684" s="5" t="s">
        <v>35</v>
      </c>
      <c r="D1684" s="3" t="str" cm="1">
        <f t="array" ref="D1684">_xlfn.IFS(
 ISNUMBER(SEARCH("WHISK",C1684)),"Whiskey",
 ISNUMBER(SEARCH("BOURBON",C1684)),"Whiskey",
 ISNUMBER(SEARCH("SCOTCH",C1684)),"Whiskey",
 ISNUMBER(SEARCH("RYE",C1684)),"Whiskey",
 ISNUMBER(SEARCH("VODKA",C1684)),"Vodka",
 ISNUMBER(SEARCH("TEQUILA",C1684)),"Tequila/Mezcal",
 ISNUMBER(SEARCH("MEZCAL",C1684)),"Tequila/Mezcal",
 ISNUMBER(SEARCH("RUM",C1684)),"Rum",
 ISNUMBER(SEARCH("BRAND",C1684)),"Brandy",
 ISNUMBER(SEARCH("COGNAC",C1684)),"Brandy",
 ISNUMBER(SEARCH("LIQUEUR",C1684)),"Liqueurs",
 ISNUMBER(SEARCH("CORDIAL",C1684)),"Liqueurs",
 ISNUMBER(SEARCH("SCHNAPP",C1684)),"Liqueurs",
 ISNUMBER(SEARCH("GIN",C1684)),"Gin",
 TRUE,"Other")</f>
        <v>Tequila/Mezcal</v>
      </c>
      <c r="E1684" s="5">
        <v>76620</v>
      </c>
      <c r="F1684" s="5">
        <v>1074350.8999999908</v>
      </c>
      <c r="G1684" s="5"/>
      <c r="H1684" s="5">
        <v>5485</v>
      </c>
    </row>
    <row r="1685" spans="1:8">
      <c r="A1685" s="5">
        <v>2023</v>
      </c>
      <c r="B1685" s="6">
        <v>45047</v>
      </c>
      <c r="C1685" s="5" t="s">
        <v>37</v>
      </c>
      <c r="D1685" s="3" t="str" cm="1">
        <f t="array" ref="D1685">_xlfn.IFS(
 ISNUMBER(SEARCH("WHISK",C1685)),"Whiskey",
 ISNUMBER(SEARCH("BOURBON",C1685)),"Whiskey",
 ISNUMBER(SEARCH("SCOTCH",C1685)),"Whiskey",
 ISNUMBER(SEARCH("RYE",C1685)),"Whiskey",
 ISNUMBER(SEARCH("VODKA",C1685)),"Vodka",
 ISNUMBER(SEARCH("TEQUILA",C1685)),"Tequila/Mezcal",
 ISNUMBER(SEARCH("MEZCAL",C1685)),"Tequila/Mezcal",
 ISNUMBER(SEARCH("RUM",C1685)),"Rum",
 ISNUMBER(SEARCH("BRAND",C1685)),"Brandy",
 ISNUMBER(SEARCH("COGNAC",C1685)),"Brandy",
 ISNUMBER(SEARCH("LIQUEUR",C1685)),"Liqueurs",
 ISNUMBER(SEARCH("CORDIAL",C1685)),"Liqueurs",
 ISNUMBER(SEARCH("SCHNAPP",C1685)),"Liqueurs",
 ISNUMBER(SEARCH("GIN",C1685)),"Gin",
 TRUE,"Other")</f>
        <v>Other</v>
      </c>
      <c r="E1685" s="5">
        <v>18520</v>
      </c>
      <c r="F1685" s="5">
        <v>315144.67000000313</v>
      </c>
      <c r="G1685" s="5"/>
      <c r="H1685" s="5">
        <v>3989</v>
      </c>
    </row>
    <row r="1686" spans="1:8">
      <c r="A1686" s="5">
        <v>2023</v>
      </c>
      <c r="B1686" s="6">
        <v>45047</v>
      </c>
      <c r="C1686" s="5" t="s">
        <v>38</v>
      </c>
      <c r="D1686" s="3" t="str" cm="1">
        <f t="array" ref="D1686">_xlfn.IFS(
 ISNUMBER(SEARCH("WHISK",C1686)),"Whiskey",
 ISNUMBER(SEARCH("BOURBON",C1686)),"Whiskey",
 ISNUMBER(SEARCH("SCOTCH",C1686)),"Whiskey",
 ISNUMBER(SEARCH("RYE",C1686)),"Whiskey",
 ISNUMBER(SEARCH("VODKA",C1686)),"Vodka",
 ISNUMBER(SEARCH("TEQUILA",C1686)),"Tequila/Mezcal",
 ISNUMBER(SEARCH("MEZCAL",C1686)),"Tequila/Mezcal",
 ISNUMBER(SEARCH("RUM",C1686)),"Rum",
 ISNUMBER(SEARCH("BRAND",C1686)),"Brandy",
 ISNUMBER(SEARCH("COGNAC",C1686)),"Brandy",
 ISNUMBER(SEARCH("LIQUEUR",C1686)),"Liqueurs",
 ISNUMBER(SEARCH("CORDIAL",C1686)),"Liqueurs",
 ISNUMBER(SEARCH("SCHNAPP",C1686)),"Liqueurs",
 ISNUMBER(SEARCH("GIN",C1686)),"Gin",
 TRUE,"Other")</f>
        <v>Whiskey</v>
      </c>
      <c r="E1686" s="5">
        <v>16755</v>
      </c>
      <c r="F1686" s="5">
        <v>487277.70999999903</v>
      </c>
      <c r="G1686" s="5"/>
      <c r="H1686" s="5">
        <v>2798</v>
      </c>
    </row>
    <row r="1687" spans="1:8">
      <c r="A1687" s="5">
        <v>2023</v>
      </c>
      <c r="B1687" s="6">
        <v>45047</v>
      </c>
      <c r="C1687" s="5" t="s">
        <v>39</v>
      </c>
      <c r="D1687" s="3" t="str" cm="1">
        <f t="array" ref="D1687">_xlfn.IFS(
 ISNUMBER(SEARCH("WHISK",C1687)),"Whiskey",
 ISNUMBER(SEARCH("BOURBON",C1687)),"Whiskey",
 ISNUMBER(SEARCH("SCOTCH",C1687)),"Whiskey",
 ISNUMBER(SEARCH("RYE",C1687)),"Whiskey",
 ISNUMBER(SEARCH("VODKA",C1687)),"Vodka",
 ISNUMBER(SEARCH("TEQUILA",C1687)),"Tequila/Mezcal",
 ISNUMBER(SEARCH("MEZCAL",C1687)),"Tequila/Mezcal",
 ISNUMBER(SEARCH("RUM",C1687)),"Rum",
 ISNUMBER(SEARCH("BRAND",C1687)),"Brandy",
 ISNUMBER(SEARCH("COGNAC",C1687)),"Brandy",
 ISNUMBER(SEARCH("LIQUEUR",C1687)),"Liqueurs",
 ISNUMBER(SEARCH("CORDIAL",C1687)),"Liqueurs",
 ISNUMBER(SEARCH("SCHNAPP",C1687)),"Liqueurs",
 ISNUMBER(SEARCH("GIN",C1687)),"Gin",
 TRUE,"Other")</f>
        <v>Whiskey</v>
      </c>
      <c r="E1687" s="5">
        <v>3270</v>
      </c>
      <c r="F1687" s="5">
        <v>133752.47999999998</v>
      </c>
      <c r="G1687" s="5"/>
      <c r="H1687" s="5">
        <v>514</v>
      </c>
    </row>
    <row r="1688" spans="1:8">
      <c r="A1688" s="5">
        <v>2023</v>
      </c>
      <c r="B1688" s="6">
        <v>45047</v>
      </c>
      <c r="C1688" s="5" t="s">
        <v>40</v>
      </c>
      <c r="D1688" s="3" t="str" cm="1">
        <f t="array" ref="D1688">_xlfn.IFS(
 ISNUMBER(SEARCH("WHISK",C1688)),"Whiskey",
 ISNUMBER(SEARCH("BOURBON",C1688)),"Whiskey",
 ISNUMBER(SEARCH("SCOTCH",C1688)),"Whiskey",
 ISNUMBER(SEARCH("RYE",C1688)),"Whiskey",
 ISNUMBER(SEARCH("VODKA",C1688)),"Vodka",
 ISNUMBER(SEARCH("TEQUILA",C1688)),"Tequila/Mezcal",
 ISNUMBER(SEARCH("MEZCAL",C1688)),"Tequila/Mezcal",
 ISNUMBER(SEARCH("RUM",C1688)),"Rum",
 ISNUMBER(SEARCH("BRAND",C1688)),"Brandy",
 ISNUMBER(SEARCH("COGNAC",C1688)),"Brandy",
 ISNUMBER(SEARCH("LIQUEUR",C1688)),"Liqueurs",
 ISNUMBER(SEARCH("CORDIAL",C1688)),"Liqueurs",
 ISNUMBER(SEARCH("SCHNAPP",C1688)),"Liqueurs",
 ISNUMBER(SEARCH("GIN",C1688)),"Gin",
 TRUE,"Other")</f>
        <v>Whiskey</v>
      </c>
      <c r="E1688" s="5">
        <v>6878</v>
      </c>
      <c r="F1688" s="5">
        <v>346870.94999999925</v>
      </c>
      <c r="G1688" s="5"/>
      <c r="H1688" s="5">
        <v>1471</v>
      </c>
    </row>
    <row r="1689" spans="1:8">
      <c r="A1689" s="5">
        <v>2023</v>
      </c>
      <c r="B1689" s="6">
        <v>45047</v>
      </c>
      <c r="C1689" s="5" t="s">
        <v>42</v>
      </c>
      <c r="D1689" s="3" t="str" cm="1">
        <f t="array" ref="D1689">_xlfn.IFS(
 ISNUMBER(SEARCH("WHISK",C1689)),"Whiskey",
 ISNUMBER(SEARCH("BOURBON",C1689)),"Whiskey",
 ISNUMBER(SEARCH("SCOTCH",C1689)),"Whiskey",
 ISNUMBER(SEARCH("RYE",C1689)),"Whiskey",
 ISNUMBER(SEARCH("VODKA",C1689)),"Vodka",
 ISNUMBER(SEARCH("TEQUILA",C1689)),"Tequila/Mezcal",
 ISNUMBER(SEARCH("MEZCAL",C1689)),"Tequila/Mezcal",
 ISNUMBER(SEARCH("RUM",C1689)),"Rum",
 ISNUMBER(SEARCH("BRAND",C1689)),"Brandy",
 ISNUMBER(SEARCH("COGNAC",C1689)),"Brandy",
 ISNUMBER(SEARCH("LIQUEUR",C1689)),"Liqueurs",
 ISNUMBER(SEARCH("CORDIAL",C1689)),"Liqueurs",
 ISNUMBER(SEARCH("SCHNAPP",C1689)),"Liqueurs",
 ISNUMBER(SEARCH("GIN",C1689)),"Gin",
 TRUE,"Other")</f>
        <v>Rum</v>
      </c>
      <c r="E1689" s="5">
        <v>122097</v>
      </c>
      <c r="F1689" s="5">
        <v>1814039.4699999799</v>
      </c>
      <c r="G1689" s="5"/>
      <c r="H1689" s="5">
        <v>8697</v>
      </c>
    </row>
    <row r="1690" spans="1:8">
      <c r="A1690" s="5">
        <v>2023</v>
      </c>
      <c r="B1690" s="6">
        <v>45047</v>
      </c>
      <c r="C1690" s="5" t="s">
        <v>43</v>
      </c>
      <c r="D1690" s="3" t="str" cm="1">
        <f t="array" ref="D1690">_xlfn.IFS(
 ISNUMBER(SEARCH("WHISK",C1690)),"Whiskey",
 ISNUMBER(SEARCH("BOURBON",C1690)),"Whiskey",
 ISNUMBER(SEARCH("SCOTCH",C1690)),"Whiskey",
 ISNUMBER(SEARCH("RYE",C1690)),"Whiskey",
 ISNUMBER(SEARCH("VODKA",C1690)),"Vodka",
 ISNUMBER(SEARCH("TEQUILA",C1690)),"Tequila/Mezcal",
 ISNUMBER(SEARCH("MEZCAL",C1690)),"Tequila/Mezcal",
 ISNUMBER(SEARCH("RUM",C1690)),"Rum",
 ISNUMBER(SEARCH("BRAND",C1690)),"Brandy",
 ISNUMBER(SEARCH("COGNAC",C1690)),"Brandy",
 ISNUMBER(SEARCH("LIQUEUR",C1690)),"Liqueurs",
 ISNUMBER(SEARCH("CORDIAL",C1690)),"Liqueurs",
 ISNUMBER(SEARCH("SCHNAPP",C1690)),"Liqueurs",
 ISNUMBER(SEARCH("GIN",C1690)),"Gin",
 TRUE,"Other")</f>
        <v>Whiskey</v>
      </c>
      <c r="E1690" s="5">
        <v>144173</v>
      </c>
      <c r="F1690" s="5">
        <v>3306687.9099999946</v>
      </c>
      <c r="G1690" s="5"/>
      <c r="H1690" s="5">
        <v>17166</v>
      </c>
    </row>
    <row r="1691" spans="1:8">
      <c r="A1691" s="5">
        <v>2023</v>
      </c>
      <c r="B1691" s="6">
        <v>45047</v>
      </c>
      <c r="C1691" s="5" t="s">
        <v>45</v>
      </c>
      <c r="D1691" s="3" t="str" cm="1">
        <f t="array" ref="D1691">_xlfn.IFS(
 ISNUMBER(SEARCH("WHISK",C1691)),"Whiskey",
 ISNUMBER(SEARCH("BOURBON",C1691)),"Whiskey",
 ISNUMBER(SEARCH("SCOTCH",C1691)),"Whiskey",
 ISNUMBER(SEARCH("RYE",C1691)),"Whiskey",
 ISNUMBER(SEARCH("VODKA",C1691)),"Vodka",
 ISNUMBER(SEARCH("TEQUILA",C1691)),"Tequila/Mezcal",
 ISNUMBER(SEARCH("MEZCAL",C1691)),"Tequila/Mezcal",
 ISNUMBER(SEARCH("RUM",C1691)),"Rum",
 ISNUMBER(SEARCH("BRAND",C1691)),"Brandy",
 ISNUMBER(SEARCH("COGNAC",C1691)),"Brandy",
 ISNUMBER(SEARCH("LIQUEUR",C1691)),"Liqueurs",
 ISNUMBER(SEARCH("CORDIAL",C1691)),"Liqueurs",
 ISNUMBER(SEARCH("SCHNAPP",C1691)),"Liqueurs",
 ISNUMBER(SEARCH("GIN",C1691)),"Gin",
 TRUE,"Other")</f>
        <v>Other</v>
      </c>
      <c r="E1691" s="5">
        <v>9332</v>
      </c>
      <c r="F1691" s="5">
        <v>314669.9499999999</v>
      </c>
      <c r="G1691" s="5"/>
      <c r="H1691" s="5">
        <v>2483</v>
      </c>
    </row>
    <row r="1692" spans="1:8">
      <c r="A1692" s="5">
        <v>2023</v>
      </c>
      <c r="B1692" s="6">
        <v>45047</v>
      </c>
      <c r="C1692" s="5" t="s">
        <v>46</v>
      </c>
      <c r="D1692" s="3" t="str" cm="1">
        <f t="array" ref="D1692">_xlfn.IFS(
 ISNUMBER(SEARCH("WHISK",C1692)),"Whiskey",
 ISNUMBER(SEARCH("BOURBON",C1692)),"Whiskey",
 ISNUMBER(SEARCH("SCOTCH",C1692)),"Whiskey",
 ISNUMBER(SEARCH("RYE",C1692)),"Whiskey",
 ISNUMBER(SEARCH("VODKA",C1692)),"Vodka",
 ISNUMBER(SEARCH("TEQUILA",C1692)),"Tequila/Mezcal",
 ISNUMBER(SEARCH("MEZCAL",C1692)),"Tequila/Mezcal",
 ISNUMBER(SEARCH("RUM",C1692)),"Rum",
 ISNUMBER(SEARCH("BRAND",C1692)),"Brandy",
 ISNUMBER(SEARCH("COGNAC",C1692)),"Brandy",
 ISNUMBER(SEARCH("LIQUEUR",C1692)),"Liqueurs",
 ISNUMBER(SEARCH("CORDIAL",C1692)),"Liqueurs",
 ISNUMBER(SEARCH("SCHNAPP",C1692)),"Liqueurs",
 ISNUMBER(SEARCH("GIN",C1692)),"Gin",
 TRUE,"Other")</f>
        <v>Whiskey</v>
      </c>
      <c r="E1692" s="5">
        <v>59934</v>
      </c>
      <c r="F1692" s="5">
        <v>1376273.6899999597</v>
      </c>
      <c r="G1692" s="5"/>
      <c r="H1692" s="5">
        <v>6748</v>
      </c>
    </row>
    <row r="1693" spans="1:8">
      <c r="A1693" s="5">
        <v>2023</v>
      </c>
      <c r="B1693" s="6">
        <v>45047</v>
      </c>
      <c r="C1693" s="5" t="s">
        <v>47</v>
      </c>
      <c r="D1693" s="3" t="str" cm="1">
        <f t="array" ref="D1693">_xlfn.IFS(
 ISNUMBER(SEARCH("WHISK",C1693)),"Whiskey",
 ISNUMBER(SEARCH("BOURBON",C1693)),"Whiskey",
 ISNUMBER(SEARCH("SCOTCH",C1693)),"Whiskey",
 ISNUMBER(SEARCH("RYE",C1693)),"Whiskey",
 ISNUMBER(SEARCH("VODKA",C1693)),"Vodka",
 ISNUMBER(SEARCH("TEQUILA",C1693)),"Tequila/Mezcal",
 ISNUMBER(SEARCH("MEZCAL",C1693)),"Tequila/Mezcal",
 ISNUMBER(SEARCH("RUM",C1693)),"Rum",
 ISNUMBER(SEARCH("BRAND",C1693)),"Brandy",
 ISNUMBER(SEARCH("COGNAC",C1693)),"Brandy",
 ISNUMBER(SEARCH("LIQUEUR",C1693)),"Liqueurs",
 ISNUMBER(SEARCH("CORDIAL",C1693)),"Liqueurs",
 ISNUMBER(SEARCH("SCHNAPP",C1693)),"Liqueurs",
 ISNUMBER(SEARCH("GIN",C1693)),"Gin",
 TRUE,"Other")</f>
        <v>Other</v>
      </c>
      <c r="E1693" s="5">
        <v>22405</v>
      </c>
      <c r="F1693" s="5">
        <v>93275.389999999505</v>
      </c>
      <c r="G1693" s="5"/>
      <c r="H1693" s="5">
        <v>833</v>
      </c>
    </row>
    <row r="1694" spans="1:8">
      <c r="A1694" s="5">
        <v>2023</v>
      </c>
      <c r="B1694" s="6">
        <v>45047</v>
      </c>
      <c r="C1694" s="5" t="s">
        <v>48</v>
      </c>
      <c r="D1694" s="3" t="str" cm="1">
        <f t="array" ref="D1694">_xlfn.IFS(
 ISNUMBER(SEARCH("WHISK",C1694)),"Whiskey",
 ISNUMBER(SEARCH("BOURBON",C1694)),"Whiskey",
 ISNUMBER(SEARCH("SCOTCH",C1694)),"Whiskey",
 ISNUMBER(SEARCH("RYE",C1694)),"Whiskey",
 ISNUMBER(SEARCH("VODKA",C1694)),"Vodka",
 ISNUMBER(SEARCH("TEQUILA",C1694)),"Tequila/Mezcal",
 ISNUMBER(SEARCH("MEZCAL",C1694)),"Tequila/Mezcal",
 ISNUMBER(SEARCH("RUM",C1694)),"Rum",
 ISNUMBER(SEARCH("BRAND",C1694)),"Brandy",
 ISNUMBER(SEARCH("COGNAC",C1694)),"Brandy",
 ISNUMBER(SEARCH("LIQUEUR",C1694)),"Liqueurs",
 ISNUMBER(SEARCH("CORDIAL",C1694)),"Liqueurs",
 ISNUMBER(SEARCH("SCHNAPP",C1694)),"Liqueurs",
 ISNUMBER(SEARCH("GIN",C1694)),"Gin",
 TRUE,"Other")</f>
        <v>Whiskey</v>
      </c>
      <c r="E1694" s="5">
        <v>386088</v>
      </c>
      <c r="F1694" s="5">
        <v>2370438.0299999318</v>
      </c>
      <c r="G1694" s="5"/>
      <c r="H1694" s="5">
        <v>14934</v>
      </c>
    </row>
    <row r="1695" spans="1:8">
      <c r="A1695" s="5">
        <v>2023</v>
      </c>
      <c r="B1695" s="6">
        <v>45047</v>
      </c>
      <c r="C1695" s="5" t="s">
        <v>49</v>
      </c>
      <c r="D1695" s="3" t="str" cm="1">
        <f t="array" ref="D1695">_xlfn.IFS(
 ISNUMBER(SEARCH("WHISK",C1695)),"Whiskey",
 ISNUMBER(SEARCH("BOURBON",C1695)),"Whiskey",
 ISNUMBER(SEARCH("SCOTCH",C1695)),"Whiskey",
 ISNUMBER(SEARCH("RYE",C1695)),"Whiskey",
 ISNUMBER(SEARCH("VODKA",C1695)),"Vodka",
 ISNUMBER(SEARCH("TEQUILA",C1695)),"Tequila/Mezcal",
 ISNUMBER(SEARCH("MEZCAL",C1695)),"Tequila/Mezcal",
 ISNUMBER(SEARCH("RUM",C1695)),"Rum",
 ISNUMBER(SEARCH("BRAND",C1695)),"Brandy",
 ISNUMBER(SEARCH("COGNAC",C1695)),"Brandy",
 ISNUMBER(SEARCH("LIQUEUR",C1695)),"Liqueurs",
 ISNUMBER(SEARCH("CORDIAL",C1695)),"Liqueurs",
 ISNUMBER(SEARCH("SCHNAPP",C1695)),"Liqueurs",
 ISNUMBER(SEARCH("GIN",C1695)),"Gin",
 TRUE,"Other")</f>
        <v>Rum</v>
      </c>
      <c r="E1695" s="5">
        <v>46850</v>
      </c>
      <c r="F1695" s="5">
        <v>587648.21000000439</v>
      </c>
      <c r="G1695" s="5"/>
      <c r="H1695" s="5">
        <v>4044</v>
      </c>
    </row>
    <row r="1696" spans="1:8">
      <c r="A1696" s="5">
        <v>2023</v>
      </c>
      <c r="B1696" s="6">
        <v>45047</v>
      </c>
      <c r="C1696" s="5" t="s">
        <v>44</v>
      </c>
      <c r="D1696" s="3" t="str" cm="1">
        <f t="array" ref="D1696">_xlfn.IFS(
 ISNUMBER(SEARCH("WHISK",C1696)),"Whiskey",
 ISNUMBER(SEARCH("BOURBON",C1696)),"Whiskey",
 ISNUMBER(SEARCH("SCOTCH",C1696)),"Whiskey",
 ISNUMBER(SEARCH("RYE",C1696)),"Whiskey",
 ISNUMBER(SEARCH("VODKA",C1696)),"Vodka",
 ISNUMBER(SEARCH("TEQUILA",C1696)),"Tequila/Mezcal",
 ISNUMBER(SEARCH("MEZCAL",C1696)),"Tequila/Mezcal",
 ISNUMBER(SEARCH("RUM",C1696)),"Rum",
 ISNUMBER(SEARCH("BRAND",C1696)),"Brandy",
 ISNUMBER(SEARCH("COGNAC",C1696)),"Brandy",
 ISNUMBER(SEARCH("LIQUEUR",C1696)),"Liqueurs",
 ISNUMBER(SEARCH("CORDIAL",C1696)),"Liqueurs",
 ISNUMBER(SEARCH("SCHNAPP",C1696)),"Liqueurs",
 ISNUMBER(SEARCH("GIN",C1696)),"Gin",
 TRUE,"Other")</f>
        <v>Whiskey</v>
      </c>
      <c r="E1696" s="5">
        <v>10131</v>
      </c>
      <c r="F1696" s="5">
        <v>354964.30000000325</v>
      </c>
      <c r="G1696" s="5"/>
      <c r="H1696" s="5">
        <v>2025</v>
      </c>
    </row>
    <row r="1697" spans="1:8">
      <c r="A1697" s="5">
        <v>2023</v>
      </c>
      <c r="B1697" s="6">
        <v>45047</v>
      </c>
      <c r="C1697" s="5" t="s">
        <v>25</v>
      </c>
      <c r="D1697" s="3" t="str" cm="1">
        <f t="array" ref="D1697">_xlfn.IFS(
 ISNUMBER(SEARCH("WHISK",C1697)),"Whiskey",
 ISNUMBER(SEARCH("BOURBON",C1697)),"Whiskey",
 ISNUMBER(SEARCH("SCOTCH",C1697)),"Whiskey",
 ISNUMBER(SEARCH("RYE",C1697)),"Whiskey",
 ISNUMBER(SEARCH("VODKA",C1697)),"Vodka",
 ISNUMBER(SEARCH("TEQUILA",C1697)),"Tequila/Mezcal",
 ISNUMBER(SEARCH("MEZCAL",C1697)),"Tequila/Mezcal",
 ISNUMBER(SEARCH("RUM",C1697)),"Rum",
 ISNUMBER(SEARCH("BRAND",C1697)),"Brandy",
 ISNUMBER(SEARCH("COGNAC",C1697)),"Brandy",
 ISNUMBER(SEARCH("LIQUEUR",C1697)),"Liqueurs",
 ISNUMBER(SEARCH("CORDIAL",C1697)),"Liqueurs",
 ISNUMBER(SEARCH("SCHNAPP",C1697)),"Liqueurs",
 ISNUMBER(SEARCH("GIN",C1697)),"Gin",
 TRUE,"Other")</f>
        <v>Rum</v>
      </c>
      <c r="E1697" s="5">
        <v>7161</v>
      </c>
      <c r="F1697" s="5">
        <v>96799.969999999725</v>
      </c>
      <c r="G1697" s="5"/>
      <c r="H1697" s="5">
        <v>999</v>
      </c>
    </row>
    <row r="1698" spans="1:8">
      <c r="A1698" s="5">
        <v>2023</v>
      </c>
      <c r="B1698" s="6">
        <v>45047</v>
      </c>
      <c r="C1698" s="5" t="s">
        <v>28</v>
      </c>
      <c r="D1698" s="3" t="str" cm="1">
        <f t="array" ref="D1698">_xlfn.IFS(
 ISNUMBER(SEARCH("WHISK",C1698)),"Whiskey",
 ISNUMBER(SEARCH("BOURBON",C1698)),"Whiskey",
 ISNUMBER(SEARCH("SCOTCH",C1698)),"Whiskey",
 ISNUMBER(SEARCH("RYE",C1698)),"Whiskey",
 ISNUMBER(SEARCH("VODKA",C1698)),"Vodka",
 ISNUMBER(SEARCH("TEQUILA",C1698)),"Tequila/Mezcal",
 ISNUMBER(SEARCH("MEZCAL",C1698)),"Tequila/Mezcal",
 ISNUMBER(SEARCH("RUM",C1698)),"Rum",
 ISNUMBER(SEARCH("BRAND",C1698)),"Brandy",
 ISNUMBER(SEARCH("COGNAC",C1698)),"Brandy",
 ISNUMBER(SEARCH("LIQUEUR",C1698)),"Liqueurs",
 ISNUMBER(SEARCH("CORDIAL",C1698)),"Liqueurs",
 ISNUMBER(SEARCH("SCHNAPP",C1698)),"Liqueurs",
 ISNUMBER(SEARCH("GIN",C1698)),"Gin",
 TRUE,"Other")</f>
        <v>Other</v>
      </c>
      <c r="E1698" s="5">
        <v>32820</v>
      </c>
      <c r="F1698" s="5">
        <v>260882.47999999954</v>
      </c>
      <c r="G1698" s="5"/>
      <c r="H1698" s="5">
        <v>588</v>
      </c>
    </row>
    <row r="1699" spans="1:8">
      <c r="A1699" s="5">
        <v>2023</v>
      </c>
      <c r="B1699" s="6">
        <v>45047</v>
      </c>
      <c r="C1699" s="5" t="s">
        <v>21</v>
      </c>
      <c r="D1699" s="3" t="str" cm="1">
        <f t="array" ref="D1699">_xlfn.IFS(
 ISNUMBER(SEARCH("WHISK",C1699)),"Whiskey",
 ISNUMBER(SEARCH("BOURBON",C1699)),"Whiskey",
 ISNUMBER(SEARCH("SCOTCH",C1699)),"Whiskey",
 ISNUMBER(SEARCH("RYE",C1699)),"Whiskey",
 ISNUMBER(SEARCH("VODKA",C1699)),"Vodka",
 ISNUMBER(SEARCH("TEQUILA",C1699)),"Tequila/Mezcal",
 ISNUMBER(SEARCH("MEZCAL",C1699)),"Tequila/Mezcal",
 ISNUMBER(SEARCH("RUM",C1699)),"Rum",
 ISNUMBER(SEARCH("BRAND",C1699)),"Brandy",
 ISNUMBER(SEARCH("COGNAC",C1699)),"Brandy",
 ISNUMBER(SEARCH("LIQUEUR",C1699)),"Liqueurs",
 ISNUMBER(SEARCH("CORDIAL",C1699)),"Liqueurs",
 ISNUMBER(SEARCH("SCHNAPP",C1699)),"Liqueurs",
 ISNUMBER(SEARCH("GIN",C1699)),"Gin",
 TRUE,"Other")</f>
        <v>Whiskey</v>
      </c>
      <c r="E1699" s="5">
        <v>922</v>
      </c>
      <c r="F1699" s="5">
        <v>21402.579999999998</v>
      </c>
      <c r="G1699" s="5"/>
      <c r="H1699" s="5">
        <v>138</v>
      </c>
    </row>
    <row r="1700" spans="1:8">
      <c r="A1700" s="5">
        <v>2023</v>
      </c>
      <c r="B1700" s="6">
        <v>45047</v>
      </c>
      <c r="C1700" s="5" t="s">
        <v>14</v>
      </c>
      <c r="D1700" s="3" t="str" cm="1">
        <f t="array" ref="D1700">_xlfn.IFS(
 ISNUMBER(SEARCH("WHISK",C1700)),"Whiskey",
 ISNUMBER(SEARCH("BOURBON",C1700)),"Whiskey",
 ISNUMBER(SEARCH("SCOTCH",C1700)),"Whiskey",
 ISNUMBER(SEARCH("RYE",C1700)),"Whiskey",
 ISNUMBER(SEARCH("VODKA",C1700)),"Vodka",
 ISNUMBER(SEARCH("TEQUILA",C1700)),"Tequila/Mezcal",
 ISNUMBER(SEARCH("MEZCAL",C1700)),"Tequila/Mezcal",
 ISNUMBER(SEARCH("RUM",C1700)),"Rum",
 ISNUMBER(SEARCH("BRAND",C1700)),"Brandy",
 ISNUMBER(SEARCH("COGNAC",C1700)),"Brandy",
 ISNUMBER(SEARCH("LIQUEUR",C1700)),"Liqueurs",
 ISNUMBER(SEARCH("CORDIAL",C1700)),"Liqueurs",
 ISNUMBER(SEARCH("SCHNAPP",C1700)),"Liqueurs",
 ISNUMBER(SEARCH("GIN",C1700)),"Gin",
 TRUE,"Other")</f>
        <v>Gin</v>
      </c>
      <c r="E1700" s="5">
        <v>249</v>
      </c>
      <c r="F1700" s="5">
        <v>2126.4599999999987</v>
      </c>
      <c r="G1700" s="5"/>
      <c r="H1700" s="5">
        <v>47</v>
      </c>
    </row>
    <row r="1701" spans="1:8">
      <c r="A1701" s="5">
        <v>2023</v>
      </c>
      <c r="B1701" s="6">
        <v>45047</v>
      </c>
      <c r="C1701" s="5" t="s">
        <v>36</v>
      </c>
      <c r="D1701" s="3" t="str" cm="1">
        <f t="array" ref="D1701">_xlfn.IFS(
 ISNUMBER(SEARCH("WHISK",C1701)),"Whiskey",
 ISNUMBER(SEARCH("BOURBON",C1701)),"Whiskey",
 ISNUMBER(SEARCH("SCOTCH",C1701)),"Whiskey",
 ISNUMBER(SEARCH("RYE",C1701)),"Whiskey",
 ISNUMBER(SEARCH("VODKA",C1701)),"Vodka",
 ISNUMBER(SEARCH("TEQUILA",C1701)),"Tequila/Mezcal",
 ISNUMBER(SEARCH("MEZCAL",C1701)),"Tequila/Mezcal",
 ISNUMBER(SEARCH("RUM",C1701)),"Rum",
 ISNUMBER(SEARCH("BRAND",C1701)),"Brandy",
 ISNUMBER(SEARCH("COGNAC",C1701)),"Brandy",
 ISNUMBER(SEARCH("LIQUEUR",C1701)),"Liqueurs",
 ISNUMBER(SEARCH("CORDIAL",C1701)),"Liqueurs",
 ISNUMBER(SEARCH("SCHNAPP",C1701)),"Liqueurs",
 ISNUMBER(SEARCH("GIN",C1701)),"Gin",
 TRUE,"Other")</f>
        <v>Other</v>
      </c>
      <c r="E1701" s="5">
        <v>2951</v>
      </c>
      <c r="F1701" s="5">
        <v>41342.18</v>
      </c>
      <c r="G1701" s="5"/>
      <c r="H1701" s="5">
        <v>390</v>
      </c>
    </row>
    <row r="1702" spans="1:8">
      <c r="A1702" s="5">
        <v>2023</v>
      </c>
      <c r="B1702" s="6">
        <v>45047</v>
      </c>
      <c r="C1702" s="5" t="s">
        <v>34</v>
      </c>
      <c r="D1702" s="3" t="str" cm="1">
        <f t="array" ref="D1702">_xlfn.IFS(
 ISNUMBER(SEARCH("WHISK",C1702)),"Whiskey",
 ISNUMBER(SEARCH("BOURBON",C1702)),"Whiskey",
 ISNUMBER(SEARCH("SCOTCH",C1702)),"Whiskey",
 ISNUMBER(SEARCH("RYE",C1702)),"Whiskey",
 ISNUMBER(SEARCH("VODKA",C1702)),"Vodka",
 ISNUMBER(SEARCH("TEQUILA",C1702)),"Tequila/Mezcal",
 ISNUMBER(SEARCH("MEZCAL",C1702)),"Tequila/Mezcal",
 ISNUMBER(SEARCH("RUM",C1702)),"Rum",
 ISNUMBER(SEARCH("BRAND",C1702)),"Brandy",
 ISNUMBER(SEARCH("COGNAC",C1702)),"Brandy",
 ISNUMBER(SEARCH("LIQUEUR",C1702)),"Liqueurs",
 ISNUMBER(SEARCH("CORDIAL",C1702)),"Liqueurs",
 ISNUMBER(SEARCH("SCHNAPP",C1702)),"Liqueurs",
 ISNUMBER(SEARCH("GIN",C1702)),"Gin",
 TRUE,"Other")</f>
        <v>Tequila/Mezcal</v>
      </c>
      <c r="E1702" s="5">
        <v>1555</v>
      </c>
      <c r="F1702" s="5">
        <v>51873.299999999988</v>
      </c>
      <c r="G1702" s="5"/>
      <c r="H1702" s="5">
        <v>319</v>
      </c>
    </row>
    <row r="1703" spans="1:8">
      <c r="A1703" s="5">
        <v>2023</v>
      </c>
      <c r="B1703" s="6">
        <v>45047</v>
      </c>
      <c r="C1703" s="5" t="s">
        <v>41</v>
      </c>
      <c r="D1703" s="3" t="str" cm="1">
        <f t="array" ref="D1703">_xlfn.IFS(
 ISNUMBER(SEARCH("WHISK",C1703)),"Whiskey",
 ISNUMBER(SEARCH("BOURBON",C1703)),"Whiskey",
 ISNUMBER(SEARCH("SCOTCH",C1703)),"Whiskey",
 ISNUMBER(SEARCH("RYE",C1703)),"Whiskey",
 ISNUMBER(SEARCH("VODKA",C1703)),"Vodka",
 ISNUMBER(SEARCH("TEQUILA",C1703)),"Tequila/Mezcal",
 ISNUMBER(SEARCH("MEZCAL",C1703)),"Tequila/Mezcal",
 ISNUMBER(SEARCH("RUM",C1703)),"Rum",
 ISNUMBER(SEARCH("BRAND",C1703)),"Brandy",
 ISNUMBER(SEARCH("COGNAC",C1703)),"Brandy",
 ISNUMBER(SEARCH("LIQUEUR",C1703)),"Liqueurs",
 ISNUMBER(SEARCH("CORDIAL",C1703)),"Liqueurs",
 ISNUMBER(SEARCH("SCHNAPP",C1703)),"Liqueurs",
 ISNUMBER(SEARCH("GIN",C1703)),"Gin",
 TRUE,"Other")</f>
        <v>Other</v>
      </c>
      <c r="E1703" s="5">
        <v>6595</v>
      </c>
      <c r="F1703" s="5">
        <v>94794.150000000009</v>
      </c>
      <c r="G1703" s="5"/>
      <c r="H1703" s="5">
        <v>234</v>
      </c>
    </row>
    <row r="1704" spans="1:8">
      <c r="A1704" s="5">
        <v>2023</v>
      </c>
      <c r="B1704" s="6">
        <v>45078</v>
      </c>
      <c r="C1704" s="5" t="s">
        <v>50</v>
      </c>
      <c r="D1704" s="3" t="str" cm="1">
        <f t="array" ref="D1704">_xlfn.IFS(
 ISNUMBER(SEARCH("WHISK",C1704)),"Whiskey",
 ISNUMBER(SEARCH("BOURBON",C1704)),"Whiskey",
 ISNUMBER(SEARCH("SCOTCH",C1704)),"Whiskey",
 ISNUMBER(SEARCH("RYE",C1704)),"Whiskey",
 ISNUMBER(SEARCH("VODKA",C1704)),"Vodka",
 ISNUMBER(SEARCH("TEQUILA",C1704)),"Tequila/Mezcal",
 ISNUMBER(SEARCH("MEZCAL",C1704)),"Tequila/Mezcal",
 ISNUMBER(SEARCH("RUM",C1704)),"Rum",
 ISNUMBER(SEARCH("BRAND",C1704)),"Brandy",
 ISNUMBER(SEARCH("COGNAC",C1704)),"Brandy",
 ISNUMBER(SEARCH("LIQUEUR",C1704)),"Liqueurs",
 ISNUMBER(SEARCH("CORDIAL",C1704)),"Liqueurs",
 ISNUMBER(SEARCH("SCHNAPP",C1704)),"Liqueurs",
 ISNUMBER(SEARCH("GIN",C1704)),"Gin",
 TRUE,"Other")</f>
        <v>Tequila/Mezcal</v>
      </c>
      <c r="E1704" s="5">
        <v>108652</v>
      </c>
      <c r="F1704" s="5">
        <v>3179775.4399999548</v>
      </c>
      <c r="G1704" s="5"/>
      <c r="H1704" s="5">
        <v>12735</v>
      </c>
    </row>
    <row r="1705" spans="1:8">
      <c r="A1705" s="5">
        <v>2023</v>
      </c>
      <c r="B1705" s="6">
        <v>45078</v>
      </c>
      <c r="C1705" s="5" t="s">
        <v>7</v>
      </c>
      <c r="D1705" s="3" t="str" cm="1">
        <f t="array" ref="D1705">_xlfn.IFS(
 ISNUMBER(SEARCH("WHISK",C1705)),"Whiskey",
 ISNUMBER(SEARCH("BOURBON",C1705)),"Whiskey",
 ISNUMBER(SEARCH("SCOTCH",C1705)),"Whiskey",
 ISNUMBER(SEARCH("RYE",C1705)),"Whiskey",
 ISNUMBER(SEARCH("VODKA",C1705)),"Vodka",
 ISNUMBER(SEARCH("TEQUILA",C1705)),"Tequila/Mezcal",
 ISNUMBER(SEARCH("MEZCAL",C1705)),"Tequila/Mezcal",
 ISNUMBER(SEARCH("RUM",C1705)),"Rum",
 ISNUMBER(SEARCH("BRAND",C1705)),"Brandy",
 ISNUMBER(SEARCH("COGNAC",C1705)),"Brandy",
 ISNUMBER(SEARCH("LIQUEUR",C1705)),"Liqueurs",
 ISNUMBER(SEARCH("CORDIAL",C1705)),"Liqueurs",
 ISNUMBER(SEARCH("SCHNAPP",C1705)),"Liqueurs",
 ISNUMBER(SEARCH("GIN",C1705)),"Gin",
 TRUE,"Other")</f>
        <v>Rum</v>
      </c>
      <c r="E1705" s="5">
        <v>4076</v>
      </c>
      <c r="F1705" s="5">
        <v>84269.180000000109</v>
      </c>
      <c r="G1705" s="5"/>
      <c r="H1705" s="5">
        <v>663</v>
      </c>
    </row>
    <row r="1706" spans="1:8">
      <c r="A1706" s="5">
        <v>2023</v>
      </c>
      <c r="B1706" s="6">
        <v>45078</v>
      </c>
      <c r="C1706" s="5" t="s">
        <v>8</v>
      </c>
      <c r="D1706" s="3" t="str" cm="1">
        <f t="array" ref="D1706">_xlfn.IFS(
 ISNUMBER(SEARCH("WHISK",C1706)),"Whiskey",
 ISNUMBER(SEARCH("BOURBON",C1706)),"Whiskey",
 ISNUMBER(SEARCH("SCOTCH",C1706)),"Whiskey",
 ISNUMBER(SEARCH("RYE",C1706)),"Whiskey",
 ISNUMBER(SEARCH("VODKA",C1706)),"Vodka",
 ISNUMBER(SEARCH("TEQUILA",C1706)),"Tequila/Mezcal",
 ISNUMBER(SEARCH("MEZCAL",C1706)),"Tequila/Mezcal",
 ISNUMBER(SEARCH("RUM",C1706)),"Rum",
 ISNUMBER(SEARCH("BRAND",C1706)),"Brandy",
 ISNUMBER(SEARCH("COGNAC",C1706)),"Brandy",
 ISNUMBER(SEARCH("LIQUEUR",C1706)),"Liqueurs",
 ISNUMBER(SEARCH("CORDIAL",C1706)),"Liqueurs",
 ISNUMBER(SEARCH("SCHNAPP",C1706)),"Liqueurs",
 ISNUMBER(SEARCH("GIN",C1706)),"Gin",
 TRUE,"Other")</f>
        <v>Brandy</v>
      </c>
      <c r="E1706" s="5">
        <v>61686</v>
      </c>
      <c r="F1706" s="5">
        <v>399933.73000000161</v>
      </c>
      <c r="G1706" s="5"/>
      <c r="H1706" s="5">
        <v>5004</v>
      </c>
    </row>
    <row r="1707" spans="1:8">
      <c r="A1707" s="5">
        <v>2023</v>
      </c>
      <c r="B1707" s="6">
        <v>45078</v>
      </c>
      <c r="C1707" s="5" t="s">
        <v>59</v>
      </c>
      <c r="D1707" s="3" t="str" cm="1">
        <f t="array" ref="D1707">_xlfn.IFS(
 ISNUMBER(SEARCH("WHISK",C1707)),"Whiskey",
 ISNUMBER(SEARCH("BOURBON",C1707)),"Whiskey",
 ISNUMBER(SEARCH("SCOTCH",C1707)),"Whiskey",
 ISNUMBER(SEARCH("RYE",C1707)),"Whiskey",
 ISNUMBER(SEARCH("VODKA",C1707)),"Vodka",
 ISNUMBER(SEARCH("TEQUILA",C1707)),"Tequila/Mezcal",
 ISNUMBER(SEARCH("MEZCAL",C1707)),"Tequila/Mezcal",
 ISNUMBER(SEARCH("RUM",C1707)),"Rum",
 ISNUMBER(SEARCH("BRAND",C1707)),"Brandy",
 ISNUMBER(SEARCH("COGNAC",C1707)),"Brandy",
 ISNUMBER(SEARCH("LIQUEUR",C1707)),"Liqueurs",
 ISNUMBER(SEARCH("CORDIAL",C1707)),"Liqueurs",
 ISNUMBER(SEARCH("SCHNAPP",C1707)),"Liqueurs",
 ISNUMBER(SEARCH("GIN",C1707)),"Gin",
 TRUE,"Other")</f>
        <v>Liqueurs</v>
      </c>
      <c r="E1707" s="5">
        <v>36651</v>
      </c>
      <c r="F1707" s="5">
        <v>419490.04000001558</v>
      </c>
      <c r="G1707" s="5"/>
      <c r="H1707" s="5">
        <v>5894</v>
      </c>
    </row>
    <row r="1708" spans="1:8">
      <c r="A1708" s="5">
        <v>2023</v>
      </c>
      <c r="B1708" s="6">
        <v>45078</v>
      </c>
      <c r="C1708" s="5" t="s">
        <v>10</v>
      </c>
      <c r="D1708" s="3" t="str" cm="1">
        <f t="array" ref="D1708">_xlfn.IFS(
 ISNUMBER(SEARCH("WHISK",C1708)),"Whiskey",
 ISNUMBER(SEARCH("BOURBON",C1708)),"Whiskey",
 ISNUMBER(SEARCH("SCOTCH",C1708)),"Whiskey",
 ISNUMBER(SEARCH("RYE",C1708)),"Whiskey",
 ISNUMBER(SEARCH("VODKA",C1708)),"Vodka",
 ISNUMBER(SEARCH("TEQUILA",C1708)),"Tequila/Mezcal",
 ISNUMBER(SEARCH("MEZCAL",C1708)),"Tequila/Mezcal",
 ISNUMBER(SEARCH("RUM",C1708)),"Rum",
 ISNUMBER(SEARCH("BRAND",C1708)),"Brandy",
 ISNUMBER(SEARCH("COGNAC",C1708)),"Brandy",
 ISNUMBER(SEARCH("LIQUEUR",C1708)),"Liqueurs",
 ISNUMBER(SEARCH("CORDIAL",C1708)),"Liqueurs",
 ISNUMBER(SEARCH("SCHNAPP",C1708)),"Liqueurs",
 ISNUMBER(SEARCH("GIN",C1708)),"Gin",
 TRUE,"Other")</f>
        <v>Other</v>
      </c>
      <c r="E1708" s="5">
        <v>8268</v>
      </c>
      <c r="F1708" s="5">
        <v>183837.90999999986</v>
      </c>
      <c r="G1708" s="5"/>
      <c r="H1708" s="5">
        <v>1033</v>
      </c>
    </row>
    <row r="1709" spans="1:8">
      <c r="A1709" s="5">
        <v>2023</v>
      </c>
      <c r="B1709" s="6">
        <v>45078</v>
      </c>
      <c r="C1709" s="5" t="s">
        <v>11</v>
      </c>
      <c r="D1709" s="3" t="str" cm="1">
        <f t="array" ref="D1709">_xlfn.IFS(
 ISNUMBER(SEARCH("WHISK",C1709)),"Whiskey",
 ISNUMBER(SEARCH("BOURBON",C1709)),"Whiskey",
 ISNUMBER(SEARCH("SCOTCH",C1709)),"Whiskey",
 ISNUMBER(SEARCH("RYE",C1709)),"Whiskey",
 ISNUMBER(SEARCH("VODKA",C1709)),"Vodka",
 ISNUMBER(SEARCH("TEQUILA",C1709)),"Tequila/Mezcal",
 ISNUMBER(SEARCH("MEZCAL",C1709)),"Tequila/Mezcal",
 ISNUMBER(SEARCH("RUM",C1709)),"Rum",
 ISNUMBER(SEARCH("BRAND",C1709)),"Brandy",
 ISNUMBER(SEARCH("COGNAC",C1709)),"Brandy",
 ISNUMBER(SEARCH("LIQUEUR",C1709)),"Liqueurs",
 ISNUMBER(SEARCH("CORDIAL",C1709)),"Liqueurs",
 ISNUMBER(SEARCH("SCHNAPP",C1709)),"Liqueurs",
 ISNUMBER(SEARCH("GIN",C1709)),"Gin",
 TRUE,"Other")</f>
        <v>Gin</v>
      </c>
      <c r="E1709" s="5">
        <v>33105</v>
      </c>
      <c r="F1709" s="5">
        <v>331399.31000000297</v>
      </c>
      <c r="G1709" s="5"/>
      <c r="H1709" s="5">
        <v>3211</v>
      </c>
    </row>
    <row r="1710" spans="1:8">
      <c r="A1710" s="5">
        <v>2023</v>
      </c>
      <c r="B1710" s="6">
        <v>45078</v>
      </c>
      <c r="C1710" s="5" t="s">
        <v>12</v>
      </c>
      <c r="D1710" s="3" t="str" cm="1">
        <f t="array" ref="D1710">_xlfn.IFS(
 ISNUMBER(SEARCH("WHISK",C1710)),"Whiskey",
 ISNUMBER(SEARCH("BOURBON",C1710)),"Whiskey",
 ISNUMBER(SEARCH("SCOTCH",C1710)),"Whiskey",
 ISNUMBER(SEARCH("RYE",C1710)),"Whiskey",
 ISNUMBER(SEARCH("VODKA",C1710)),"Vodka",
 ISNUMBER(SEARCH("TEQUILA",C1710)),"Tequila/Mezcal",
 ISNUMBER(SEARCH("MEZCAL",C1710)),"Tequila/Mezcal",
 ISNUMBER(SEARCH("RUM",C1710)),"Rum",
 ISNUMBER(SEARCH("BRAND",C1710)),"Brandy",
 ISNUMBER(SEARCH("COGNAC",C1710)),"Brandy",
 ISNUMBER(SEARCH("LIQUEUR",C1710)),"Liqueurs",
 ISNUMBER(SEARCH("CORDIAL",C1710)),"Liqueurs",
 ISNUMBER(SEARCH("SCHNAPP",C1710)),"Liqueurs",
 ISNUMBER(SEARCH("GIN",C1710)),"Gin",
 TRUE,"Other")</f>
        <v>Vodka</v>
      </c>
      <c r="E1710" s="5">
        <v>110167</v>
      </c>
      <c r="F1710" s="5">
        <v>1289929.4800000594</v>
      </c>
      <c r="G1710" s="5"/>
      <c r="H1710" s="5">
        <v>13563</v>
      </c>
    </row>
    <row r="1711" spans="1:8">
      <c r="A1711" s="5">
        <v>2023</v>
      </c>
      <c r="B1711" s="6">
        <v>45078</v>
      </c>
      <c r="C1711" s="5" t="s">
        <v>13</v>
      </c>
      <c r="D1711" s="3" t="str" cm="1">
        <f t="array" ref="D1711">_xlfn.IFS(
 ISNUMBER(SEARCH("WHISK",C1711)),"Whiskey",
 ISNUMBER(SEARCH("BOURBON",C1711)),"Whiskey",
 ISNUMBER(SEARCH("SCOTCH",C1711)),"Whiskey",
 ISNUMBER(SEARCH("RYE",C1711)),"Whiskey",
 ISNUMBER(SEARCH("VODKA",C1711)),"Vodka",
 ISNUMBER(SEARCH("TEQUILA",C1711)),"Tequila/Mezcal",
 ISNUMBER(SEARCH("MEZCAL",C1711)),"Tequila/Mezcal",
 ISNUMBER(SEARCH("RUM",C1711)),"Rum",
 ISNUMBER(SEARCH("BRAND",C1711)),"Brandy",
 ISNUMBER(SEARCH("COGNAC",C1711)),"Brandy",
 ISNUMBER(SEARCH("LIQUEUR",C1711)),"Liqueurs",
 ISNUMBER(SEARCH("CORDIAL",C1711)),"Liqueurs",
 ISNUMBER(SEARCH("SCHNAPP",C1711)),"Liqueurs",
 ISNUMBER(SEARCH("GIN",C1711)),"Gin",
 TRUE,"Other")</f>
        <v>Liqueurs</v>
      </c>
      <c r="E1711" s="5">
        <v>81825</v>
      </c>
      <c r="F1711" s="5">
        <v>763748.8500000427</v>
      </c>
      <c r="G1711" s="5"/>
      <c r="H1711" s="5">
        <v>7994</v>
      </c>
    </row>
    <row r="1712" spans="1:8">
      <c r="A1712" s="5">
        <v>2023</v>
      </c>
      <c r="B1712" s="6">
        <v>45078</v>
      </c>
      <c r="C1712" s="5" t="s">
        <v>15</v>
      </c>
      <c r="D1712" s="3" t="str" cm="1">
        <f t="array" ref="D1712">_xlfn.IFS(
 ISNUMBER(SEARCH("WHISK",C1712)),"Whiskey",
 ISNUMBER(SEARCH("BOURBON",C1712)),"Whiskey",
 ISNUMBER(SEARCH("SCOTCH",C1712)),"Whiskey",
 ISNUMBER(SEARCH("RYE",C1712)),"Whiskey",
 ISNUMBER(SEARCH("VODKA",C1712)),"Vodka",
 ISNUMBER(SEARCH("TEQUILA",C1712)),"Tequila/Mezcal",
 ISNUMBER(SEARCH("MEZCAL",C1712)),"Tequila/Mezcal",
 ISNUMBER(SEARCH("RUM",C1712)),"Rum",
 ISNUMBER(SEARCH("BRAND",C1712)),"Brandy",
 ISNUMBER(SEARCH("COGNAC",C1712)),"Brandy",
 ISNUMBER(SEARCH("LIQUEUR",C1712)),"Liqueurs",
 ISNUMBER(SEARCH("CORDIAL",C1712)),"Liqueurs",
 ISNUMBER(SEARCH("SCHNAPP",C1712)),"Liqueurs",
 ISNUMBER(SEARCH("GIN",C1712)),"Gin",
 TRUE,"Other")</f>
        <v>Vodka</v>
      </c>
      <c r="E1712" s="5">
        <v>630970</v>
      </c>
      <c r="F1712" s="5">
        <v>6611987.2099997755</v>
      </c>
      <c r="G1712" s="5"/>
      <c r="H1712" s="5">
        <v>39087</v>
      </c>
    </row>
    <row r="1713" spans="1:8">
      <c r="A1713" s="5">
        <v>2023</v>
      </c>
      <c r="B1713" s="6">
        <v>45078</v>
      </c>
      <c r="C1713" s="5" t="s">
        <v>16</v>
      </c>
      <c r="D1713" s="3" t="str" cm="1">
        <f t="array" ref="D1713">_xlfn.IFS(
 ISNUMBER(SEARCH("WHISK",C1713)),"Whiskey",
 ISNUMBER(SEARCH("BOURBON",C1713)),"Whiskey",
 ISNUMBER(SEARCH("SCOTCH",C1713)),"Whiskey",
 ISNUMBER(SEARCH("RYE",C1713)),"Whiskey",
 ISNUMBER(SEARCH("VODKA",C1713)),"Vodka",
 ISNUMBER(SEARCH("TEQUILA",C1713)),"Tequila/Mezcal",
 ISNUMBER(SEARCH("MEZCAL",C1713)),"Tequila/Mezcal",
 ISNUMBER(SEARCH("RUM",C1713)),"Rum",
 ISNUMBER(SEARCH("BRAND",C1713)),"Brandy",
 ISNUMBER(SEARCH("COGNAC",C1713)),"Brandy",
 ISNUMBER(SEARCH("LIQUEUR",C1713)),"Liqueurs",
 ISNUMBER(SEARCH("CORDIAL",C1713)),"Liqueurs",
 ISNUMBER(SEARCH("SCHNAPP",C1713)),"Liqueurs",
 ISNUMBER(SEARCH("GIN",C1713)),"Gin",
 TRUE,"Other")</f>
        <v>Whiskey</v>
      </c>
      <c r="E1713" s="5">
        <v>76662</v>
      </c>
      <c r="F1713" s="5">
        <v>1074459.169999992</v>
      </c>
      <c r="G1713" s="5"/>
      <c r="H1713" s="5">
        <v>8526</v>
      </c>
    </row>
    <row r="1714" spans="1:8">
      <c r="A1714" s="5">
        <v>2023</v>
      </c>
      <c r="B1714" s="6">
        <v>45078</v>
      </c>
      <c r="C1714" s="5" t="s">
        <v>17</v>
      </c>
      <c r="D1714" s="3" t="str" cm="1">
        <f t="array" ref="D1714">_xlfn.IFS(
 ISNUMBER(SEARCH("WHISK",C1714)),"Whiskey",
 ISNUMBER(SEARCH("BOURBON",C1714)),"Whiskey",
 ISNUMBER(SEARCH("SCOTCH",C1714)),"Whiskey",
 ISNUMBER(SEARCH("RYE",C1714)),"Whiskey",
 ISNUMBER(SEARCH("VODKA",C1714)),"Vodka",
 ISNUMBER(SEARCH("TEQUILA",C1714)),"Tequila/Mezcal",
 ISNUMBER(SEARCH("MEZCAL",C1714)),"Tequila/Mezcal",
 ISNUMBER(SEARCH("RUM",C1714)),"Rum",
 ISNUMBER(SEARCH("BRAND",C1714)),"Brandy",
 ISNUMBER(SEARCH("COGNAC",C1714)),"Brandy",
 ISNUMBER(SEARCH("LIQUEUR",C1714)),"Liqueurs",
 ISNUMBER(SEARCH("CORDIAL",C1714)),"Liqueurs",
 ISNUMBER(SEARCH("SCHNAPP",C1714)),"Liqueurs",
 ISNUMBER(SEARCH("GIN",C1714)),"Gin",
 TRUE,"Other")</f>
        <v>Whiskey</v>
      </c>
      <c r="E1714" s="5">
        <v>3111</v>
      </c>
      <c r="F1714" s="5">
        <v>87377.700000000012</v>
      </c>
      <c r="G1714" s="5"/>
      <c r="H1714" s="5">
        <v>697</v>
      </c>
    </row>
    <row r="1715" spans="1:8">
      <c r="A1715" s="5">
        <v>2023</v>
      </c>
      <c r="B1715" s="6">
        <v>45078</v>
      </c>
      <c r="C1715" s="5" t="s">
        <v>18</v>
      </c>
      <c r="D1715" s="3" t="str" cm="1">
        <f t="array" ref="D1715">_xlfn.IFS(
 ISNUMBER(SEARCH("WHISK",C1715)),"Whiskey",
 ISNUMBER(SEARCH("BOURBON",C1715)),"Whiskey",
 ISNUMBER(SEARCH("SCOTCH",C1715)),"Whiskey",
 ISNUMBER(SEARCH("RYE",C1715)),"Whiskey",
 ISNUMBER(SEARCH("VODKA",C1715)),"Vodka",
 ISNUMBER(SEARCH("TEQUILA",C1715)),"Tequila/Mezcal",
 ISNUMBER(SEARCH("MEZCAL",C1715)),"Tequila/Mezcal",
 ISNUMBER(SEARCH("RUM",C1715)),"Rum",
 ISNUMBER(SEARCH("BRAND",C1715)),"Brandy",
 ISNUMBER(SEARCH("COGNAC",C1715)),"Brandy",
 ISNUMBER(SEARCH("LIQUEUR",C1715)),"Liqueurs",
 ISNUMBER(SEARCH("CORDIAL",C1715)),"Liqueurs",
 ISNUMBER(SEARCH("SCHNAPP",C1715)),"Liqueurs",
 ISNUMBER(SEARCH("GIN",C1715)),"Gin",
 TRUE,"Other")</f>
        <v>Whiskey</v>
      </c>
      <c r="E1715" s="5">
        <v>256713</v>
      </c>
      <c r="F1715" s="5">
        <v>4171570.6599997603</v>
      </c>
      <c r="G1715" s="5"/>
      <c r="H1715" s="5">
        <v>22991</v>
      </c>
    </row>
    <row r="1716" spans="1:8">
      <c r="A1716" s="5">
        <v>2023</v>
      </c>
      <c r="B1716" s="6">
        <v>45078</v>
      </c>
      <c r="C1716" s="5" t="s">
        <v>19</v>
      </c>
      <c r="D1716" s="3" t="str" cm="1">
        <f t="array" ref="D1716">_xlfn.IFS(
 ISNUMBER(SEARCH("WHISK",C1716)),"Whiskey",
 ISNUMBER(SEARCH("BOURBON",C1716)),"Whiskey",
 ISNUMBER(SEARCH("SCOTCH",C1716)),"Whiskey",
 ISNUMBER(SEARCH("RYE",C1716)),"Whiskey",
 ISNUMBER(SEARCH("VODKA",C1716)),"Vodka",
 ISNUMBER(SEARCH("TEQUILA",C1716)),"Tequila/Mezcal",
 ISNUMBER(SEARCH("MEZCAL",C1716)),"Tequila/Mezcal",
 ISNUMBER(SEARCH("RUM",C1716)),"Rum",
 ISNUMBER(SEARCH("BRAND",C1716)),"Brandy",
 ISNUMBER(SEARCH("COGNAC",C1716)),"Brandy",
 ISNUMBER(SEARCH("LIQUEUR",C1716)),"Liqueurs",
 ISNUMBER(SEARCH("CORDIAL",C1716)),"Liqueurs",
 ISNUMBER(SEARCH("SCHNAPP",C1716)),"Liqueurs",
 ISNUMBER(SEARCH("GIN",C1716)),"Gin",
 TRUE,"Other")</f>
        <v>Other</v>
      </c>
      <c r="E1716" s="5">
        <v>78847</v>
      </c>
      <c r="F1716" s="5">
        <v>930170.10000000044</v>
      </c>
      <c r="G1716" s="5"/>
      <c r="H1716" s="5">
        <v>9026</v>
      </c>
    </row>
    <row r="1717" spans="1:8">
      <c r="A1717" s="5">
        <v>2023</v>
      </c>
      <c r="B1717" s="6">
        <v>45078</v>
      </c>
      <c r="C1717" s="5" t="s">
        <v>20</v>
      </c>
      <c r="D1717" s="3" t="str" cm="1">
        <f t="array" ref="D1717">_xlfn.IFS(
 ISNUMBER(SEARCH("WHISK",C1717)),"Whiskey",
 ISNUMBER(SEARCH("BOURBON",C1717)),"Whiskey",
 ISNUMBER(SEARCH("SCOTCH",C1717)),"Whiskey",
 ISNUMBER(SEARCH("RYE",C1717)),"Whiskey",
 ISNUMBER(SEARCH("VODKA",C1717)),"Vodka",
 ISNUMBER(SEARCH("TEQUILA",C1717)),"Tequila/Mezcal",
 ISNUMBER(SEARCH("MEZCAL",C1717)),"Tequila/Mezcal",
 ISNUMBER(SEARCH("RUM",C1717)),"Rum",
 ISNUMBER(SEARCH("BRAND",C1717)),"Brandy",
 ISNUMBER(SEARCH("COGNAC",C1717)),"Brandy",
 ISNUMBER(SEARCH("LIQUEUR",C1717)),"Liqueurs",
 ISNUMBER(SEARCH("CORDIAL",C1717)),"Liqueurs",
 ISNUMBER(SEARCH("SCHNAPP",C1717)),"Liqueurs",
 ISNUMBER(SEARCH("GIN",C1717)),"Gin",
 TRUE,"Other")</f>
        <v>Liqueurs</v>
      </c>
      <c r="E1717" s="5">
        <v>6718</v>
      </c>
      <c r="F1717" s="5">
        <v>135652.14000000051</v>
      </c>
      <c r="G1717" s="5"/>
      <c r="H1717" s="5">
        <v>907</v>
      </c>
    </row>
    <row r="1718" spans="1:8">
      <c r="A1718" s="5">
        <v>2023</v>
      </c>
      <c r="B1718" s="6">
        <v>45078</v>
      </c>
      <c r="C1718" s="5" t="s">
        <v>22</v>
      </c>
      <c r="D1718" s="3" t="str" cm="1">
        <f t="array" ref="D1718">_xlfn.IFS(
 ISNUMBER(SEARCH("WHISK",C1718)),"Whiskey",
 ISNUMBER(SEARCH("BOURBON",C1718)),"Whiskey",
 ISNUMBER(SEARCH("SCOTCH",C1718)),"Whiskey",
 ISNUMBER(SEARCH("RYE",C1718)),"Whiskey",
 ISNUMBER(SEARCH("VODKA",C1718)),"Vodka",
 ISNUMBER(SEARCH("TEQUILA",C1718)),"Tequila/Mezcal",
 ISNUMBER(SEARCH("MEZCAL",C1718)),"Tequila/Mezcal",
 ISNUMBER(SEARCH("RUM",C1718)),"Rum",
 ISNUMBER(SEARCH("BRAND",C1718)),"Brandy",
 ISNUMBER(SEARCH("COGNAC",C1718)),"Brandy",
 ISNUMBER(SEARCH("LIQUEUR",C1718)),"Liqueurs",
 ISNUMBER(SEARCH("CORDIAL",C1718)),"Liqueurs",
 ISNUMBER(SEARCH("SCHNAPP",C1718)),"Liqueurs",
 ISNUMBER(SEARCH("GIN",C1718)),"Gin",
 TRUE,"Other")</f>
        <v>Liqueurs</v>
      </c>
      <c r="E1718" s="5">
        <v>24537</v>
      </c>
      <c r="F1718" s="5">
        <v>490286.34999999451</v>
      </c>
      <c r="G1718" s="5"/>
      <c r="H1718" s="5">
        <v>3675</v>
      </c>
    </row>
    <row r="1719" spans="1:8">
      <c r="A1719" s="5">
        <v>2023</v>
      </c>
      <c r="B1719" s="6">
        <v>45078</v>
      </c>
      <c r="C1719" s="5" t="s">
        <v>23</v>
      </c>
      <c r="D1719" s="3" t="str" cm="1">
        <f t="array" ref="D1719">_xlfn.IFS(
 ISNUMBER(SEARCH("WHISK",C1719)),"Whiskey",
 ISNUMBER(SEARCH("BOURBON",C1719)),"Whiskey",
 ISNUMBER(SEARCH("SCOTCH",C1719)),"Whiskey",
 ISNUMBER(SEARCH("RYE",C1719)),"Whiskey",
 ISNUMBER(SEARCH("VODKA",C1719)),"Vodka",
 ISNUMBER(SEARCH("TEQUILA",C1719)),"Tequila/Mezcal",
 ISNUMBER(SEARCH("MEZCAL",C1719)),"Tequila/Mezcal",
 ISNUMBER(SEARCH("RUM",C1719)),"Rum",
 ISNUMBER(SEARCH("BRAND",C1719)),"Brandy",
 ISNUMBER(SEARCH("COGNAC",C1719)),"Brandy",
 ISNUMBER(SEARCH("LIQUEUR",C1719)),"Liqueurs",
 ISNUMBER(SEARCH("CORDIAL",C1719)),"Liqueurs",
 ISNUMBER(SEARCH("SCHNAPP",C1719)),"Liqueurs",
 ISNUMBER(SEARCH("GIN",C1719)),"Gin",
 TRUE,"Other")</f>
        <v>Gin</v>
      </c>
      <c r="E1719" s="5">
        <v>4318</v>
      </c>
      <c r="F1719" s="5">
        <v>108807.16000000008</v>
      </c>
      <c r="G1719" s="5"/>
      <c r="H1719" s="5">
        <v>484</v>
      </c>
    </row>
    <row r="1720" spans="1:8">
      <c r="A1720" s="5">
        <v>2023</v>
      </c>
      <c r="B1720" s="6">
        <v>45078</v>
      </c>
      <c r="C1720" s="5" t="s">
        <v>24</v>
      </c>
      <c r="D1720" s="3" t="str" cm="1">
        <f t="array" ref="D1720">_xlfn.IFS(
 ISNUMBER(SEARCH("WHISK",C1720)),"Whiskey",
 ISNUMBER(SEARCH("BOURBON",C1720)),"Whiskey",
 ISNUMBER(SEARCH("SCOTCH",C1720)),"Whiskey",
 ISNUMBER(SEARCH("RYE",C1720)),"Whiskey",
 ISNUMBER(SEARCH("VODKA",C1720)),"Vodka",
 ISNUMBER(SEARCH("TEQUILA",C1720)),"Tequila/Mezcal",
 ISNUMBER(SEARCH("MEZCAL",C1720)),"Tequila/Mezcal",
 ISNUMBER(SEARCH("RUM",C1720)),"Rum",
 ISNUMBER(SEARCH("BRAND",C1720)),"Brandy",
 ISNUMBER(SEARCH("COGNAC",C1720)),"Brandy",
 ISNUMBER(SEARCH("LIQUEUR",C1720)),"Liqueurs",
 ISNUMBER(SEARCH("CORDIAL",C1720)),"Liqueurs",
 ISNUMBER(SEARCH("SCHNAPP",C1720)),"Liqueurs",
 ISNUMBER(SEARCH("GIN",C1720)),"Gin",
 TRUE,"Other")</f>
        <v>Rum</v>
      </c>
      <c r="E1720" s="5">
        <v>61108</v>
      </c>
      <c r="F1720" s="5">
        <v>953131.02999999549</v>
      </c>
      <c r="G1720" s="5"/>
      <c r="H1720" s="5">
        <v>5961</v>
      </c>
    </row>
    <row r="1721" spans="1:8">
      <c r="A1721" s="5">
        <v>2023</v>
      </c>
      <c r="B1721" s="6">
        <v>45078</v>
      </c>
      <c r="C1721" s="5" t="s">
        <v>26</v>
      </c>
      <c r="D1721" s="3" t="str" cm="1">
        <f t="array" ref="D1721">_xlfn.IFS(
 ISNUMBER(SEARCH("WHISK",C1721)),"Whiskey",
 ISNUMBER(SEARCH("BOURBON",C1721)),"Whiskey",
 ISNUMBER(SEARCH("SCOTCH",C1721)),"Whiskey",
 ISNUMBER(SEARCH("RYE",C1721)),"Whiskey",
 ISNUMBER(SEARCH("VODKA",C1721)),"Vodka",
 ISNUMBER(SEARCH("TEQUILA",C1721)),"Tequila/Mezcal",
 ISNUMBER(SEARCH("MEZCAL",C1721)),"Tequila/Mezcal",
 ISNUMBER(SEARCH("RUM",C1721)),"Rum",
 ISNUMBER(SEARCH("BRAND",C1721)),"Brandy",
 ISNUMBER(SEARCH("COGNAC",C1721)),"Brandy",
 ISNUMBER(SEARCH("LIQUEUR",C1721)),"Liqueurs",
 ISNUMBER(SEARCH("CORDIAL",C1721)),"Liqueurs",
 ISNUMBER(SEARCH("SCHNAPP",C1721)),"Liqueurs",
 ISNUMBER(SEARCH("GIN",C1721)),"Gin",
 TRUE,"Other")</f>
        <v>Brandy</v>
      </c>
      <c r="E1721" s="5">
        <v>38899</v>
      </c>
      <c r="F1721" s="5">
        <v>897381.49999999034</v>
      </c>
      <c r="G1721" s="5"/>
      <c r="H1721" s="5">
        <v>3269</v>
      </c>
    </row>
    <row r="1722" spans="1:8">
      <c r="A1722" s="5">
        <v>2023</v>
      </c>
      <c r="B1722" s="6">
        <v>45078</v>
      </c>
      <c r="C1722" s="5" t="s">
        <v>60</v>
      </c>
      <c r="D1722" s="3" t="str" cm="1">
        <f t="array" ref="D1722">_xlfn.IFS(
 ISNUMBER(SEARCH("WHISK",C1722)),"Whiskey",
 ISNUMBER(SEARCH("BOURBON",C1722)),"Whiskey",
 ISNUMBER(SEARCH("SCOTCH",C1722)),"Whiskey",
 ISNUMBER(SEARCH("RYE",C1722)),"Whiskey",
 ISNUMBER(SEARCH("VODKA",C1722)),"Vodka",
 ISNUMBER(SEARCH("TEQUILA",C1722)),"Tequila/Mezcal",
 ISNUMBER(SEARCH("MEZCAL",C1722)),"Tequila/Mezcal",
 ISNUMBER(SEARCH("RUM",C1722)),"Rum",
 ISNUMBER(SEARCH("BRAND",C1722)),"Brandy",
 ISNUMBER(SEARCH("COGNAC",C1722)),"Brandy",
 ISNUMBER(SEARCH("LIQUEUR",C1722)),"Liqueurs",
 ISNUMBER(SEARCH("CORDIAL",C1722)),"Liqueurs",
 ISNUMBER(SEARCH("SCHNAPP",C1722)),"Liqueurs",
 ISNUMBER(SEARCH("GIN",C1722)),"Gin",
 TRUE,"Other")</f>
        <v>Liqueurs</v>
      </c>
      <c r="E1722" s="5">
        <v>49519</v>
      </c>
      <c r="F1722" s="5">
        <v>1153114.6900000053</v>
      </c>
      <c r="G1722" s="5"/>
      <c r="H1722" s="5">
        <v>5400</v>
      </c>
    </row>
    <row r="1723" spans="1:8">
      <c r="A1723" s="5">
        <v>2023</v>
      </c>
      <c r="B1723" s="6">
        <v>45078</v>
      </c>
      <c r="C1723" s="5" t="s">
        <v>28</v>
      </c>
      <c r="D1723" s="3" t="str" cm="1">
        <f t="array" ref="D1723">_xlfn.IFS(
 ISNUMBER(SEARCH("WHISK",C1723)),"Whiskey",
 ISNUMBER(SEARCH("BOURBON",C1723)),"Whiskey",
 ISNUMBER(SEARCH("SCOTCH",C1723)),"Whiskey",
 ISNUMBER(SEARCH("RYE",C1723)),"Whiskey",
 ISNUMBER(SEARCH("VODKA",C1723)),"Vodka",
 ISNUMBER(SEARCH("TEQUILA",C1723)),"Tequila/Mezcal",
 ISNUMBER(SEARCH("MEZCAL",C1723)),"Tequila/Mezcal",
 ISNUMBER(SEARCH("RUM",C1723)),"Rum",
 ISNUMBER(SEARCH("BRAND",C1723)),"Brandy",
 ISNUMBER(SEARCH("COGNAC",C1723)),"Brandy",
 ISNUMBER(SEARCH("LIQUEUR",C1723)),"Liqueurs",
 ISNUMBER(SEARCH("CORDIAL",C1723)),"Liqueurs",
 ISNUMBER(SEARCH("SCHNAPP",C1723)),"Liqueurs",
 ISNUMBER(SEARCH("GIN",C1723)),"Gin",
 TRUE,"Other")</f>
        <v>Other</v>
      </c>
      <c r="E1723" s="5">
        <v>25608</v>
      </c>
      <c r="F1723" s="5">
        <v>217640.62000000017</v>
      </c>
      <c r="G1723" s="5"/>
      <c r="H1723" s="5">
        <v>570</v>
      </c>
    </row>
    <row r="1724" spans="1:8">
      <c r="A1724" s="5">
        <v>2023</v>
      </c>
      <c r="B1724" s="6">
        <v>45078</v>
      </c>
      <c r="C1724" s="5" t="s">
        <v>29</v>
      </c>
      <c r="D1724" s="3" t="str" cm="1">
        <f t="array" ref="D1724">_xlfn.IFS(
 ISNUMBER(SEARCH("WHISK",C1724)),"Whiskey",
 ISNUMBER(SEARCH("BOURBON",C1724)),"Whiskey",
 ISNUMBER(SEARCH("SCOTCH",C1724)),"Whiskey",
 ISNUMBER(SEARCH("RYE",C1724)),"Whiskey",
 ISNUMBER(SEARCH("VODKA",C1724)),"Vodka",
 ISNUMBER(SEARCH("TEQUILA",C1724)),"Tequila/Mezcal",
 ISNUMBER(SEARCH("MEZCAL",C1724)),"Tequila/Mezcal",
 ISNUMBER(SEARCH("RUM",C1724)),"Rum",
 ISNUMBER(SEARCH("BRAND",C1724)),"Brandy",
 ISNUMBER(SEARCH("COGNAC",C1724)),"Brandy",
 ISNUMBER(SEARCH("LIQUEUR",C1724)),"Liqueurs",
 ISNUMBER(SEARCH("CORDIAL",C1724)),"Liqueurs",
 ISNUMBER(SEARCH("SCHNAPP",C1724)),"Liqueurs",
 ISNUMBER(SEARCH("GIN",C1724)),"Gin",
 TRUE,"Other")</f>
        <v>Gin</v>
      </c>
      <c r="E1724" s="5">
        <v>23008</v>
      </c>
      <c r="F1724" s="5">
        <v>596184.93999999505</v>
      </c>
      <c r="G1724" s="5"/>
      <c r="H1724" s="5">
        <v>2709</v>
      </c>
    </row>
    <row r="1725" spans="1:8">
      <c r="A1725" s="5">
        <v>2023</v>
      </c>
      <c r="B1725" s="6">
        <v>45078</v>
      </c>
      <c r="C1725" s="5" t="s">
        <v>30</v>
      </c>
      <c r="D1725" s="3" t="str" cm="1">
        <f t="array" ref="D1725">_xlfn.IFS(
 ISNUMBER(SEARCH("WHISK",C1725)),"Whiskey",
 ISNUMBER(SEARCH("BOURBON",C1725)),"Whiskey",
 ISNUMBER(SEARCH("SCOTCH",C1725)),"Whiskey",
 ISNUMBER(SEARCH("RYE",C1725)),"Whiskey",
 ISNUMBER(SEARCH("VODKA",C1725)),"Vodka",
 ISNUMBER(SEARCH("TEQUILA",C1725)),"Tequila/Mezcal",
 ISNUMBER(SEARCH("MEZCAL",C1725)),"Tequila/Mezcal",
 ISNUMBER(SEARCH("RUM",C1725)),"Rum",
 ISNUMBER(SEARCH("BRAND",C1725)),"Brandy",
 ISNUMBER(SEARCH("COGNAC",C1725)),"Brandy",
 ISNUMBER(SEARCH("LIQUEUR",C1725)),"Liqueurs",
 ISNUMBER(SEARCH("CORDIAL",C1725)),"Liqueurs",
 ISNUMBER(SEARCH("SCHNAPP",C1725)),"Liqueurs",
 ISNUMBER(SEARCH("GIN",C1725)),"Gin",
 TRUE,"Other")</f>
        <v>Vodka</v>
      </c>
      <c r="E1725" s="5">
        <v>27306</v>
      </c>
      <c r="F1725" s="5">
        <v>473123.4999999993</v>
      </c>
      <c r="G1725" s="5"/>
      <c r="H1725" s="5">
        <v>3515</v>
      </c>
    </row>
    <row r="1726" spans="1:8">
      <c r="A1726" s="5">
        <v>2023</v>
      </c>
      <c r="B1726" s="6">
        <v>45078</v>
      </c>
      <c r="C1726" s="5" t="s">
        <v>31</v>
      </c>
      <c r="D1726" s="3" t="str" cm="1">
        <f t="array" ref="D1726">_xlfn.IFS(
 ISNUMBER(SEARCH("WHISK",C1726)),"Whiskey",
 ISNUMBER(SEARCH("BOURBON",C1726)),"Whiskey",
 ISNUMBER(SEARCH("SCOTCH",C1726)),"Whiskey",
 ISNUMBER(SEARCH("RYE",C1726)),"Whiskey",
 ISNUMBER(SEARCH("VODKA",C1726)),"Vodka",
 ISNUMBER(SEARCH("TEQUILA",C1726)),"Tequila/Mezcal",
 ISNUMBER(SEARCH("MEZCAL",C1726)),"Tequila/Mezcal",
 ISNUMBER(SEARCH("RUM",C1726)),"Rum",
 ISNUMBER(SEARCH("BRAND",C1726)),"Brandy",
 ISNUMBER(SEARCH("COGNAC",C1726)),"Brandy",
 ISNUMBER(SEARCH("LIQUEUR",C1726)),"Liqueurs",
 ISNUMBER(SEARCH("CORDIAL",C1726)),"Liqueurs",
 ISNUMBER(SEARCH("SCHNAPP",C1726)),"Liqueurs",
 ISNUMBER(SEARCH("GIN",C1726)),"Gin",
 TRUE,"Other")</f>
        <v>Liqueurs</v>
      </c>
      <c r="E1726" s="5">
        <v>32419</v>
      </c>
      <c r="F1726" s="5">
        <v>557295.7499999979</v>
      </c>
      <c r="G1726" s="5"/>
      <c r="H1726" s="5">
        <v>3377</v>
      </c>
    </row>
    <row r="1727" spans="1:8">
      <c r="A1727" s="5">
        <v>2023</v>
      </c>
      <c r="B1727" s="6">
        <v>45078</v>
      </c>
      <c r="C1727" s="5" t="s">
        <v>32</v>
      </c>
      <c r="D1727" s="3" t="str" cm="1">
        <f t="array" ref="D1727">_xlfn.IFS(
 ISNUMBER(SEARCH("WHISK",C1727)),"Whiskey",
 ISNUMBER(SEARCH("BOURBON",C1727)),"Whiskey",
 ISNUMBER(SEARCH("SCOTCH",C1727)),"Whiskey",
 ISNUMBER(SEARCH("RYE",C1727)),"Whiskey",
 ISNUMBER(SEARCH("VODKA",C1727)),"Vodka",
 ISNUMBER(SEARCH("TEQUILA",C1727)),"Tequila/Mezcal",
 ISNUMBER(SEARCH("MEZCAL",C1727)),"Tequila/Mezcal",
 ISNUMBER(SEARCH("RUM",C1727)),"Rum",
 ISNUMBER(SEARCH("BRAND",C1727)),"Brandy",
 ISNUMBER(SEARCH("COGNAC",C1727)),"Brandy",
 ISNUMBER(SEARCH("LIQUEUR",C1727)),"Liqueurs",
 ISNUMBER(SEARCH("CORDIAL",C1727)),"Liqueurs",
 ISNUMBER(SEARCH("SCHNAPP",C1727)),"Liqueurs",
 ISNUMBER(SEARCH("GIN",C1727)),"Gin",
 TRUE,"Other")</f>
        <v>Vodka</v>
      </c>
      <c r="E1727" s="5">
        <v>76021</v>
      </c>
      <c r="F1727" s="5">
        <v>1188231.0499999612</v>
      </c>
      <c r="G1727" s="5"/>
      <c r="H1727" s="5">
        <v>5501</v>
      </c>
    </row>
    <row r="1728" spans="1:8">
      <c r="A1728" s="5">
        <v>2023</v>
      </c>
      <c r="B1728" s="6">
        <v>45078</v>
      </c>
      <c r="C1728" s="5" t="s">
        <v>33</v>
      </c>
      <c r="D1728" s="3" t="str" cm="1">
        <f t="array" ref="D1728">_xlfn.IFS(
 ISNUMBER(SEARCH("WHISK",C1728)),"Whiskey",
 ISNUMBER(SEARCH("BOURBON",C1728)),"Whiskey",
 ISNUMBER(SEARCH("SCOTCH",C1728)),"Whiskey",
 ISNUMBER(SEARCH("RYE",C1728)),"Whiskey",
 ISNUMBER(SEARCH("VODKA",C1728)),"Vodka",
 ISNUMBER(SEARCH("TEQUILA",C1728)),"Tequila/Mezcal",
 ISNUMBER(SEARCH("MEZCAL",C1728)),"Tequila/Mezcal",
 ISNUMBER(SEARCH("RUM",C1728)),"Rum",
 ISNUMBER(SEARCH("BRAND",C1728)),"Brandy",
 ISNUMBER(SEARCH("COGNAC",C1728)),"Brandy",
 ISNUMBER(SEARCH("LIQUEUR",C1728)),"Liqueurs",
 ISNUMBER(SEARCH("CORDIAL",C1728)),"Liqueurs",
 ISNUMBER(SEARCH("SCHNAPP",C1728)),"Liqueurs",
 ISNUMBER(SEARCH("GIN",C1728)),"Gin",
 TRUE,"Other")</f>
        <v>Whiskey</v>
      </c>
      <c r="E1728" s="5">
        <v>30181</v>
      </c>
      <c r="F1728" s="5">
        <v>841651.76999998663</v>
      </c>
      <c r="G1728" s="5"/>
      <c r="H1728" s="5">
        <v>2908</v>
      </c>
    </row>
    <row r="1729" spans="1:8">
      <c r="A1729" s="5">
        <v>2023</v>
      </c>
      <c r="B1729" s="6">
        <v>45078</v>
      </c>
      <c r="C1729" s="5" t="s">
        <v>34</v>
      </c>
      <c r="D1729" s="3" t="str" cm="1">
        <f t="array" ref="D1729">_xlfn.IFS(
 ISNUMBER(SEARCH("WHISK",C1729)),"Whiskey",
 ISNUMBER(SEARCH("BOURBON",C1729)),"Whiskey",
 ISNUMBER(SEARCH("SCOTCH",C1729)),"Whiskey",
 ISNUMBER(SEARCH("RYE",C1729)),"Whiskey",
 ISNUMBER(SEARCH("VODKA",C1729)),"Vodka",
 ISNUMBER(SEARCH("TEQUILA",C1729)),"Tequila/Mezcal",
 ISNUMBER(SEARCH("MEZCAL",C1729)),"Tequila/Mezcal",
 ISNUMBER(SEARCH("RUM",C1729)),"Rum",
 ISNUMBER(SEARCH("BRAND",C1729)),"Brandy",
 ISNUMBER(SEARCH("COGNAC",C1729)),"Brandy",
 ISNUMBER(SEARCH("LIQUEUR",C1729)),"Liqueurs",
 ISNUMBER(SEARCH("CORDIAL",C1729)),"Liqueurs",
 ISNUMBER(SEARCH("SCHNAPP",C1729)),"Liqueurs",
 ISNUMBER(SEARCH("GIN",C1729)),"Gin",
 TRUE,"Other")</f>
        <v>Tequila/Mezcal</v>
      </c>
      <c r="E1729" s="5">
        <v>1299</v>
      </c>
      <c r="F1729" s="5">
        <v>43745.78</v>
      </c>
      <c r="G1729" s="5"/>
      <c r="H1729" s="5">
        <v>271</v>
      </c>
    </row>
    <row r="1730" spans="1:8">
      <c r="A1730" s="5">
        <v>2023</v>
      </c>
      <c r="B1730" s="6">
        <v>45078</v>
      </c>
      <c r="C1730" s="5" t="s">
        <v>35</v>
      </c>
      <c r="D1730" s="3" t="str" cm="1">
        <f t="array" ref="D1730">_xlfn.IFS(
 ISNUMBER(SEARCH("WHISK",C1730)),"Whiskey",
 ISNUMBER(SEARCH("BOURBON",C1730)),"Whiskey",
 ISNUMBER(SEARCH("SCOTCH",C1730)),"Whiskey",
 ISNUMBER(SEARCH("RYE",C1730)),"Whiskey",
 ISNUMBER(SEARCH("VODKA",C1730)),"Vodka",
 ISNUMBER(SEARCH("TEQUILA",C1730)),"Tequila/Mezcal",
 ISNUMBER(SEARCH("MEZCAL",C1730)),"Tequila/Mezcal",
 ISNUMBER(SEARCH("RUM",C1730)),"Rum",
 ISNUMBER(SEARCH("BRAND",C1730)),"Brandy",
 ISNUMBER(SEARCH("COGNAC",C1730)),"Brandy",
 ISNUMBER(SEARCH("LIQUEUR",C1730)),"Liqueurs",
 ISNUMBER(SEARCH("CORDIAL",C1730)),"Liqueurs",
 ISNUMBER(SEARCH("SCHNAPP",C1730)),"Liqueurs",
 ISNUMBER(SEARCH("GIN",C1730)),"Gin",
 TRUE,"Other")</f>
        <v>Tequila/Mezcal</v>
      </c>
      <c r="E1730" s="5">
        <v>80860</v>
      </c>
      <c r="F1730" s="5">
        <v>1153206.2199999948</v>
      </c>
      <c r="G1730" s="5"/>
      <c r="H1730" s="5">
        <v>5641</v>
      </c>
    </row>
    <row r="1731" spans="1:8">
      <c r="A1731" s="5">
        <v>2023</v>
      </c>
      <c r="B1731" s="6">
        <v>45078</v>
      </c>
      <c r="C1731" s="5" t="s">
        <v>37</v>
      </c>
      <c r="D1731" s="3" t="str" cm="1">
        <f t="array" ref="D1731">_xlfn.IFS(
 ISNUMBER(SEARCH("WHISK",C1731)),"Whiskey",
 ISNUMBER(SEARCH("BOURBON",C1731)),"Whiskey",
 ISNUMBER(SEARCH("SCOTCH",C1731)),"Whiskey",
 ISNUMBER(SEARCH("RYE",C1731)),"Whiskey",
 ISNUMBER(SEARCH("VODKA",C1731)),"Vodka",
 ISNUMBER(SEARCH("TEQUILA",C1731)),"Tequila/Mezcal",
 ISNUMBER(SEARCH("MEZCAL",C1731)),"Tequila/Mezcal",
 ISNUMBER(SEARCH("RUM",C1731)),"Rum",
 ISNUMBER(SEARCH("BRAND",C1731)),"Brandy",
 ISNUMBER(SEARCH("COGNAC",C1731)),"Brandy",
 ISNUMBER(SEARCH("LIQUEUR",C1731)),"Liqueurs",
 ISNUMBER(SEARCH("CORDIAL",C1731)),"Liqueurs",
 ISNUMBER(SEARCH("SCHNAPP",C1731)),"Liqueurs",
 ISNUMBER(SEARCH("GIN",C1731)),"Gin",
 TRUE,"Other")</f>
        <v>Other</v>
      </c>
      <c r="E1731" s="5">
        <v>21748</v>
      </c>
      <c r="F1731" s="5">
        <v>363957.98000000173</v>
      </c>
      <c r="G1731" s="5"/>
      <c r="H1731" s="5">
        <v>4208</v>
      </c>
    </row>
    <row r="1732" spans="1:8">
      <c r="A1732" s="5">
        <v>2023</v>
      </c>
      <c r="B1732" s="6">
        <v>45078</v>
      </c>
      <c r="C1732" s="5" t="s">
        <v>38</v>
      </c>
      <c r="D1732" s="3" t="str" cm="1">
        <f t="array" ref="D1732">_xlfn.IFS(
 ISNUMBER(SEARCH("WHISK",C1732)),"Whiskey",
 ISNUMBER(SEARCH("BOURBON",C1732)),"Whiskey",
 ISNUMBER(SEARCH("SCOTCH",C1732)),"Whiskey",
 ISNUMBER(SEARCH("RYE",C1732)),"Whiskey",
 ISNUMBER(SEARCH("VODKA",C1732)),"Vodka",
 ISNUMBER(SEARCH("TEQUILA",C1732)),"Tequila/Mezcal",
 ISNUMBER(SEARCH("MEZCAL",C1732)),"Tequila/Mezcal",
 ISNUMBER(SEARCH("RUM",C1732)),"Rum",
 ISNUMBER(SEARCH("BRAND",C1732)),"Brandy",
 ISNUMBER(SEARCH("COGNAC",C1732)),"Brandy",
 ISNUMBER(SEARCH("LIQUEUR",C1732)),"Liqueurs",
 ISNUMBER(SEARCH("CORDIAL",C1732)),"Liqueurs",
 ISNUMBER(SEARCH("SCHNAPP",C1732)),"Liqueurs",
 ISNUMBER(SEARCH("GIN",C1732)),"Gin",
 TRUE,"Other")</f>
        <v>Whiskey</v>
      </c>
      <c r="E1732" s="5">
        <v>17692</v>
      </c>
      <c r="F1732" s="5">
        <v>494957.45999999868</v>
      </c>
      <c r="G1732" s="5"/>
      <c r="H1732" s="5">
        <v>2922</v>
      </c>
    </row>
    <row r="1733" spans="1:8">
      <c r="A1733" s="5">
        <v>2023</v>
      </c>
      <c r="B1733" s="6">
        <v>45078</v>
      </c>
      <c r="C1733" s="5" t="s">
        <v>40</v>
      </c>
      <c r="D1733" s="3" t="str" cm="1">
        <f t="array" ref="D1733">_xlfn.IFS(
 ISNUMBER(SEARCH("WHISK",C1733)),"Whiskey",
 ISNUMBER(SEARCH("BOURBON",C1733)),"Whiskey",
 ISNUMBER(SEARCH("SCOTCH",C1733)),"Whiskey",
 ISNUMBER(SEARCH("RYE",C1733)),"Whiskey",
 ISNUMBER(SEARCH("VODKA",C1733)),"Vodka",
 ISNUMBER(SEARCH("TEQUILA",C1733)),"Tequila/Mezcal",
 ISNUMBER(SEARCH("MEZCAL",C1733)),"Tequila/Mezcal",
 ISNUMBER(SEARCH("RUM",C1733)),"Rum",
 ISNUMBER(SEARCH("BRAND",C1733)),"Brandy",
 ISNUMBER(SEARCH("COGNAC",C1733)),"Brandy",
 ISNUMBER(SEARCH("LIQUEUR",C1733)),"Liqueurs",
 ISNUMBER(SEARCH("CORDIAL",C1733)),"Liqueurs",
 ISNUMBER(SEARCH("SCHNAPP",C1733)),"Liqueurs",
 ISNUMBER(SEARCH("GIN",C1733)),"Gin",
 TRUE,"Other")</f>
        <v>Whiskey</v>
      </c>
      <c r="E1733" s="5">
        <v>6527</v>
      </c>
      <c r="F1733" s="5">
        <v>326016.3899999999</v>
      </c>
      <c r="G1733" s="5"/>
      <c r="H1733" s="5">
        <v>1544</v>
      </c>
    </row>
    <row r="1734" spans="1:8">
      <c r="A1734" s="5">
        <v>2023</v>
      </c>
      <c r="B1734" s="6">
        <v>45078</v>
      </c>
      <c r="C1734" s="5" t="s">
        <v>42</v>
      </c>
      <c r="D1734" s="3" t="str" cm="1">
        <f t="array" ref="D1734">_xlfn.IFS(
 ISNUMBER(SEARCH("WHISK",C1734)),"Whiskey",
 ISNUMBER(SEARCH("BOURBON",C1734)),"Whiskey",
 ISNUMBER(SEARCH("SCOTCH",C1734)),"Whiskey",
 ISNUMBER(SEARCH("RYE",C1734)),"Whiskey",
 ISNUMBER(SEARCH("VODKA",C1734)),"Vodka",
 ISNUMBER(SEARCH("TEQUILA",C1734)),"Tequila/Mezcal",
 ISNUMBER(SEARCH("MEZCAL",C1734)),"Tequila/Mezcal",
 ISNUMBER(SEARCH("RUM",C1734)),"Rum",
 ISNUMBER(SEARCH("BRAND",C1734)),"Brandy",
 ISNUMBER(SEARCH("COGNAC",C1734)),"Brandy",
 ISNUMBER(SEARCH("LIQUEUR",C1734)),"Liqueurs",
 ISNUMBER(SEARCH("CORDIAL",C1734)),"Liqueurs",
 ISNUMBER(SEARCH("SCHNAPP",C1734)),"Liqueurs",
 ISNUMBER(SEARCH("GIN",C1734)),"Gin",
 TRUE,"Other")</f>
        <v>Rum</v>
      </c>
      <c r="E1734" s="5">
        <v>136206</v>
      </c>
      <c r="F1734" s="5">
        <v>2006004.6599999876</v>
      </c>
      <c r="G1734" s="5"/>
      <c r="H1734" s="5">
        <v>9552</v>
      </c>
    </row>
    <row r="1735" spans="1:8">
      <c r="A1735" s="5">
        <v>2023</v>
      </c>
      <c r="B1735" s="6">
        <v>45078</v>
      </c>
      <c r="C1735" s="5" t="s">
        <v>43</v>
      </c>
      <c r="D1735" s="3" t="str" cm="1">
        <f t="array" ref="D1735">_xlfn.IFS(
 ISNUMBER(SEARCH("WHISK",C1735)),"Whiskey",
 ISNUMBER(SEARCH("BOURBON",C1735)),"Whiskey",
 ISNUMBER(SEARCH("SCOTCH",C1735)),"Whiskey",
 ISNUMBER(SEARCH("RYE",C1735)),"Whiskey",
 ISNUMBER(SEARCH("VODKA",C1735)),"Vodka",
 ISNUMBER(SEARCH("TEQUILA",C1735)),"Tequila/Mezcal",
 ISNUMBER(SEARCH("MEZCAL",C1735)),"Tequila/Mezcal",
 ISNUMBER(SEARCH("RUM",C1735)),"Rum",
 ISNUMBER(SEARCH("BRAND",C1735)),"Brandy",
 ISNUMBER(SEARCH("COGNAC",C1735)),"Brandy",
 ISNUMBER(SEARCH("LIQUEUR",C1735)),"Liqueurs",
 ISNUMBER(SEARCH("CORDIAL",C1735)),"Liqueurs",
 ISNUMBER(SEARCH("SCHNAPP",C1735)),"Liqueurs",
 ISNUMBER(SEARCH("GIN",C1735)),"Gin",
 TRUE,"Other")</f>
        <v>Whiskey</v>
      </c>
      <c r="E1735" s="5">
        <v>153756</v>
      </c>
      <c r="F1735" s="5">
        <v>3385187.1200000145</v>
      </c>
      <c r="G1735" s="5"/>
      <c r="H1735" s="5">
        <v>18151</v>
      </c>
    </row>
    <row r="1736" spans="1:8">
      <c r="A1736" s="5">
        <v>2023</v>
      </c>
      <c r="B1736" s="6">
        <v>45078</v>
      </c>
      <c r="C1736" s="5" t="s">
        <v>44</v>
      </c>
      <c r="D1736" s="3" t="str" cm="1">
        <f t="array" ref="D1736">_xlfn.IFS(
 ISNUMBER(SEARCH("WHISK",C1736)),"Whiskey",
 ISNUMBER(SEARCH("BOURBON",C1736)),"Whiskey",
 ISNUMBER(SEARCH("SCOTCH",C1736)),"Whiskey",
 ISNUMBER(SEARCH("RYE",C1736)),"Whiskey",
 ISNUMBER(SEARCH("VODKA",C1736)),"Vodka",
 ISNUMBER(SEARCH("TEQUILA",C1736)),"Tequila/Mezcal",
 ISNUMBER(SEARCH("MEZCAL",C1736)),"Tequila/Mezcal",
 ISNUMBER(SEARCH("RUM",C1736)),"Rum",
 ISNUMBER(SEARCH("BRAND",C1736)),"Brandy",
 ISNUMBER(SEARCH("COGNAC",C1736)),"Brandy",
 ISNUMBER(SEARCH("LIQUEUR",C1736)),"Liqueurs",
 ISNUMBER(SEARCH("CORDIAL",C1736)),"Liqueurs",
 ISNUMBER(SEARCH("SCHNAPP",C1736)),"Liqueurs",
 ISNUMBER(SEARCH("GIN",C1736)),"Gin",
 TRUE,"Other")</f>
        <v>Whiskey</v>
      </c>
      <c r="E1736" s="5">
        <v>13113</v>
      </c>
      <c r="F1736" s="5">
        <v>433126.76000000455</v>
      </c>
      <c r="G1736" s="5"/>
      <c r="H1736" s="5">
        <v>1925</v>
      </c>
    </row>
    <row r="1737" spans="1:8">
      <c r="A1737" s="5">
        <v>2023</v>
      </c>
      <c r="B1737" s="6">
        <v>45078</v>
      </c>
      <c r="C1737" s="5" t="s">
        <v>45</v>
      </c>
      <c r="D1737" s="3" t="str" cm="1">
        <f t="array" ref="D1737">_xlfn.IFS(
 ISNUMBER(SEARCH("WHISK",C1737)),"Whiskey",
 ISNUMBER(SEARCH("BOURBON",C1737)),"Whiskey",
 ISNUMBER(SEARCH("SCOTCH",C1737)),"Whiskey",
 ISNUMBER(SEARCH("RYE",C1737)),"Whiskey",
 ISNUMBER(SEARCH("VODKA",C1737)),"Vodka",
 ISNUMBER(SEARCH("TEQUILA",C1737)),"Tequila/Mezcal",
 ISNUMBER(SEARCH("MEZCAL",C1737)),"Tequila/Mezcal",
 ISNUMBER(SEARCH("RUM",C1737)),"Rum",
 ISNUMBER(SEARCH("BRAND",C1737)),"Brandy",
 ISNUMBER(SEARCH("COGNAC",C1737)),"Brandy",
 ISNUMBER(SEARCH("LIQUEUR",C1737)),"Liqueurs",
 ISNUMBER(SEARCH("CORDIAL",C1737)),"Liqueurs",
 ISNUMBER(SEARCH("SCHNAPP",C1737)),"Liqueurs",
 ISNUMBER(SEARCH("GIN",C1737)),"Gin",
 TRUE,"Other")</f>
        <v>Other</v>
      </c>
      <c r="E1737" s="5">
        <v>14691</v>
      </c>
      <c r="F1737" s="5">
        <v>524628.05999999656</v>
      </c>
      <c r="G1737" s="5"/>
      <c r="H1737" s="5">
        <v>4565</v>
      </c>
    </row>
    <row r="1738" spans="1:8">
      <c r="A1738" s="5">
        <v>2023</v>
      </c>
      <c r="B1738" s="6">
        <v>45078</v>
      </c>
      <c r="C1738" s="5" t="s">
        <v>46</v>
      </c>
      <c r="D1738" s="3" t="str" cm="1">
        <f t="array" ref="D1738">_xlfn.IFS(
 ISNUMBER(SEARCH("WHISK",C1738)),"Whiskey",
 ISNUMBER(SEARCH("BOURBON",C1738)),"Whiskey",
 ISNUMBER(SEARCH("SCOTCH",C1738)),"Whiskey",
 ISNUMBER(SEARCH("RYE",C1738)),"Whiskey",
 ISNUMBER(SEARCH("VODKA",C1738)),"Vodka",
 ISNUMBER(SEARCH("TEQUILA",C1738)),"Tequila/Mezcal",
 ISNUMBER(SEARCH("MEZCAL",C1738)),"Tequila/Mezcal",
 ISNUMBER(SEARCH("RUM",C1738)),"Rum",
 ISNUMBER(SEARCH("BRAND",C1738)),"Brandy",
 ISNUMBER(SEARCH("COGNAC",C1738)),"Brandy",
 ISNUMBER(SEARCH("LIQUEUR",C1738)),"Liqueurs",
 ISNUMBER(SEARCH("CORDIAL",C1738)),"Liqueurs",
 ISNUMBER(SEARCH("SCHNAPP",C1738)),"Liqueurs",
 ISNUMBER(SEARCH("GIN",C1738)),"Gin",
 TRUE,"Other")</f>
        <v>Whiskey</v>
      </c>
      <c r="E1738" s="5">
        <v>68958</v>
      </c>
      <c r="F1738" s="5">
        <v>1593273.1999999902</v>
      </c>
      <c r="G1738" s="5"/>
      <c r="H1738" s="5">
        <v>6990</v>
      </c>
    </row>
    <row r="1739" spans="1:8">
      <c r="A1739" s="5">
        <v>2023</v>
      </c>
      <c r="B1739" s="6">
        <v>45078</v>
      </c>
      <c r="C1739" s="5" t="s">
        <v>47</v>
      </c>
      <c r="D1739" s="3" t="str" cm="1">
        <f t="array" ref="D1739">_xlfn.IFS(
 ISNUMBER(SEARCH("WHISK",C1739)),"Whiskey",
 ISNUMBER(SEARCH("BOURBON",C1739)),"Whiskey",
 ISNUMBER(SEARCH("SCOTCH",C1739)),"Whiskey",
 ISNUMBER(SEARCH("RYE",C1739)),"Whiskey",
 ISNUMBER(SEARCH("VODKA",C1739)),"Vodka",
 ISNUMBER(SEARCH("TEQUILA",C1739)),"Tequila/Mezcal",
 ISNUMBER(SEARCH("MEZCAL",C1739)),"Tequila/Mezcal",
 ISNUMBER(SEARCH("RUM",C1739)),"Rum",
 ISNUMBER(SEARCH("BRAND",C1739)),"Brandy",
 ISNUMBER(SEARCH("COGNAC",C1739)),"Brandy",
 ISNUMBER(SEARCH("LIQUEUR",C1739)),"Liqueurs",
 ISNUMBER(SEARCH("CORDIAL",C1739)),"Liqueurs",
 ISNUMBER(SEARCH("SCHNAPP",C1739)),"Liqueurs",
 ISNUMBER(SEARCH("GIN",C1739)),"Gin",
 TRUE,"Other")</f>
        <v>Other</v>
      </c>
      <c r="E1739" s="5">
        <v>23525</v>
      </c>
      <c r="F1739" s="5">
        <v>96462.509999999675</v>
      </c>
      <c r="G1739" s="5"/>
      <c r="H1739" s="5">
        <v>942</v>
      </c>
    </row>
    <row r="1740" spans="1:8">
      <c r="A1740" s="5">
        <v>2023</v>
      </c>
      <c r="B1740" s="6">
        <v>45078</v>
      </c>
      <c r="C1740" s="5" t="s">
        <v>48</v>
      </c>
      <c r="D1740" s="3" t="str" cm="1">
        <f t="array" ref="D1740">_xlfn.IFS(
 ISNUMBER(SEARCH("WHISK",C1740)),"Whiskey",
 ISNUMBER(SEARCH("BOURBON",C1740)),"Whiskey",
 ISNUMBER(SEARCH("SCOTCH",C1740)),"Whiskey",
 ISNUMBER(SEARCH("RYE",C1740)),"Whiskey",
 ISNUMBER(SEARCH("VODKA",C1740)),"Vodka",
 ISNUMBER(SEARCH("TEQUILA",C1740)),"Tequila/Mezcal",
 ISNUMBER(SEARCH("MEZCAL",C1740)),"Tequila/Mezcal",
 ISNUMBER(SEARCH("RUM",C1740)),"Rum",
 ISNUMBER(SEARCH("BRAND",C1740)),"Brandy",
 ISNUMBER(SEARCH("COGNAC",C1740)),"Brandy",
 ISNUMBER(SEARCH("LIQUEUR",C1740)),"Liqueurs",
 ISNUMBER(SEARCH("CORDIAL",C1740)),"Liqueurs",
 ISNUMBER(SEARCH("SCHNAPP",C1740)),"Liqueurs",
 ISNUMBER(SEARCH("GIN",C1740)),"Gin",
 TRUE,"Other")</f>
        <v>Whiskey</v>
      </c>
      <c r="E1740" s="5">
        <v>404196</v>
      </c>
      <c r="F1740" s="5">
        <v>2547117.7599999164</v>
      </c>
      <c r="G1740" s="5"/>
      <c r="H1740" s="5">
        <v>15371</v>
      </c>
    </row>
    <row r="1741" spans="1:8">
      <c r="A1741" s="5">
        <v>2023</v>
      </c>
      <c r="B1741" s="6">
        <v>45078</v>
      </c>
      <c r="C1741" s="5" t="s">
        <v>49</v>
      </c>
      <c r="D1741" s="3" t="str" cm="1">
        <f t="array" ref="D1741">_xlfn.IFS(
 ISNUMBER(SEARCH("WHISK",C1741)),"Whiskey",
 ISNUMBER(SEARCH("BOURBON",C1741)),"Whiskey",
 ISNUMBER(SEARCH("SCOTCH",C1741)),"Whiskey",
 ISNUMBER(SEARCH("RYE",C1741)),"Whiskey",
 ISNUMBER(SEARCH("VODKA",C1741)),"Vodka",
 ISNUMBER(SEARCH("TEQUILA",C1741)),"Tequila/Mezcal",
 ISNUMBER(SEARCH("MEZCAL",C1741)),"Tequila/Mezcal",
 ISNUMBER(SEARCH("RUM",C1741)),"Rum",
 ISNUMBER(SEARCH("BRAND",C1741)),"Brandy",
 ISNUMBER(SEARCH("COGNAC",C1741)),"Brandy",
 ISNUMBER(SEARCH("LIQUEUR",C1741)),"Liqueurs",
 ISNUMBER(SEARCH("CORDIAL",C1741)),"Liqueurs",
 ISNUMBER(SEARCH("SCHNAPP",C1741)),"Liqueurs",
 ISNUMBER(SEARCH("GIN",C1741)),"Gin",
 TRUE,"Other")</f>
        <v>Rum</v>
      </c>
      <c r="E1741" s="5">
        <v>50845</v>
      </c>
      <c r="F1741" s="5">
        <v>640575.64000000886</v>
      </c>
      <c r="G1741" s="5"/>
      <c r="H1741" s="5">
        <v>4660</v>
      </c>
    </row>
    <row r="1742" spans="1:8">
      <c r="A1742" s="5">
        <v>2023</v>
      </c>
      <c r="B1742" s="6">
        <v>45078</v>
      </c>
      <c r="C1742" s="5" t="s">
        <v>25</v>
      </c>
      <c r="D1742" s="3" t="str" cm="1">
        <f t="array" ref="D1742">_xlfn.IFS(
 ISNUMBER(SEARCH("WHISK",C1742)),"Whiskey",
 ISNUMBER(SEARCH("BOURBON",C1742)),"Whiskey",
 ISNUMBER(SEARCH("SCOTCH",C1742)),"Whiskey",
 ISNUMBER(SEARCH("RYE",C1742)),"Whiskey",
 ISNUMBER(SEARCH("VODKA",C1742)),"Vodka",
 ISNUMBER(SEARCH("TEQUILA",C1742)),"Tequila/Mezcal",
 ISNUMBER(SEARCH("MEZCAL",C1742)),"Tequila/Mezcal",
 ISNUMBER(SEARCH("RUM",C1742)),"Rum",
 ISNUMBER(SEARCH("BRAND",C1742)),"Brandy",
 ISNUMBER(SEARCH("COGNAC",C1742)),"Brandy",
 ISNUMBER(SEARCH("LIQUEUR",C1742)),"Liqueurs",
 ISNUMBER(SEARCH("CORDIAL",C1742)),"Liqueurs",
 ISNUMBER(SEARCH("SCHNAPP",C1742)),"Liqueurs",
 ISNUMBER(SEARCH("GIN",C1742)),"Gin",
 TRUE,"Other")</f>
        <v>Rum</v>
      </c>
      <c r="E1742" s="5">
        <v>7371</v>
      </c>
      <c r="F1742" s="5">
        <v>99576.939999999653</v>
      </c>
      <c r="G1742" s="5"/>
      <c r="H1742" s="5">
        <v>1032</v>
      </c>
    </row>
    <row r="1743" spans="1:8">
      <c r="A1743" s="5">
        <v>2023</v>
      </c>
      <c r="B1743" s="6">
        <v>45078</v>
      </c>
      <c r="C1743" s="5" t="s">
        <v>36</v>
      </c>
      <c r="D1743" s="3" t="str" cm="1">
        <f t="array" ref="D1743">_xlfn.IFS(
 ISNUMBER(SEARCH("WHISK",C1743)),"Whiskey",
 ISNUMBER(SEARCH("BOURBON",C1743)),"Whiskey",
 ISNUMBER(SEARCH("SCOTCH",C1743)),"Whiskey",
 ISNUMBER(SEARCH("RYE",C1743)),"Whiskey",
 ISNUMBER(SEARCH("VODKA",C1743)),"Vodka",
 ISNUMBER(SEARCH("TEQUILA",C1743)),"Tequila/Mezcal",
 ISNUMBER(SEARCH("MEZCAL",C1743)),"Tequila/Mezcal",
 ISNUMBER(SEARCH("RUM",C1743)),"Rum",
 ISNUMBER(SEARCH("BRAND",C1743)),"Brandy",
 ISNUMBER(SEARCH("COGNAC",C1743)),"Brandy",
 ISNUMBER(SEARCH("LIQUEUR",C1743)),"Liqueurs",
 ISNUMBER(SEARCH("CORDIAL",C1743)),"Liqueurs",
 ISNUMBER(SEARCH("SCHNAPP",C1743)),"Liqueurs",
 ISNUMBER(SEARCH("GIN",C1743)),"Gin",
 TRUE,"Other")</f>
        <v>Other</v>
      </c>
      <c r="E1743" s="5">
        <v>3387</v>
      </c>
      <c r="F1743" s="5">
        <v>47168.649999999958</v>
      </c>
      <c r="G1743" s="5"/>
      <c r="H1743" s="5">
        <v>491</v>
      </c>
    </row>
    <row r="1744" spans="1:8">
      <c r="A1744" s="5">
        <v>2023</v>
      </c>
      <c r="B1744" s="6">
        <v>45078</v>
      </c>
      <c r="C1744" s="5" t="s">
        <v>41</v>
      </c>
      <c r="D1744" s="3" t="str" cm="1">
        <f t="array" ref="D1744">_xlfn.IFS(
 ISNUMBER(SEARCH("WHISK",C1744)),"Whiskey",
 ISNUMBER(SEARCH("BOURBON",C1744)),"Whiskey",
 ISNUMBER(SEARCH("SCOTCH",C1744)),"Whiskey",
 ISNUMBER(SEARCH("RYE",C1744)),"Whiskey",
 ISNUMBER(SEARCH("VODKA",C1744)),"Vodka",
 ISNUMBER(SEARCH("TEQUILA",C1744)),"Tequila/Mezcal",
 ISNUMBER(SEARCH("MEZCAL",C1744)),"Tequila/Mezcal",
 ISNUMBER(SEARCH("RUM",C1744)),"Rum",
 ISNUMBER(SEARCH("BRAND",C1744)),"Brandy",
 ISNUMBER(SEARCH("COGNAC",C1744)),"Brandy",
 ISNUMBER(SEARCH("LIQUEUR",C1744)),"Liqueurs",
 ISNUMBER(SEARCH("CORDIAL",C1744)),"Liqueurs",
 ISNUMBER(SEARCH("SCHNAPP",C1744)),"Liqueurs",
 ISNUMBER(SEARCH("GIN",C1744)),"Gin",
 TRUE,"Other")</f>
        <v>Other</v>
      </c>
      <c r="E1744" s="5">
        <v>10884</v>
      </c>
      <c r="F1744" s="5">
        <v>128192.50000000004</v>
      </c>
      <c r="G1744" s="5"/>
      <c r="H1744" s="5">
        <v>180</v>
      </c>
    </row>
    <row r="1745" spans="1:8">
      <c r="A1745" s="5">
        <v>2023</v>
      </c>
      <c r="B1745" s="6">
        <v>45078</v>
      </c>
      <c r="C1745" s="5" t="s">
        <v>39</v>
      </c>
      <c r="D1745" s="3" t="str" cm="1">
        <f t="array" ref="D1745">_xlfn.IFS(
 ISNUMBER(SEARCH("WHISK",C1745)),"Whiskey",
 ISNUMBER(SEARCH("BOURBON",C1745)),"Whiskey",
 ISNUMBER(SEARCH("SCOTCH",C1745)),"Whiskey",
 ISNUMBER(SEARCH("RYE",C1745)),"Whiskey",
 ISNUMBER(SEARCH("VODKA",C1745)),"Vodka",
 ISNUMBER(SEARCH("TEQUILA",C1745)),"Tequila/Mezcal",
 ISNUMBER(SEARCH("MEZCAL",C1745)),"Tequila/Mezcal",
 ISNUMBER(SEARCH("RUM",C1745)),"Rum",
 ISNUMBER(SEARCH("BRAND",C1745)),"Brandy",
 ISNUMBER(SEARCH("COGNAC",C1745)),"Brandy",
 ISNUMBER(SEARCH("LIQUEUR",C1745)),"Liqueurs",
 ISNUMBER(SEARCH("CORDIAL",C1745)),"Liqueurs",
 ISNUMBER(SEARCH("SCHNAPP",C1745)),"Liqueurs",
 ISNUMBER(SEARCH("GIN",C1745)),"Gin",
 TRUE,"Other")</f>
        <v>Whiskey</v>
      </c>
      <c r="E1745" s="5">
        <v>3715</v>
      </c>
      <c r="F1745" s="5">
        <v>151698.64999999994</v>
      </c>
      <c r="G1745" s="5"/>
      <c r="H1745" s="5">
        <v>719</v>
      </c>
    </row>
    <row r="1746" spans="1:8">
      <c r="A1746" s="5">
        <v>2023</v>
      </c>
      <c r="B1746" s="6">
        <v>45078</v>
      </c>
      <c r="C1746" s="5" t="s">
        <v>14</v>
      </c>
      <c r="D1746" s="3" t="str" cm="1">
        <f t="array" ref="D1746">_xlfn.IFS(
 ISNUMBER(SEARCH("WHISK",C1746)),"Whiskey",
 ISNUMBER(SEARCH("BOURBON",C1746)),"Whiskey",
 ISNUMBER(SEARCH("SCOTCH",C1746)),"Whiskey",
 ISNUMBER(SEARCH("RYE",C1746)),"Whiskey",
 ISNUMBER(SEARCH("VODKA",C1746)),"Vodka",
 ISNUMBER(SEARCH("TEQUILA",C1746)),"Tequila/Mezcal",
 ISNUMBER(SEARCH("MEZCAL",C1746)),"Tequila/Mezcal",
 ISNUMBER(SEARCH("RUM",C1746)),"Rum",
 ISNUMBER(SEARCH("BRAND",C1746)),"Brandy",
 ISNUMBER(SEARCH("COGNAC",C1746)),"Brandy",
 ISNUMBER(SEARCH("LIQUEUR",C1746)),"Liqueurs",
 ISNUMBER(SEARCH("CORDIAL",C1746)),"Liqueurs",
 ISNUMBER(SEARCH("SCHNAPP",C1746)),"Liqueurs",
 ISNUMBER(SEARCH("GIN",C1746)),"Gin",
 TRUE,"Other")</f>
        <v>Gin</v>
      </c>
      <c r="E1746" s="5">
        <v>241</v>
      </c>
      <c r="F1746" s="5">
        <v>2024.1299999999994</v>
      </c>
      <c r="G1746" s="5"/>
      <c r="H1746" s="5">
        <v>54</v>
      </c>
    </row>
    <row r="1747" spans="1:8">
      <c r="A1747" s="5">
        <v>2023</v>
      </c>
      <c r="B1747" s="6">
        <v>45078</v>
      </c>
      <c r="C1747" s="5" t="s">
        <v>21</v>
      </c>
      <c r="D1747" s="3" t="str" cm="1">
        <f t="array" ref="D1747">_xlfn.IFS(
 ISNUMBER(SEARCH("WHISK",C1747)),"Whiskey",
 ISNUMBER(SEARCH("BOURBON",C1747)),"Whiskey",
 ISNUMBER(SEARCH("SCOTCH",C1747)),"Whiskey",
 ISNUMBER(SEARCH("RYE",C1747)),"Whiskey",
 ISNUMBER(SEARCH("VODKA",C1747)),"Vodka",
 ISNUMBER(SEARCH("TEQUILA",C1747)),"Tequila/Mezcal",
 ISNUMBER(SEARCH("MEZCAL",C1747)),"Tequila/Mezcal",
 ISNUMBER(SEARCH("RUM",C1747)),"Rum",
 ISNUMBER(SEARCH("BRAND",C1747)),"Brandy",
 ISNUMBER(SEARCH("COGNAC",C1747)),"Brandy",
 ISNUMBER(SEARCH("LIQUEUR",C1747)),"Liqueurs",
 ISNUMBER(SEARCH("CORDIAL",C1747)),"Liqueurs",
 ISNUMBER(SEARCH("SCHNAPP",C1747)),"Liqueurs",
 ISNUMBER(SEARCH("GIN",C1747)),"Gin",
 TRUE,"Other")</f>
        <v>Whiskey</v>
      </c>
      <c r="E1747" s="5">
        <v>741</v>
      </c>
      <c r="F1747" s="5">
        <v>17379.439999999999</v>
      </c>
      <c r="G1747" s="5"/>
      <c r="H1747" s="5">
        <v>140</v>
      </c>
    </row>
    <row r="1748" spans="1:8">
      <c r="A1748" s="5">
        <v>2023</v>
      </c>
      <c r="B1748" s="6">
        <v>45108</v>
      </c>
      <c r="C1748" s="5" t="s">
        <v>8</v>
      </c>
      <c r="D1748" s="3" t="str" cm="1">
        <f t="array" ref="D1748">_xlfn.IFS(
 ISNUMBER(SEARCH("WHISK",C1748)),"Whiskey",
 ISNUMBER(SEARCH("BOURBON",C1748)),"Whiskey",
 ISNUMBER(SEARCH("SCOTCH",C1748)),"Whiskey",
 ISNUMBER(SEARCH("RYE",C1748)),"Whiskey",
 ISNUMBER(SEARCH("VODKA",C1748)),"Vodka",
 ISNUMBER(SEARCH("TEQUILA",C1748)),"Tequila/Mezcal",
 ISNUMBER(SEARCH("MEZCAL",C1748)),"Tequila/Mezcal",
 ISNUMBER(SEARCH("RUM",C1748)),"Rum",
 ISNUMBER(SEARCH("BRAND",C1748)),"Brandy",
 ISNUMBER(SEARCH("COGNAC",C1748)),"Brandy",
 ISNUMBER(SEARCH("LIQUEUR",C1748)),"Liqueurs",
 ISNUMBER(SEARCH("CORDIAL",C1748)),"Liqueurs",
 ISNUMBER(SEARCH("SCHNAPP",C1748)),"Liqueurs",
 ISNUMBER(SEARCH("GIN",C1748)),"Gin",
 TRUE,"Other")</f>
        <v>Brandy</v>
      </c>
      <c r="E1748" s="5">
        <v>52351</v>
      </c>
      <c r="F1748" s="5">
        <v>327218.46000000305</v>
      </c>
      <c r="G1748" s="5"/>
      <c r="H1748" s="5">
        <v>4141</v>
      </c>
    </row>
    <row r="1749" spans="1:8">
      <c r="A1749" s="5">
        <v>2023</v>
      </c>
      <c r="B1749" s="6">
        <v>45108</v>
      </c>
      <c r="C1749" s="5" t="s">
        <v>59</v>
      </c>
      <c r="D1749" s="3" t="str" cm="1">
        <f t="array" ref="D1749">_xlfn.IFS(
 ISNUMBER(SEARCH("WHISK",C1749)),"Whiskey",
 ISNUMBER(SEARCH("BOURBON",C1749)),"Whiskey",
 ISNUMBER(SEARCH("SCOTCH",C1749)),"Whiskey",
 ISNUMBER(SEARCH("RYE",C1749)),"Whiskey",
 ISNUMBER(SEARCH("VODKA",C1749)),"Vodka",
 ISNUMBER(SEARCH("TEQUILA",C1749)),"Tequila/Mezcal",
 ISNUMBER(SEARCH("MEZCAL",C1749)),"Tequila/Mezcal",
 ISNUMBER(SEARCH("RUM",C1749)),"Rum",
 ISNUMBER(SEARCH("BRAND",C1749)),"Brandy",
 ISNUMBER(SEARCH("COGNAC",C1749)),"Brandy",
 ISNUMBER(SEARCH("LIQUEUR",C1749)),"Liqueurs",
 ISNUMBER(SEARCH("CORDIAL",C1749)),"Liqueurs",
 ISNUMBER(SEARCH("SCHNAPP",C1749)),"Liqueurs",
 ISNUMBER(SEARCH("GIN",C1749)),"Gin",
 TRUE,"Other")</f>
        <v>Liqueurs</v>
      </c>
      <c r="E1749" s="5">
        <v>33550</v>
      </c>
      <c r="F1749" s="5">
        <v>373704.71000000893</v>
      </c>
      <c r="G1749" s="5"/>
      <c r="H1749" s="5">
        <v>5396</v>
      </c>
    </row>
    <row r="1750" spans="1:8">
      <c r="A1750" s="5">
        <v>2023</v>
      </c>
      <c r="B1750" s="6">
        <v>45108</v>
      </c>
      <c r="C1750" s="5" t="s">
        <v>11</v>
      </c>
      <c r="D1750" s="3" t="str" cm="1">
        <f t="array" ref="D1750">_xlfn.IFS(
 ISNUMBER(SEARCH("WHISK",C1750)),"Whiskey",
 ISNUMBER(SEARCH("BOURBON",C1750)),"Whiskey",
 ISNUMBER(SEARCH("SCOTCH",C1750)),"Whiskey",
 ISNUMBER(SEARCH("RYE",C1750)),"Whiskey",
 ISNUMBER(SEARCH("VODKA",C1750)),"Vodka",
 ISNUMBER(SEARCH("TEQUILA",C1750)),"Tequila/Mezcal",
 ISNUMBER(SEARCH("MEZCAL",C1750)),"Tequila/Mezcal",
 ISNUMBER(SEARCH("RUM",C1750)),"Rum",
 ISNUMBER(SEARCH("BRAND",C1750)),"Brandy",
 ISNUMBER(SEARCH("COGNAC",C1750)),"Brandy",
 ISNUMBER(SEARCH("LIQUEUR",C1750)),"Liqueurs",
 ISNUMBER(SEARCH("CORDIAL",C1750)),"Liqueurs",
 ISNUMBER(SEARCH("SCHNAPP",C1750)),"Liqueurs",
 ISNUMBER(SEARCH("GIN",C1750)),"Gin",
 TRUE,"Other")</f>
        <v>Gin</v>
      </c>
      <c r="E1750" s="5">
        <v>28800</v>
      </c>
      <c r="F1750" s="5">
        <v>277925.52000000176</v>
      </c>
      <c r="G1750" s="5"/>
      <c r="H1750" s="5">
        <v>2760</v>
      </c>
    </row>
    <row r="1751" spans="1:8">
      <c r="A1751" s="5">
        <v>2023</v>
      </c>
      <c r="B1751" s="6">
        <v>45108</v>
      </c>
      <c r="C1751" s="5" t="s">
        <v>12</v>
      </c>
      <c r="D1751" s="3" t="str" cm="1">
        <f t="array" ref="D1751">_xlfn.IFS(
 ISNUMBER(SEARCH("WHISK",C1751)),"Whiskey",
 ISNUMBER(SEARCH("BOURBON",C1751)),"Whiskey",
 ISNUMBER(SEARCH("SCOTCH",C1751)),"Whiskey",
 ISNUMBER(SEARCH("RYE",C1751)),"Whiskey",
 ISNUMBER(SEARCH("VODKA",C1751)),"Vodka",
 ISNUMBER(SEARCH("TEQUILA",C1751)),"Tequila/Mezcal",
 ISNUMBER(SEARCH("MEZCAL",C1751)),"Tequila/Mezcal",
 ISNUMBER(SEARCH("RUM",C1751)),"Rum",
 ISNUMBER(SEARCH("BRAND",C1751)),"Brandy",
 ISNUMBER(SEARCH("COGNAC",C1751)),"Brandy",
 ISNUMBER(SEARCH("LIQUEUR",C1751)),"Liqueurs",
 ISNUMBER(SEARCH("CORDIAL",C1751)),"Liqueurs",
 ISNUMBER(SEARCH("SCHNAPP",C1751)),"Liqueurs",
 ISNUMBER(SEARCH("GIN",C1751)),"Gin",
 TRUE,"Other")</f>
        <v>Vodka</v>
      </c>
      <c r="E1751" s="5">
        <v>89828</v>
      </c>
      <c r="F1751" s="5">
        <v>1013981.8100000503</v>
      </c>
      <c r="G1751" s="5"/>
      <c r="H1751" s="5">
        <v>11103</v>
      </c>
    </row>
    <row r="1752" spans="1:8">
      <c r="A1752" s="5">
        <v>2023</v>
      </c>
      <c r="B1752" s="6">
        <v>45108</v>
      </c>
      <c r="C1752" s="5" t="s">
        <v>13</v>
      </c>
      <c r="D1752" s="3" t="str" cm="1">
        <f t="array" ref="D1752">_xlfn.IFS(
 ISNUMBER(SEARCH("WHISK",C1752)),"Whiskey",
 ISNUMBER(SEARCH("BOURBON",C1752)),"Whiskey",
 ISNUMBER(SEARCH("SCOTCH",C1752)),"Whiskey",
 ISNUMBER(SEARCH("RYE",C1752)),"Whiskey",
 ISNUMBER(SEARCH("VODKA",C1752)),"Vodka",
 ISNUMBER(SEARCH("TEQUILA",C1752)),"Tequila/Mezcal",
 ISNUMBER(SEARCH("MEZCAL",C1752)),"Tequila/Mezcal",
 ISNUMBER(SEARCH("RUM",C1752)),"Rum",
 ISNUMBER(SEARCH("BRAND",C1752)),"Brandy",
 ISNUMBER(SEARCH("COGNAC",C1752)),"Brandy",
 ISNUMBER(SEARCH("LIQUEUR",C1752)),"Liqueurs",
 ISNUMBER(SEARCH("CORDIAL",C1752)),"Liqueurs",
 ISNUMBER(SEARCH("SCHNAPP",C1752)),"Liqueurs",
 ISNUMBER(SEARCH("GIN",C1752)),"Gin",
 TRUE,"Other")</f>
        <v>Liqueurs</v>
      </c>
      <c r="E1752" s="5">
        <v>72820</v>
      </c>
      <c r="F1752" s="5">
        <v>604340.09000002604</v>
      </c>
      <c r="G1752" s="5"/>
      <c r="H1752" s="5">
        <v>6641</v>
      </c>
    </row>
    <row r="1753" spans="1:8">
      <c r="A1753" s="5">
        <v>2023</v>
      </c>
      <c r="B1753" s="6">
        <v>45108</v>
      </c>
      <c r="C1753" s="5" t="s">
        <v>15</v>
      </c>
      <c r="D1753" s="3" t="str" cm="1">
        <f t="array" ref="D1753">_xlfn.IFS(
 ISNUMBER(SEARCH("WHISK",C1753)),"Whiskey",
 ISNUMBER(SEARCH("BOURBON",C1753)),"Whiskey",
 ISNUMBER(SEARCH("SCOTCH",C1753)),"Whiskey",
 ISNUMBER(SEARCH("RYE",C1753)),"Whiskey",
 ISNUMBER(SEARCH("VODKA",C1753)),"Vodka",
 ISNUMBER(SEARCH("TEQUILA",C1753)),"Tequila/Mezcal",
 ISNUMBER(SEARCH("MEZCAL",C1753)),"Tequila/Mezcal",
 ISNUMBER(SEARCH("RUM",C1753)),"Rum",
 ISNUMBER(SEARCH("BRAND",C1753)),"Brandy",
 ISNUMBER(SEARCH("COGNAC",C1753)),"Brandy",
 ISNUMBER(SEARCH("LIQUEUR",C1753)),"Liqueurs",
 ISNUMBER(SEARCH("CORDIAL",C1753)),"Liqueurs",
 ISNUMBER(SEARCH("SCHNAPP",C1753)),"Liqueurs",
 ISNUMBER(SEARCH("GIN",C1753)),"Gin",
 TRUE,"Other")</f>
        <v>Vodka</v>
      </c>
      <c r="E1753" s="5">
        <v>521181</v>
      </c>
      <c r="F1753" s="5">
        <v>5381817.8399998071</v>
      </c>
      <c r="G1753" s="5"/>
      <c r="H1753" s="5">
        <v>33130</v>
      </c>
    </row>
    <row r="1754" spans="1:8">
      <c r="A1754" s="5">
        <v>2023</v>
      </c>
      <c r="B1754" s="6">
        <v>45108</v>
      </c>
      <c r="C1754" s="5" t="s">
        <v>16</v>
      </c>
      <c r="D1754" s="3" t="str" cm="1">
        <f t="array" ref="D1754">_xlfn.IFS(
 ISNUMBER(SEARCH("WHISK",C1754)),"Whiskey",
 ISNUMBER(SEARCH("BOURBON",C1754)),"Whiskey",
 ISNUMBER(SEARCH("SCOTCH",C1754)),"Whiskey",
 ISNUMBER(SEARCH("RYE",C1754)),"Whiskey",
 ISNUMBER(SEARCH("VODKA",C1754)),"Vodka",
 ISNUMBER(SEARCH("TEQUILA",C1754)),"Tequila/Mezcal",
 ISNUMBER(SEARCH("MEZCAL",C1754)),"Tequila/Mezcal",
 ISNUMBER(SEARCH("RUM",C1754)),"Rum",
 ISNUMBER(SEARCH("BRAND",C1754)),"Brandy",
 ISNUMBER(SEARCH("COGNAC",C1754)),"Brandy",
 ISNUMBER(SEARCH("LIQUEUR",C1754)),"Liqueurs",
 ISNUMBER(SEARCH("CORDIAL",C1754)),"Liqueurs",
 ISNUMBER(SEARCH("SCHNAPP",C1754)),"Liqueurs",
 ISNUMBER(SEARCH("GIN",C1754)),"Gin",
 TRUE,"Other")</f>
        <v>Whiskey</v>
      </c>
      <c r="E1754" s="5">
        <v>64473</v>
      </c>
      <c r="F1754" s="5">
        <v>926957.45999998972</v>
      </c>
      <c r="G1754" s="5"/>
      <c r="H1754" s="5">
        <v>7055</v>
      </c>
    </row>
    <row r="1755" spans="1:8">
      <c r="A1755" s="5">
        <v>2023</v>
      </c>
      <c r="B1755" s="6">
        <v>45108</v>
      </c>
      <c r="C1755" s="5" t="s">
        <v>17</v>
      </c>
      <c r="D1755" s="3" t="str" cm="1">
        <f t="array" ref="D1755">_xlfn.IFS(
 ISNUMBER(SEARCH("WHISK",C1755)),"Whiskey",
 ISNUMBER(SEARCH("BOURBON",C1755)),"Whiskey",
 ISNUMBER(SEARCH("SCOTCH",C1755)),"Whiskey",
 ISNUMBER(SEARCH("RYE",C1755)),"Whiskey",
 ISNUMBER(SEARCH("VODKA",C1755)),"Vodka",
 ISNUMBER(SEARCH("TEQUILA",C1755)),"Tequila/Mezcal",
 ISNUMBER(SEARCH("MEZCAL",C1755)),"Tequila/Mezcal",
 ISNUMBER(SEARCH("RUM",C1755)),"Rum",
 ISNUMBER(SEARCH("BRAND",C1755)),"Brandy",
 ISNUMBER(SEARCH("COGNAC",C1755)),"Brandy",
 ISNUMBER(SEARCH("LIQUEUR",C1755)),"Liqueurs",
 ISNUMBER(SEARCH("CORDIAL",C1755)),"Liqueurs",
 ISNUMBER(SEARCH("SCHNAPP",C1755)),"Liqueurs",
 ISNUMBER(SEARCH("GIN",C1755)),"Gin",
 TRUE,"Other")</f>
        <v>Whiskey</v>
      </c>
      <c r="E1755" s="5">
        <v>4982</v>
      </c>
      <c r="F1755" s="5">
        <v>153073.31000000003</v>
      </c>
      <c r="G1755" s="5"/>
      <c r="H1755" s="5">
        <v>1033</v>
      </c>
    </row>
    <row r="1756" spans="1:8">
      <c r="A1756" s="5">
        <v>2023</v>
      </c>
      <c r="B1756" s="6">
        <v>45108</v>
      </c>
      <c r="C1756" s="5" t="s">
        <v>18</v>
      </c>
      <c r="D1756" s="3" t="str" cm="1">
        <f t="array" ref="D1756">_xlfn.IFS(
 ISNUMBER(SEARCH("WHISK",C1756)),"Whiskey",
 ISNUMBER(SEARCH("BOURBON",C1756)),"Whiskey",
 ISNUMBER(SEARCH("SCOTCH",C1756)),"Whiskey",
 ISNUMBER(SEARCH("RYE",C1756)),"Whiskey",
 ISNUMBER(SEARCH("VODKA",C1756)),"Vodka",
 ISNUMBER(SEARCH("TEQUILA",C1756)),"Tequila/Mezcal",
 ISNUMBER(SEARCH("MEZCAL",C1756)),"Tequila/Mezcal",
 ISNUMBER(SEARCH("RUM",C1756)),"Rum",
 ISNUMBER(SEARCH("BRAND",C1756)),"Brandy",
 ISNUMBER(SEARCH("COGNAC",C1756)),"Brandy",
 ISNUMBER(SEARCH("LIQUEUR",C1756)),"Liqueurs",
 ISNUMBER(SEARCH("CORDIAL",C1756)),"Liqueurs",
 ISNUMBER(SEARCH("SCHNAPP",C1756)),"Liqueurs",
 ISNUMBER(SEARCH("GIN",C1756)),"Gin",
 TRUE,"Other")</f>
        <v>Whiskey</v>
      </c>
      <c r="E1756" s="5">
        <v>277431</v>
      </c>
      <c r="F1756" s="5">
        <v>5123706.1399998944</v>
      </c>
      <c r="G1756" s="5"/>
      <c r="H1756" s="5">
        <v>19456</v>
      </c>
    </row>
    <row r="1757" spans="1:8">
      <c r="A1757" s="5">
        <v>2023</v>
      </c>
      <c r="B1757" s="6">
        <v>45108</v>
      </c>
      <c r="C1757" s="5" t="s">
        <v>22</v>
      </c>
      <c r="D1757" s="3" t="str" cm="1">
        <f t="array" ref="D1757">_xlfn.IFS(
 ISNUMBER(SEARCH("WHISK",C1757)),"Whiskey",
 ISNUMBER(SEARCH("BOURBON",C1757)),"Whiskey",
 ISNUMBER(SEARCH("SCOTCH",C1757)),"Whiskey",
 ISNUMBER(SEARCH("RYE",C1757)),"Whiskey",
 ISNUMBER(SEARCH("VODKA",C1757)),"Vodka",
 ISNUMBER(SEARCH("TEQUILA",C1757)),"Tequila/Mezcal",
 ISNUMBER(SEARCH("MEZCAL",C1757)),"Tequila/Mezcal",
 ISNUMBER(SEARCH("RUM",C1757)),"Rum",
 ISNUMBER(SEARCH("BRAND",C1757)),"Brandy",
 ISNUMBER(SEARCH("COGNAC",C1757)),"Brandy",
 ISNUMBER(SEARCH("LIQUEUR",C1757)),"Liqueurs",
 ISNUMBER(SEARCH("CORDIAL",C1757)),"Liqueurs",
 ISNUMBER(SEARCH("SCHNAPP",C1757)),"Liqueurs",
 ISNUMBER(SEARCH("GIN",C1757)),"Gin",
 TRUE,"Other")</f>
        <v>Liqueurs</v>
      </c>
      <c r="E1757" s="5">
        <v>25195</v>
      </c>
      <c r="F1757" s="5">
        <v>494112.10999999032</v>
      </c>
      <c r="G1757" s="5"/>
      <c r="H1757" s="5">
        <v>4034</v>
      </c>
    </row>
    <row r="1758" spans="1:8">
      <c r="A1758" s="5">
        <v>2023</v>
      </c>
      <c r="B1758" s="6">
        <v>45108</v>
      </c>
      <c r="C1758" s="5" t="s">
        <v>24</v>
      </c>
      <c r="D1758" s="3" t="str" cm="1">
        <f t="array" ref="D1758">_xlfn.IFS(
 ISNUMBER(SEARCH("WHISK",C1758)),"Whiskey",
 ISNUMBER(SEARCH("BOURBON",C1758)),"Whiskey",
 ISNUMBER(SEARCH("SCOTCH",C1758)),"Whiskey",
 ISNUMBER(SEARCH("RYE",C1758)),"Whiskey",
 ISNUMBER(SEARCH("VODKA",C1758)),"Vodka",
 ISNUMBER(SEARCH("TEQUILA",C1758)),"Tequila/Mezcal",
 ISNUMBER(SEARCH("MEZCAL",C1758)),"Tequila/Mezcal",
 ISNUMBER(SEARCH("RUM",C1758)),"Rum",
 ISNUMBER(SEARCH("BRAND",C1758)),"Brandy",
 ISNUMBER(SEARCH("COGNAC",C1758)),"Brandy",
 ISNUMBER(SEARCH("LIQUEUR",C1758)),"Liqueurs",
 ISNUMBER(SEARCH("CORDIAL",C1758)),"Liqueurs",
 ISNUMBER(SEARCH("SCHNAPP",C1758)),"Liqueurs",
 ISNUMBER(SEARCH("GIN",C1758)),"Gin",
 TRUE,"Other")</f>
        <v>Rum</v>
      </c>
      <c r="E1758" s="5">
        <v>52951</v>
      </c>
      <c r="F1758" s="5">
        <v>823510.40999999736</v>
      </c>
      <c r="G1758" s="5"/>
      <c r="H1758" s="5">
        <v>4952</v>
      </c>
    </row>
    <row r="1759" spans="1:8">
      <c r="A1759" s="5">
        <v>2023</v>
      </c>
      <c r="B1759" s="6">
        <v>45108</v>
      </c>
      <c r="C1759" s="5" t="s">
        <v>25</v>
      </c>
      <c r="D1759" s="3" t="str" cm="1">
        <f t="array" ref="D1759">_xlfn.IFS(
 ISNUMBER(SEARCH("WHISK",C1759)),"Whiskey",
 ISNUMBER(SEARCH("BOURBON",C1759)),"Whiskey",
 ISNUMBER(SEARCH("SCOTCH",C1759)),"Whiskey",
 ISNUMBER(SEARCH("RYE",C1759)),"Whiskey",
 ISNUMBER(SEARCH("VODKA",C1759)),"Vodka",
 ISNUMBER(SEARCH("TEQUILA",C1759)),"Tequila/Mezcal",
 ISNUMBER(SEARCH("MEZCAL",C1759)),"Tequila/Mezcal",
 ISNUMBER(SEARCH("RUM",C1759)),"Rum",
 ISNUMBER(SEARCH("BRAND",C1759)),"Brandy",
 ISNUMBER(SEARCH("COGNAC",C1759)),"Brandy",
 ISNUMBER(SEARCH("LIQUEUR",C1759)),"Liqueurs",
 ISNUMBER(SEARCH("CORDIAL",C1759)),"Liqueurs",
 ISNUMBER(SEARCH("SCHNAPP",C1759)),"Liqueurs",
 ISNUMBER(SEARCH("GIN",C1759)),"Gin",
 TRUE,"Other")</f>
        <v>Rum</v>
      </c>
      <c r="E1759" s="5">
        <v>5740</v>
      </c>
      <c r="F1759" s="5">
        <v>80933.459999999715</v>
      </c>
      <c r="G1759" s="5"/>
      <c r="H1759" s="5">
        <v>872</v>
      </c>
    </row>
    <row r="1760" spans="1:8">
      <c r="A1760" s="5">
        <v>2023</v>
      </c>
      <c r="B1760" s="6">
        <v>45108</v>
      </c>
      <c r="C1760" s="5" t="s">
        <v>60</v>
      </c>
      <c r="D1760" s="3" t="str" cm="1">
        <f t="array" ref="D1760">_xlfn.IFS(
 ISNUMBER(SEARCH("WHISK",C1760)),"Whiskey",
 ISNUMBER(SEARCH("BOURBON",C1760)),"Whiskey",
 ISNUMBER(SEARCH("SCOTCH",C1760)),"Whiskey",
 ISNUMBER(SEARCH("RYE",C1760)),"Whiskey",
 ISNUMBER(SEARCH("VODKA",C1760)),"Vodka",
 ISNUMBER(SEARCH("TEQUILA",C1760)),"Tequila/Mezcal",
 ISNUMBER(SEARCH("MEZCAL",C1760)),"Tequila/Mezcal",
 ISNUMBER(SEARCH("RUM",C1760)),"Rum",
 ISNUMBER(SEARCH("BRAND",C1760)),"Brandy",
 ISNUMBER(SEARCH("COGNAC",C1760)),"Brandy",
 ISNUMBER(SEARCH("LIQUEUR",C1760)),"Liqueurs",
 ISNUMBER(SEARCH("CORDIAL",C1760)),"Liqueurs",
 ISNUMBER(SEARCH("SCHNAPP",C1760)),"Liqueurs",
 ISNUMBER(SEARCH("GIN",C1760)),"Gin",
 TRUE,"Other")</f>
        <v>Liqueurs</v>
      </c>
      <c r="E1760" s="5">
        <v>44304</v>
      </c>
      <c r="F1760" s="5">
        <v>1024196.8000000062</v>
      </c>
      <c r="G1760" s="5"/>
      <c r="H1760" s="5">
        <v>4647</v>
      </c>
    </row>
    <row r="1761" spans="1:8">
      <c r="A1761" s="5">
        <v>2023</v>
      </c>
      <c r="B1761" s="6">
        <v>45108</v>
      </c>
      <c r="C1761" s="5" t="s">
        <v>29</v>
      </c>
      <c r="D1761" s="3" t="str" cm="1">
        <f t="array" ref="D1761">_xlfn.IFS(
 ISNUMBER(SEARCH("WHISK",C1761)),"Whiskey",
 ISNUMBER(SEARCH("BOURBON",C1761)),"Whiskey",
 ISNUMBER(SEARCH("SCOTCH",C1761)),"Whiskey",
 ISNUMBER(SEARCH("RYE",C1761)),"Whiskey",
 ISNUMBER(SEARCH("VODKA",C1761)),"Vodka",
 ISNUMBER(SEARCH("TEQUILA",C1761)),"Tequila/Mezcal",
 ISNUMBER(SEARCH("MEZCAL",C1761)),"Tequila/Mezcal",
 ISNUMBER(SEARCH("RUM",C1761)),"Rum",
 ISNUMBER(SEARCH("BRAND",C1761)),"Brandy",
 ISNUMBER(SEARCH("COGNAC",C1761)),"Brandy",
 ISNUMBER(SEARCH("LIQUEUR",C1761)),"Liqueurs",
 ISNUMBER(SEARCH("CORDIAL",C1761)),"Liqueurs",
 ISNUMBER(SEARCH("SCHNAPP",C1761)),"Liqueurs",
 ISNUMBER(SEARCH("GIN",C1761)),"Gin",
 TRUE,"Other")</f>
        <v>Gin</v>
      </c>
      <c r="E1761" s="5">
        <v>17156</v>
      </c>
      <c r="F1761" s="5">
        <v>435231.54</v>
      </c>
      <c r="G1761" s="5"/>
      <c r="H1761" s="5">
        <v>2225</v>
      </c>
    </row>
    <row r="1762" spans="1:8">
      <c r="A1762" s="5">
        <v>2023</v>
      </c>
      <c r="B1762" s="6">
        <v>45108</v>
      </c>
      <c r="C1762" s="5" t="s">
        <v>30</v>
      </c>
      <c r="D1762" s="3" t="str" cm="1">
        <f t="array" ref="D1762">_xlfn.IFS(
 ISNUMBER(SEARCH("WHISK",C1762)),"Whiskey",
 ISNUMBER(SEARCH("BOURBON",C1762)),"Whiskey",
 ISNUMBER(SEARCH("SCOTCH",C1762)),"Whiskey",
 ISNUMBER(SEARCH("RYE",C1762)),"Whiskey",
 ISNUMBER(SEARCH("VODKA",C1762)),"Vodka",
 ISNUMBER(SEARCH("TEQUILA",C1762)),"Tequila/Mezcal",
 ISNUMBER(SEARCH("MEZCAL",C1762)),"Tequila/Mezcal",
 ISNUMBER(SEARCH("RUM",C1762)),"Rum",
 ISNUMBER(SEARCH("BRAND",C1762)),"Brandy",
 ISNUMBER(SEARCH("COGNAC",C1762)),"Brandy",
 ISNUMBER(SEARCH("LIQUEUR",C1762)),"Liqueurs",
 ISNUMBER(SEARCH("CORDIAL",C1762)),"Liqueurs",
 ISNUMBER(SEARCH("SCHNAPP",C1762)),"Liqueurs",
 ISNUMBER(SEARCH("GIN",C1762)),"Gin",
 TRUE,"Other")</f>
        <v>Vodka</v>
      </c>
      <c r="E1762" s="5">
        <v>27777</v>
      </c>
      <c r="F1762" s="5">
        <v>490757.00000000105</v>
      </c>
      <c r="G1762" s="5"/>
      <c r="H1762" s="5">
        <v>3024</v>
      </c>
    </row>
    <row r="1763" spans="1:8">
      <c r="A1763" s="5">
        <v>2023</v>
      </c>
      <c r="B1763" s="6">
        <v>45108</v>
      </c>
      <c r="C1763" s="5" t="s">
        <v>31</v>
      </c>
      <c r="D1763" s="3" t="str" cm="1">
        <f t="array" ref="D1763">_xlfn.IFS(
 ISNUMBER(SEARCH("WHISK",C1763)),"Whiskey",
 ISNUMBER(SEARCH("BOURBON",C1763)),"Whiskey",
 ISNUMBER(SEARCH("SCOTCH",C1763)),"Whiskey",
 ISNUMBER(SEARCH("RYE",C1763)),"Whiskey",
 ISNUMBER(SEARCH("VODKA",C1763)),"Vodka",
 ISNUMBER(SEARCH("TEQUILA",C1763)),"Tequila/Mezcal",
 ISNUMBER(SEARCH("MEZCAL",C1763)),"Tequila/Mezcal",
 ISNUMBER(SEARCH("RUM",C1763)),"Rum",
 ISNUMBER(SEARCH("BRAND",C1763)),"Brandy",
 ISNUMBER(SEARCH("COGNAC",C1763)),"Brandy",
 ISNUMBER(SEARCH("LIQUEUR",C1763)),"Liqueurs",
 ISNUMBER(SEARCH("CORDIAL",C1763)),"Liqueurs",
 ISNUMBER(SEARCH("SCHNAPP",C1763)),"Liqueurs",
 ISNUMBER(SEARCH("GIN",C1763)),"Gin",
 TRUE,"Other")</f>
        <v>Liqueurs</v>
      </c>
      <c r="E1763" s="5">
        <v>28357</v>
      </c>
      <c r="F1763" s="5">
        <v>488815.2300000008</v>
      </c>
      <c r="G1763" s="5"/>
      <c r="H1763" s="5">
        <v>2891</v>
      </c>
    </row>
    <row r="1764" spans="1:8">
      <c r="A1764" s="5">
        <v>2023</v>
      </c>
      <c r="B1764" s="6">
        <v>45108</v>
      </c>
      <c r="C1764" s="5" t="s">
        <v>32</v>
      </c>
      <c r="D1764" s="3" t="str" cm="1">
        <f t="array" ref="D1764">_xlfn.IFS(
 ISNUMBER(SEARCH("WHISK",C1764)),"Whiskey",
 ISNUMBER(SEARCH("BOURBON",C1764)),"Whiskey",
 ISNUMBER(SEARCH("SCOTCH",C1764)),"Whiskey",
 ISNUMBER(SEARCH("RYE",C1764)),"Whiskey",
 ISNUMBER(SEARCH("VODKA",C1764)),"Vodka",
 ISNUMBER(SEARCH("TEQUILA",C1764)),"Tequila/Mezcal",
 ISNUMBER(SEARCH("MEZCAL",C1764)),"Tequila/Mezcal",
 ISNUMBER(SEARCH("RUM",C1764)),"Rum",
 ISNUMBER(SEARCH("BRAND",C1764)),"Brandy",
 ISNUMBER(SEARCH("COGNAC",C1764)),"Brandy",
 ISNUMBER(SEARCH("LIQUEUR",C1764)),"Liqueurs",
 ISNUMBER(SEARCH("CORDIAL",C1764)),"Liqueurs",
 ISNUMBER(SEARCH("SCHNAPP",C1764)),"Liqueurs",
 ISNUMBER(SEARCH("GIN",C1764)),"Gin",
 TRUE,"Other")</f>
        <v>Vodka</v>
      </c>
      <c r="E1764" s="5">
        <v>55921</v>
      </c>
      <c r="F1764" s="5">
        <v>969916.1699999898</v>
      </c>
      <c r="G1764" s="5"/>
      <c r="H1764" s="5">
        <v>4806</v>
      </c>
    </row>
    <row r="1765" spans="1:8">
      <c r="A1765" s="5">
        <v>2023</v>
      </c>
      <c r="B1765" s="6">
        <v>45108</v>
      </c>
      <c r="C1765" s="5" t="s">
        <v>33</v>
      </c>
      <c r="D1765" s="3" t="str" cm="1">
        <f t="array" ref="D1765">_xlfn.IFS(
 ISNUMBER(SEARCH("WHISK",C1765)),"Whiskey",
 ISNUMBER(SEARCH("BOURBON",C1765)),"Whiskey",
 ISNUMBER(SEARCH("SCOTCH",C1765)),"Whiskey",
 ISNUMBER(SEARCH("RYE",C1765)),"Whiskey",
 ISNUMBER(SEARCH("VODKA",C1765)),"Vodka",
 ISNUMBER(SEARCH("TEQUILA",C1765)),"Tequila/Mezcal",
 ISNUMBER(SEARCH("MEZCAL",C1765)),"Tequila/Mezcal",
 ISNUMBER(SEARCH("RUM",C1765)),"Rum",
 ISNUMBER(SEARCH("BRAND",C1765)),"Brandy",
 ISNUMBER(SEARCH("COGNAC",C1765)),"Brandy",
 ISNUMBER(SEARCH("LIQUEUR",C1765)),"Liqueurs",
 ISNUMBER(SEARCH("CORDIAL",C1765)),"Liqueurs",
 ISNUMBER(SEARCH("SCHNAPP",C1765)),"Liqueurs",
 ISNUMBER(SEARCH("GIN",C1765)),"Gin",
 TRUE,"Other")</f>
        <v>Whiskey</v>
      </c>
      <c r="E1765" s="5">
        <v>25044</v>
      </c>
      <c r="F1765" s="5">
        <v>679422.55999999645</v>
      </c>
      <c r="G1765" s="5"/>
      <c r="H1765" s="5">
        <v>2356</v>
      </c>
    </row>
    <row r="1766" spans="1:8">
      <c r="A1766" s="5">
        <v>2023</v>
      </c>
      <c r="B1766" s="6">
        <v>45108</v>
      </c>
      <c r="C1766" s="5" t="s">
        <v>35</v>
      </c>
      <c r="D1766" s="3" t="str" cm="1">
        <f t="array" ref="D1766">_xlfn.IFS(
 ISNUMBER(SEARCH("WHISK",C1766)),"Whiskey",
 ISNUMBER(SEARCH("BOURBON",C1766)),"Whiskey",
 ISNUMBER(SEARCH("SCOTCH",C1766)),"Whiskey",
 ISNUMBER(SEARCH("RYE",C1766)),"Whiskey",
 ISNUMBER(SEARCH("VODKA",C1766)),"Vodka",
 ISNUMBER(SEARCH("TEQUILA",C1766)),"Tequila/Mezcal",
 ISNUMBER(SEARCH("MEZCAL",C1766)),"Tequila/Mezcal",
 ISNUMBER(SEARCH("RUM",C1766)),"Rum",
 ISNUMBER(SEARCH("BRAND",C1766)),"Brandy",
 ISNUMBER(SEARCH("COGNAC",C1766)),"Brandy",
 ISNUMBER(SEARCH("LIQUEUR",C1766)),"Liqueurs",
 ISNUMBER(SEARCH("CORDIAL",C1766)),"Liqueurs",
 ISNUMBER(SEARCH("SCHNAPP",C1766)),"Liqueurs",
 ISNUMBER(SEARCH("GIN",C1766)),"Gin",
 TRUE,"Other")</f>
        <v>Tequila/Mezcal</v>
      </c>
      <c r="E1766" s="5">
        <v>66443</v>
      </c>
      <c r="F1766" s="5">
        <v>908129.18999999203</v>
      </c>
      <c r="G1766" s="5"/>
      <c r="H1766" s="5">
        <v>4817</v>
      </c>
    </row>
    <row r="1767" spans="1:8">
      <c r="A1767" s="5">
        <v>2023</v>
      </c>
      <c r="B1767" s="6">
        <v>45108</v>
      </c>
      <c r="C1767" s="5" t="s">
        <v>37</v>
      </c>
      <c r="D1767" s="3" t="str" cm="1">
        <f t="array" ref="D1767">_xlfn.IFS(
 ISNUMBER(SEARCH("WHISK",C1767)),"Whiskey",
 ISNUMBER(SEARCH("BOURBON",C1767)),"Whiskey",
 ISNUMBER(SEARCH("SCOTCH",C1767)),"Whiskey",
 ISNUMBER(SEARCH("RYE",C1767)),"Whiskey",
 ISNUMBER(SEARCH("VODKA",C1767)),"Vodka",
 ISNUMBER(SEARCH("TEQUILA",C1767)),"Tequila/Mezcal",
 ISNUMBER(SEARCH("MEZCAL",C1767)),"Tequila/Mezcal",
 ISNUMBER(SEARCH("RUM",C1767)),"Rum",
 ISNUMBER(SEARCH("BRAND",C1767)),"Brandy",
 ISNUMBER(SEARCH("COGNAC",C1767)),"Brandy",
 ISNUMBER(SEARCH("LIQUEUR",C1767)),"Liqueurs",
 ISNUMBER(SEARCH("CORDIAL",C1767)),"Liqueurs",
 ISNUMBER(SEARCH("SCHNAPP",C1767)),"Liqueurs",
 ISNUMBER(SEARCH("GIN",C1767)),"Gin",
 TRUE,"Other")</f>
        <v>Other</v>
      </c>
      <c r="E1767" s="5">
        <v>18387</v>
      </c>
      <c r="F1767" s="5">
        <v>302826.12000000267</v>
      </c>
      <c r="G1767" s="5"/>
      <c r="H1767" s="5">
        <v>3749</v>
      </c>
    </row>
    <row r="1768" spans="1:8">
      <c r="A1768" s="5">
        <v>2023</v>
      </c>
      <c r="B1768" s="6">
        <v>45108</v>
      </c>
      <c r="C1768" s="5" t="s">
        <v>38</v>
      </c>
      <c r="D1768" s="3" t="str" cm="1">
        <f t="array" ref="D1768">_xlfn.IFS(
 ISNUMBER(SEARCH("WHISK",C1768)),"Whiskey",
 ISNUMBER(SEARCH("BOURBON",C1768)),"Whiskey",
 ISNUMBER(SEARCH("SCOTCH",C1768)),"Whiskey",
 ISNUMBER(SEARCH("RYE",C1768)),"Whiskey",
 ISNUMBER(SEARCH("VODKA",C1768)),"Vodka",
 ISNUMBER(SEARCH("TEQUILA",C1768)),"Tequila/Mezcal",
 ISNUMBER(SEARCH("MEZCAL",C1768)),"Tequila/Mezcal",
 ISNUMBER(SEARCH("RUM",C1768)),"Rum",
 ISNUMBER(SEARCH("BRAND",C1768)),"Brandy",
 ISNUMBER(SEARCH("COGNAC",C1768)),"Brandy",
 ISNUMBER(SEARCH("LIQUEUR",C1768)),"Liqueurs",
 ISNUMBER(SEARCH("CORDIAL",C1768)),"Liqueurs",
 ISNUMBER(SEARCH("SCHNAPP",C1768)),"Liqueurs",
 ISNUMBER(SEARCH("GIN",C1768)),"Gin",
 TRUE,"Other")</f>
        <v>Whiskey</v>
      </c>
      <c r="E1768" s="5">
        <v>14135</v>
      </c>
      <c r="F1768" s="5">
        <v>397228.57000000018</v>
      </c>
      <c r="G1768" s="5"/>
      <c r="H1768" s="5">
        <v>2315</v>
      </c>
    </row>
    <row r="1769" spans="1:8">
      <c r="A1769" s="5">
        <v>2023</v>
      </c>
      <c r="B1769" s="6">
        <v>45108</v>
      </c>
      <c r="C1769" s="5" t="s">
        <v>39</v>
      </c>
      <c r="D1769" s="3" t="str" cm="1">
        <f t="array" ref="D1769">_xlfn.IFS(
 ISNUMBER(SEARCH("WHISK",C1769)),"Whiskey",
 ISNUMBER(SEARCH("BOURBON",C1769)),"Whiskey",
 ISNUMBER(SEARCH("SCOTCH",C1769)),"Whiskey",
 ISNUMBER(SEARCH("RYE",C1769)),"Whiskey",
 ISNUMBER(SEARCH("VODKA",C1769)),"Vodka",
 ISNUMBER(SEARCH("TEQUILA",C1769)),"Tequila/Mezcal",
 ISNUMBER(SEARCH("MEZCAL",C1769)),"Tequila/Mezcal",
 ISNUMBER(SEARCH("RUM",C1769)),"Rum",
 ISNUMBER(SEARCH("BRAND",C1769)),"Brandy",
 ISNUMBER(SEARCH("COGNAC",C1769)),"Brandy",
 ISNUMBER(SEARCH("LIQUEUR",C1769)),"Liqueurs",
 ISNUMBER(SEARCH("CORDIAL",C1769)),"Liqueurs",
 ISNUMBER(SEARCH("SCHNAPP",C1769)),"Liqueurs",
 ISNUMBER(SEARCH("GIN",C1769)),"Gin",
 TRUE,"Other")</f>
        <v>Whiskey</v>
      </c>
      <c r="E1769" s="5">
        <v>4140</v>
      </c>
      <c r="F1769" s="5">
        <v>178159.57</v>
      </c>
      <c r="G1769" s="5"/>
      <c r="H1769" s="5">
        <v>588</v>
      </c>
    </row>
    <row r="1770" spans="1:8">
      <c r="A1770" s="5">
        <v>2023</v>
      </c>
      <c r="B1770" s="6">
        <v>45108</v>
      </c>
      <c r="C1770" s="5" t="s">
        <v>42</v>
      </c>
      <c r="D1770" s="3" t="str" cm="1">
        <f t="array" ref="D1770">_xlfn.IFS(
 ISNUMBER(SEARCH("WHISK",C1770)),"Whiskey",
 ISNUMBER(SEARCH("BOURBON",C1770)),"Whiskey",
 ISNUMBER(SEARCH("SCOTCH",C1770)),"Whiskey",
 ISNUMBER(SEARCH("RYE",C1770)),"Whiskey",
 ISNUMBER(SEARCH("VODKA",C1770)),"Vodka",
 ISNUMBER(SEARCH("TEQUILA",C1770)),"Tequila/Mezcal",
 ISNUMBER(SEARCH("MEZCAL",C1770)),"Tequila/Mezcal",
 ISNUMBER(SEARCH("RUM",C1770)),"Rum",
 ISNUMBER(SEARCH("BRAND",C1770)),"Brandy",
 ISNUMBER(SEARCH("COGNAC",C1770)),"Brandy",
 ISNUMBER(SEARCH("LIQUEUR",C1770)),"Liqueurs",
 ISNUMBER(SEARCH("CORDIAL",C1770)),"Liqueurs",
 ISNUMBER(SEARCH("SCHNAPP",C1770)),"Liqueurs",
 ISNUMBER(SEARCH("GIN",C1770)),"Gin",
 TRUE,"Other")</f>
        <v>Rum</v>
      </c>
      <c r="E1770" s="5">
        <v>108102</v>
      </c>
      <c r="F1770" s="5">
        <v>1703148.2499999364</v>
      </c>
      <c r="G1770" s="5"/>
      <c r="H1770" s="5">
        <v>7767</v>
      </c>
    </row>
    <row r="1771" spans="1:8">
      <c r="A1771" s="5">
        <v>2023</v>
      </c>
      <c r="B1771" s="6">
        <v>45108</v>
      </c>
      <c r="C1771" s="5" t="s">
        <v>43</v>
      </c>
      <c r="D1771" s="3" t="str" cm="1">
        <f t="array" ref="D1771">_xlfn.IFS(
 ISNUMBER(SEARCH("WHISK",C1771)),"Whiskey",
 ISNUMBER(SEARCH("BOURBON",C1771)),"Whiskey",
 ISNUMBER(SEARCH("SCOTCH",C1771)),"Whiskey",
 ISNUMBER(SEARCH("RYE",C1771)),"Whiskey",
 ISNUMBER(SEARCH("VODKA",C1771)),"Vodka",
 ISNUMBER(SEARCH("TEQUILA",C1771)),"Tequila/Mezcal",
 ISNUMBER(SEARCH("MEZCAL",C1771)),"Tequila/Mezcal",
 ISNUMBER(SEARCH("RUM",C1771)),"Rum",
 ISNUMBER(SEARCH("BRAND",C1771)),"Brandy",
 ISNUMBER(SEARCH("COGNAC",C1771)),"Brandy",
 ISNUMBER(SEARCH("LIQUEUR",C1771)),"Liqueurs",
 ISNUMBER(SEARCH("CORDIAL",C1771)),"Liqueurs",
 ISNUMBER(SEARCH("SCHNAPP",C1771)),"Liqueurs",
 ISNUMBER(SEARCH("GIN",C1771)),"Gin",
 TRUE,"Other")</f>
        <v>Whiskey</v>
      </c>
      <c r="E1771" s="5">
        <v>127425</v>
      </c>
      <c r="F1771" s="5">
        <v>2759876.6400000108</v>
      </c>
      <c r="G1771" s="5"/>
      <c r="H1771" s="5">
        <v>14870</v>
      </c>
    </row>
    <row r="1772" spans="1:8">
      <c r="A1772" s="5">
        <v>2023</v>
      </c>
      <c r="B1772" s="6">
        <v>45108</v>
      </c>
      <c r="C1772" s="5" t="s">
        <v>44</v>
      </c>
      <c r="D1772" s="3" t="str" cm="1">
        <f t="array" ref="D1772">_xlfn.IFS(
 ISNUMBER(SEARCH("WHISK",C1772)),"Whiskey",
 ISNUMBER(SEARCH("BOURBON",C1772)),"Whiskey",
 ISNUMBER(SEARCH("SCOTCH",C1772)),"Whiskey",
 ISNUMBER(SEARCH("RYE",C1772)),"Whiskey",
 ISNUMBER(SEARCH("VODKA",C1772)),"Vodka",
 ISNUMBER(SEARCH("TEQUILA",C1772)),"Tequila/Mezcal",
 ISNUMBER(SEARCH("MEZCAL",C1772)),"Tequila/Mezcal",
 ISNUMBER(SEARCH("RUM",C1772)),"Rum",
 ISNUMBER(SEARCH("BRAND",C1772)),"Brandy",
 ISNUMBER(SEARCH("COGNAC",C1772)),"Brandy",
 ISNUMBER(SEARCH("LIQUEUR",C1772)),"Liqueurs",
 ISNUMBER(SEARCH("CORDIAL",C1772)),"Liqueurs",
 ISNUMBER(SEARCH("SCHNAPP",C1772)),"Liqueurs",
 ISNUMBER(SEARCH("GIN",C1772)),"Gin",
 TRUE,"Other")</f>
        <v>Whiskey</v>
      </c>
      <c r="E1772" s="5">
        <v>9505</v>
      </c>
      <c r="F1772" s="5">
        <v>309541.10000000108</v>
      </c>
      <c r="G1772" s="5"/>
      <c r="H1772" s="5">
        <v>1546</v>
      </c>
    </row>
    <row r="1773" spans="1:8">
      <c r="A1773" s="5">
        <v>2023</v>
      </c>
      <c r="B1773" s="6">
        <v>45108</v>
      </c>
      <c r="C1773" s="5" t="s">
        <v>45</v>
      </c>
      <c r="D1773" s="3" t="str" cm="1">
        <f t="array" ref="D1773">_xlfn.IFS(
 ISNUMBER(SEARCH("WHISK",C1773)),"Whiskey",
 ISNUMBER(SEARCH("BOURBON",C1773)),"Whiskey",
 ISNUMBER(SEARCH("SCOTCH",C1773)),"Whiskey",
 ISNUMBER(SEARCH("RYE",C1773)),"Whiskey",
 ISNUMBER(SEARCH("VODKA",C1773)),"Vodka",
 ISNUMBER(SEARCH("TEQUILA",C1773)),"Tequila/Mezcal",
 ISNUMBER(SEARCH("MEZCAL",C1773)),"Tequila/Mezcal",
 ISNUMBER(SEARCH("RUM",C1773)),"Rum",
 ISNUMBER(SEARCH("BRAND",C1773)),"Brandy",
 ISNUMBER(SEARCH("COGNAC",C1773)),"Brandy",
 ISNUMBER(SEARCH("LIQUEUR",C1773)),"Liqueurs",
 ISNUMBER(SEARCH("CORDIAL",C1773)),"Liqueurs",
 ISNUMBER(SEARCH("SCHNAPP",C1773)),"Liqueurs",
 ISNUMBER(SEARCH("GIN",C1773)),"Gin",
 TRUE,"Other")</f>
        <v>Other</v>
      </c>
      <c r="E1773" s="5">
        <v>10698</v>
      </c>
      <c r="F1773" s="5">
        <v>357662.77999999671</v>
      </c>
      <c r="G1773" s="5"/>
      <c r="H1773" s="5">
        <v>2950</v>
      </c>
    </row>
    <row r="1774" spans="1:8">
      <c r="A1774" s="5">
        <v>2023</v>
      </c>
      <c r="B1774" s="6">
        <v>45108</v>
      </c>
      <c r="C1774" s="5" t="s">
        <v>46</v>
      </c>
      <c r="D1774" s="3" t="str" cm="1">
        <f t="array" ref="D1774">_xlfn.IFS(
 ISNUMBER(SEARCH("WHISK",C1774)),"Whiskey",
 ISNUMBER(SEARCH("BOURBON",C1774)),"Whiskey",
 ISNUMBER(SEARCH("SCOTCH",C1774)),"Whiskey",
 ISNUMBER(SEARCH("RYE",C1774)),"Whiskey",
 ISNUMBER(SEARCH("VODKA",C1774)),"Vodka",
 ISNUMBER(SEARCH("TEQUILA",C1774)),"Tequila/Mezcal",
 ISNUMBER(SEARCH("MEZCAL",C1774)),"Tequila/Mezcal",
 ISNUMBER(SEARCH("RUM",C1774)),"Rum",
 ISNUMBER(SEARCH("BRAND",C1774)),"Brandy",
 ISNUMBER(SEARCH("COGNAC",C1774)),"Brandy",
 ISNUMBER(SEARCH("LIQUEUR",C1774)),"Liqueurs",
 ISNUMBER(SEARCH("CORDIAL",C1774)),"Liqueurs",
 ISNUMBER(SEARCH("SCHNAPP",C1774)),"Liqueurs",
 ISNUMBER(SEARCH("GIN",C1774)),"Gin",
 TRUE,"Other")</f>
        <v>Whiskey</v>
      </c>
      <c r="E1774" s="5">
        <v>53091</v>
      </c>
      <c r="F1774" s="5">
        <v>1223886.919999996</v>
      </c>
      <c r="G1774" s="5"/>
      <c r="H1774" s="5">
        <v>5721</v>
      </c>
    </row>
    <row r="1775" spans="1:8">
      <c r="A1775" s="5">
        <v>2023</v>
      </c>
      <c r="B1775" s="6">
        <v>45108</v>
      </c>
      <c r="C1775" s="5" t="s">
        <v>48</v>
      </c>
      <c r="D1775" s="3" t="str" cm="1">
        <f t="array" ref="D1775">_xlfn.IFS(
 ISNUMBER(SEARCH("WHISK",C1775)),"Whiskey",
 ISNUMBER(SEARCH("BOURBON",C1775)),"Whiskey",
 ISNUMBER(SEARCH("SCOTCH",C1775)),"Whiskey",
 ISNUMBER(SEARCH("RYE",C1775)),"Whiskey",
 ISNUMBER(SEARCH("VODKA",C1775)),"Vodka",
 ISNUMBER(SEARCH("TEQUILA",C1775)),"Tequila/Mezcal",
 ISNUMBER(SEARCH("MEZCAL",C1775)),"Tequila/Mezcal",
 ISNUMBER(SEARCH("RUM",C1775)),"Rum",
 ISNUMBER(SEARCH("BRAND",C1775)),"Brandy",
 ISNUMBER(SEARCH("COGNAC",C1775)),"Brandy",
 ISNUMBER(SEARCH("LIQUEUR",C1775)),"Liqueurs",
 ISNUMBER(SEARCH("CORDIAL",C1775)),"Liqueurs",
 ISNUMBER(SEARCH("SCHNAPP",C1775)),"Liqueurs",
 ISNUMBER(SEARCH("GIN",C1775)),"Gin",
 TRUE,"Other")</f>
        <v>Whiskey</v>
      </c>
      <c r="E1775" s="5">
        <v>337654</v>
      </c>
      <c r="F1775" s="5">
        <v>1987795.6199999561</v>
      </c>
      <c r="G1775" s="5"/>
      <c r="H1775" s="5">
        <v>12757</v>
      </c>
    </row>
    <row r="1776" spans="1:8">
      <c r="A1776" s="5">
        <v>2023</v>
      </c>
      <c r="B1776" s="6">
        <v>45108</v>
      </c>
      <c r="C1776" s="5" t="s">
        <v>50</v>
      </c>
      <c r="D1776" s="3" t="str" cm="1">
        <f t="array" ref="D1776">_xlfn.IFS(
 ISNUMBER(SEARCH("WHISK",C1776)),"Whiskey",
 ISNUMBER(SEARCH("BOURBON",C1776)),"Whiskey",
 ISNUMBER(SEARCH("SCOTCH",C1776)),"Whiskey",
 ISNUMBER(SEARCH("RYE",C1776)),"Whiskey",
 ISNUMBER(SEARCH("VODKA",C1776)),"Vodka",
 ISNUMBER(SEARCH("TEQUILA",C1776)),"Tequila/Mezcal",
 ISNUMBER(SEARCH("MEZCAL",C1776)),"Tequila/Mezcal",
 ISNUMBER(SEARCH("RUM",C1776)),"Rum",
 ISNUMBER(SEARCH("BRAND",C1776)),"Brandy",
 ISNUMBER(SEARCH("COGNAC",C1776)),"Brandy",
 ISNUMBER(SEARCH("LIQUEUR",C1776)),"Liqueurs",
 ISNUMBER(SEARCH("CORDIAL",C1776)),"Liqueurs",
 ISNUMBER(SEARCH("SCHNAPP",C1776)),"Liqueurs",
 ISNUMBER(SEARCH("GIN",C1776)),"Gin",
 TRUE,"Other")</f>
        <v>Tequila/Mezcal</v>
      </c>
      <c r="E1776" s="5">
        <v>92205</v>
      </c>
      <c r="F1776" s="5">
        <v>2736266.3299999512</v>
      </c>
      <c r="G1776" s="5"/>
      <c r="H1776" s="5">
        <v>11123</v>
      </c>
    </row>
    <row r="1777" spans="1:8">
      <c r="A1777" s="5">
        <v>2023</v>
      </c>
      <c r="B1777" s="6">
        <v>45108</v>
      </c>
      <c r="C1777" s="5" t="s">
        <v>7</v>
      </c>
      <c r="D1777" s="3" t="str" cm="1">
        <f t="array" ref="D1777">_xlfn.IFS(
 ISNUMBER(SEARCH("WHISK",C1777)),"Whiskey",
 ISNUMBER(SEARCH("BOURBON",C1777)),"Whiskey",
 ISNUMBER(SEARCH("SCOTCH",C1777)),"Whiskey",
 ISNUMBER(SEARCH("RYE",C1777)),"Whiskey",
 ISNUMBER(SEARCH("VODKA",C1777)),"Vodka",
 ISNUMBER(SEARCH("TEQUILA",C1777)),"Tequila/Mezcal",
 ISNUMBER(SEARCH("MEZCAL",C1777)),"Tequila/Mezcal",
 ISNUMBER(SEARCH("RUM",C1777)),"Rum",
 ISNUMBER(SEARCH("BRAND",C1777)),"Brandy",
 ISNUMBER(SEARCH("COGNAC",C1777)),"Brandy",
 ISNUMBER(SEARCH("LIQUEUR",C1777)),"Liqueurs",
 ISNUMBER(SEARCH("CORDIAL",C1777)),"Liqueurs",
 ISNUMBER(SEARCH("SCHNAPP",C1777)),"Liqueurs",
 ISNUMBER(SEARCH("GIN",C1777)),"Gin",
 TRUE,"Other")</f>
        <v>Rum</v>
      </c>
      <c r="E1777" s="5">
        <v>3909</v>
      </c>
      <c r="F1777" s="5">
        <v>84070.52</v>
      </c>
      <c r="G1777" s="5"/>
      <c r="H1777" s="5">
        <v>627</v>
      </c>
    </row>
    <row r="1778" spans="1:8">
      <c r="A1778" s="5">
        <v>2023</v>
      </c>
      <c r="B1778" s="6">
        <v>45108</v>
      </c>
      <c r="C1778" s="5" t="s">
        <v>10</v>
      </c>
      <c r="D1778" s="3" t="str" cm="1">
        <f t="array" ref="D1778">_xlfn.IFS(
 ISNUMBER(SEARCH("WHISK",C1778)),"Whiskey",
 ISNUMBER(SEARCH("BOURBON",C1778)),"Whiskey",
 ISNUMBER(SEARCH("SCOTCH",C1778)),"Whiskey",
 ISNUMBER(SEARCH("RYE",C1778)),"Whiskey",
 ISNUMBER(SEARCH("VODKA",C1778)),"Vodka",
 ISNUMBER(SEARCH("TEQUILA",C1778)),"Tequila/Mezcal",
 ISNUMBER(SEARCH("MEZCAL",C1778)),"Tequila/Mezcal",
 ISNUMBER(SEARCH("RUM",C1778)),"Rum",
 ISNUMBER(SEARCH("BRAND",C1778)),"Brandy",
 ISNUMBER(SEARCH("COGNAC",C1778)),"Brandy",
 ISNUMBER(SEARCH("LIQUEUR",C1778)),"Liqueurs",
 ISNUMBER(SEARCH("CORDIAL",C1778)),"Liqueurs",
 ISNUMBER(SEARCH("SCHNAPP",C1778)),"Liqueurs",
 ISNUMBER(SEARCH("GIN",C1778)),"Gin",
 TRUE,"Other")</f>
        <v>Other</v>
      </c>
      <c r="E1778" s="5">
        <v>9511</v>
      </c>
      <c r="F1778" s="5">
        <v>174481.58999999982</v>
      </c>
      <c r="G1778" s="5"/>
      <c r="H1778" s="5">
        <v>855</v>
      </c>
    </row>
    <row r="1779" spans="1:8">
      <c r="A1779" s="5">
        <v>2023</v>
      </c>
      <c r="B1779" s="6">
        <v>45108</v>
      </c>
      <c r="C1779" s="5" t="s">
        <v>19</v>
      </c>
      <c r="D1779" s="3" t="str" cm="1">
        <f t="array" ref="D1779">_xlfn.IFS(
 ISNUMBER(SEARCH("WHISK",C1779)),"Whiskey",
 ISNUMBER(SEARCH("BOURBON",C1779)),"Whiskey",
 ISNUMBER(SEARCH("SCOTCH",C1779)),"Whiskey",
 ISNUMBER(SEARCH("RYE",C1779)),"Whiskey",
 ISNUMBER(SEARCH("VODKA",C1779)),"Vodka",
 ISNUMBER(SEARCH("TEQUILA",C1779)),"Tequila/Mezcal",
 ISNUMBER(SEARCH("MEZCAL",C1779)),"Tequila/Mezcal",
 ISNUMBER(SEARCH("RUM",C1779)),"Rum",
 ISNUMBER(SEARCH("BRAND",C1779)),"Brandy",
 ISNUMBER(SEARCH("COGNAC",C1779)),"Brandy",
 ISNUMBER(SEARCH("LIQUEUR",C1779)),"Liqueurs",
 ISNUMBER(SEARCH("CORDIAL",C1779)),"Liqueurs",
 ISNUMBER(SEARCH("SCHNAPP",C1779)),"Liqueurs",
 ISNUMBER(SEARCH("GIN",C1779)),"Gin",
 TRUE,"Other")</f>
        <v>Other</v>
      </c>
      <c r="E1779" s="5">
        <v>52822</v>
      </c>
      <c r="F1779" s="5">
        <v>624898.50999998546</v>
      </c>
      <c r="G1779" s="5"/>
      <c r="H1779" s="5">
        <v>6933</v>
      </c>
    </row>
    <row r="1780" spans="1:8">
      <c r="A1780" s="5">
        <v>2023</v>
      </c>
      <c r="B1780" s="6">
        <v>45108</v>
      </c>
      <c r="C1780" s="5" t="s">
        <v>20</v>
      </c>
      <c r="D1780" s="3" t="str" cm="1">
        <f t="array" ref="D1780">_xlfn.IFS(
 ISNUMBER(SEARCH("WHISK",C1780)),"Whiskey",
 ISNUMBER(SEARCH("BOURBON",C1780)),"Whiskey",
 ISNUMBER(SEARCH("SCOTCH",C1780)),"Whiskey",
 ISNUMBER(SEARCH("RYE",C1780)),"Whiskey",
 ISNUMBER(SEARCH("VODKA",C1780)),"Vodka",
 ISNUMBER(SEARCH("TEQUILA",C1780)),"Tequila/Mezcal",
 ISNUMBER(SEARCH("MEZCAL",C1780)),"Tequila/Mezcal",
 ISNUMBER(SEARCH("RUM",C1780)),"Rum",
 ISNUMBER(SEARCH("BRAND",C1780)),"Brandy",
 ISNUMBER(SEARCH("COGNAC",C1780)),"Brandy",
 ISNUMBER(SEARCH("LIQUEUR",C1780)),"Liqueurs",
 ISNUMBER(SEARCH("CORDIAL",C1780)),"Liqueurs",
 ISNUMBER(SEARCH("SCHNAPP",C1780)),"Liqueurs",
 ISNUMBER(SEARCH("GIN",C1780)),"Gin",
 TRUE,"Other")</f>
        <v>Liqueurs</v>
      </c>
      <c r="E1780" s="5">
        <v>5516</v>
      </c>
      <c r="F1780" s="5">
        <v>118383.77000000041</v>
      </c>
      <c r="G1780" s="5"/>
      <c r="H1780" s="5">
        <v>746</v>
      </c>
    </row>
    <row r="1781" spans="1:8">
      <c r="A1781" s="5">
        <v>2023</v>
      </c>
      <c r="B1781" s="6">
        <v>45108</v>
      </c>
      <c r="C1781" s="5" t="s">
        <v>26</v>
      </c>
      <c r="D1781" s="3" t="str" cm="1">
        <f t="array" ref="D1781">_xlfn.IFS(
 ISNUMBER(SEARCH("WHISK",C1781)),"Whiskey",
 ISNUMBER(SEARCH("BOURBON",C1781)),"Whiskey",
 ISNUMBER(SEARCH("SCOTCH",C1781)),"Whiskey",
 ISNUMBER(SEARCH("RYE",C1781)),"Whiskey",
 ISNUMBER(SEARCH("VODKA",C1781)),"Vodka",
 ISNUMBER(SEARCH("TEQUILA",C1781)),"Tequila/Mezcal",
 ISNUMBER(SEARCH("MEZCAL",C1781)),"Tequila/Mezcal",
 ISNUMBER(SEARCH("RUM",C1781)),"Rum",
 ISNUMBER(SEARCH("BRAND",C1781)),"Brandy",
 ISNUMBER(SEARCH("COGNAC",C1781)),"Brandy",
 ISNUMBER(SEARCH("LIQUEUR",C1781)),"Liqueurs",
 ISNUMBER(SEARCH("CORDIAL",C1781)),"Liqueurs",
 ISNUMBER(SEARCH("SCHNAPP",C1781)),"Liqueurs",
 ISNUMBER(SEARCH("GIN",C1781)),"Gin",
 TRUE,"Other")</f>
        <v>Brandy</v>
      </c>
      <c r="E1781" s="5">
        <v>41315</v>
      </c>
      <c r="F1781" s="5">
        <v>921443.61999999348</v>
      </c>
      <c r="G1781" s="5"/>
      <c r="H1781" s="5">
        <v>3259</v>
      </c>
    </row>
    <row r="1782" spans="1:8">
      <c r="A1782" s="5">
        <v>2023</v>
      </c>
      <c r="B1782" s="6">
        <v>45108</v>
      </c>
      <c r="C1782" s="5" t="s">
        <v>28</v>
      </c>
      <c r="D1782" s="3" t="str" cm="1">
        <f t="array" ref="D1782">_xlfn.IFS(
 ISNUMBER(SEARCH("WHISK",C1782)),"Whiskey",
 ISNUMBER(SEARCH("BOURBON",C1782)),"Whiskey",
 ISNUMBER(SEARCH("SCOTCH",C1782)),"Whiskey",
 ISNUMBER(SEARCH("RYE",C1782)),"Whiskey",
 ISNUMBER(SEARCH("VODKA",C1782)),"Vodka",
 ISNUMBER(SEARCH("TEQUILA",C1782)),"Tequila/Mezcal",
 ISNUMBER(SEARCH("MEZCAL",C1782)),"Tequila/Mezcal",
 ISNUMBER(SEARCH("RUM",C1782)),"Rum",
 ISNUMBER(SEARCH("BRAND",C1782)),"Brandy",
 ISNUMBER(SEARCH("COGNAC",C1782)),"Brandy",
 ISNUMBER(SEARCH("LIQUEUR",C1782)),"Liqueurs",
 ISNUMBER(SEARCH("CORDIAL",C1782)),"Liqueurs",
 ISNUMBER(SEARCH("SCHNAPP",C1782)),"Liqueurs",
 ISNUMBER(SEARCH("GIN",C1782)),"Gin",
 TRUE,"Other")</f>
        <v>Other</v>
      </c>
      <c r="E1782" s="5">
        <v>24209</v>
      </c>
      <c r="F1782" s="5">
        <v>186990.31999999995</v>
      </c>
      <c r="G1782" s="5"/>
      <c r="H1782" s="5">
        <v>624</v>
      </c>
    </row>
    <row r="1783" spans="1:8">
      <c r="A1783" s="5">
        <v>2023</v>
      </c>
      <c r="B1783" s="6">
        <v>45108</v>
      </c>
      <c r="C1783" s="5" t="s">
        <v>36</v>
      </c>
      <c r="D1783" s="3" t="str" cm="1">
        <f t="array" ref="D1783">_xlfn.IFS(
 ISNUMBER(SEARCH("WHISK",C1783)),"Whiskey",
 ISNUMBER(SEARCH("BOURBON",C1783)),"Whiskey",
 ISNUMBER(SEARCH("SCOTCH",C1783)),"Whiskey",
 ISNUMBER(SEARCH("RYE",C1783)),"Whiskey",
 ISNUMBER(SEARCH("VODKA",C1783)),"Vodka",
 ISNUMBER(SEARCH("TEQUILA",C1783)),"Tequila/Mezcal",
 ISNUMBER(SEARCH("MEZCAL",C1783)),"Tequila/Mezcal",
 ISNUMBER(SEARCH("RUM",C1783)),"Rum",
 ISNUMBER(SEARCH("BRAND",C1783)),"Brandy",
 ISNUMBER(SEARCH("COGNAC",C1783)),"Brandy",
 ISNUMBER(SEARCH("LIQUEUR",C1783)),"Liqueurs",
 ISNUMBER(SEARCH("CORDIAL",C1783)),"Liqueurs",
 ISNUMBER(SEARCH("SCHNAPP",C1783)),"Liqueurs",
 ISNUMBER(SEARCH("GIN",C1783)),"Gin",
 TRUE,"Other")</f>
        <v>Other</v>
      </c>
      <c r="E1783" s="5">
        <v>3270</v>
      </c>
      <c r="F1783" s="5">
        <v>46708.790000000008</v>
      </c>
      <c r="G1783" s="5"/>
      <c r="H1783" s="5">
        <v>457</v>
      </c>
    </row>
    <row r="1784" spans="1:8">
      <c r="A1784" s="5">
        <v>2023</v>
      </c>
      <c r="B1784" s="6">
        <v>45108</v>
      </c>
      <c r="C1784" s="5" t="s">
        <v>40</v>
      </c>
      <c r="D1784" s="3" t="str" cm="1">
        <f t="array" ref="D1784">_xlfn.IFS(
 ISNUMBER(SEARCH("WHISK",C1784)),"Whiskey",
 ISNUMBER(SEARCH("BOURBON",C1784)),"Whiskey",
 ISNUMBER(SEARCH("SCOTCH",C1784)),"Whiskey",
 ISNUMBER(SEARCH("RYE",C1784)),"Whiskey",
 ISNUMBER(SEARCH("VODKA",C1784)),"Vodka",
 ISNUMBER(SEARCH("TEQUILA",C1784)),"Tequila/Mezcal",
 ISNUMBER(SEARCH("MEZCAL",C1784)),"Tequila/Mezcal",
 ISNUMBER(SEARCH("RUM",C1784)),"Rum",
 ISNUMBER(SEARCH("BRAND",C1784)),"Brandy",
 ISNUMBER(SEARCH("COGNAC",C1784)),"Brandy",
 ISNUMBER(SEARCH("LIQUEUR",C1784)),"Liqueurs",
 ISNUMBER(SEARCH("CORDIAL",C1784)),"Liqueurs",
 ISNUMBER(SEARCH("SCHNAPP",C1784)),"Liqueurs",
 ISNUMBER(SEARCH("GIN",C1784)),"Gin",
 TRUE,"Other")</f>
        <v>Whiskey</v>
      </c>
      <c r="E1784" s="5">
        <v>5183</v>
      </c>
      <c r="F1784" s="5">
        <v>271330.27000000101</v>
      </c>
      <c r="G1784" s="5"/>
      <c r="H1784" s="5">
        <v>1238</v>
      </c>
    </row>
    <row r="1785" spans="1:8">
      <c r="A1785" s="5">
        <v>2023</v>
      </c>
      <c r="B1785" s="6">
        <v>45108</v>
      </c>
      <c r="C1785" s="5" t="s">
        <v>47</v>
      </c>
      <c r="D1785" s="3" t="str" cm="1">
        <f t="array" ref="D1785">_xlfn.IFS(
 ISNUMBER(SEARCH("WHISK",C1785)),"Whiskey",
 ISNUMBER(SEARCH("BOURBON",C1785)),"Whiskey",
 ISNUMBER(SEARCH("SCOTCH",C1785)),"Whiskey",
 ISNUMBER(SEARCH("RYE",C1785)),"Whiskey",
 ISNUMBER(SEARCH("VODKA",C1785)),"Vodka",
 ISNUMBER(SEARCH("TEQUILA",C1785)),"Tequila/Mezcal",
 ISNUMBER(SEARCH("MEZCAL",C1785)),"Tequila/Mezcal",
 ISNUMBER(SEARCH("RUM",C1785)),"Rum",
 ISNUMBER(SEARCH("BRAND",C1785)),"Brandy",
 ISNUMBER(SEARCH("COGNAC",C1785)),"Brandy",
 ISNUMBER(SEARCH("LIQUEUR",C1785)),"Liqueurs",
 ISNUMBER(SEARCH("CORDIAL",C1785)),"Liqueurs",
 ISNUMBER(SEARCH("SCHNAPP",C1785)),"Liqueurs",
 ISNUMBER(SEARCH("GIN",C1785)),"Gin",
 TRUE,"Other")</f>
        <v>Other</v>
      </c>
      <c r="E1785" s="5">
        <v>18893</v>
      </c>
      <c r="F1785" s="5">
        <v>78270.399999999892</v>
      </c>
      <c r="G1785" s="5"/>
      <c r="H1785" s="5">
        <v>761</v>
      </c>
    </row>
    <row r="1786" spans="1:8">
      <c r="A1786" s="5">
        <v>2023</v>
      </c>
      <c r="B1786" s="6">
        <v>45108</v>
      </c>
      <c r="C1786" s="5" t="s">
        <v>49</v>
      </c>
      <c r="D1786" s="3" t="str" cm="1">
        <f t="array" ref="D1786">_xlfn.IFS(
 ISNUMBER(SEARCH("WHISK",C1786)),"Whiskey",
 ISNUMBER(SEARCH("BOURBON",C1786)),"Whiskey",
 ISNUMBER(SEARCH("SCOTCH",C1786)),"Whiskey",
 ISNUMBER(SEARCH("RYE",C1786)),"Whiskey",
 ISNUMBER(SEARCH("VODKA",C1786)),"Vodka",
 ISNUMBER(SEARCH("TEQUILA",C1786)),"Tequila/Mezcal",
 ISNUMBER(SEARCH("MEZCAL",C1786)),"Tequila/Mezcal",
 ISNUMBER(SEARCH("RUM",C1786)),"Rum",
 ISNUMBER(SEARCH("BRAND",C1786)),"Brandy",
 ISNUMBER(SEARCH("COGNAC",C1786)),"Brandy",
 ISNUMBER(SEARCH("LIQUEUR",C1786)),"Liqueurs",
 ISNUMBER(SEARCH("CORDIAL",C1786)),"Liqueurs",
 ISNUMBER(SEARCH("SCHNAPP",C1786)),"Liqueurs",
 ISNUMBER(SEARCH("GIN",C1786)),"Gin",
 TRUE,"Other")</f>
        <v>Rum</v>
      </c>
      <c r="E1786" s="5">
        <v>42135</v>
      </c>
      <c r="F1786" s="5">
        <v>514135.0099999957</v>
      </c>
      <c r="G1786" s="5"/>
      <c r="H1786" s="5">
        <v>3938</v>
      </c>
    </row>
    <row r="1787" spans="1:8">
      <c r="A1787" s="5">
        <v>2023</v>
      </c>
      <c r="B1787" s="6">
        <v>45108</v>
      </c>
      <c r="C1787" s="5" t="s">
        <v>23</v>
      </c>
      <c r="D1787" s="3" t="str" cm="1">
        <f t="array" ref="D1787">_xlfn.IFS(
 ISNUMBER(SEARCH("WHISK",C1787)),"Whiskey",
 ISNUMBER(SEARCH("BOURBON",C1787)),"Whiskey",
 ISNUMBER(SEARCH("SCOTCH",C1787)),"Whiskey",
 ISNUMBER(SEARCH("RYE",C1787)),"Whiskey",
 ISNUMBER(SEARCH("VODKA",C1787)),"Vodka",
 ISNUMBER(SEARCH("TEQUILA",C1787)),"Tequila/Mezcal",
 ISNUMBER(SEARCH("MEZCAL",C1787)),"Tequila/Mezcal",
 ISNUMBER(SEARCH("RUM",C1787)),"Rum",
 ISNUMBER(SEARCH("BRAND",C1787)),"Brandy",
 ISNUMBER(SEARCH("COGNAC",C1787)),"Brandy",
 ISNUMBER(SEARCH("LIQUEUR",C1787)),"Liqueurs",
 ISNUMBER(SEARCH("CORDIAL",C1787)),"Liqueurs",
 ISNUMBER(SEARCH("SCHNAPP",C1787)),"Liqueurs",
 ISNUMBER(SEARCH("GIN",C1787)),"Gin",
 TRUE,"Other")</f>
        <v>Gin</v>
      </c>
      <c r="E1787" s="5">
        <v>3182</v>
      </c>
      <c r="F1787" s="5">
        <v>79020.86000000003</v>
      </c>
      <c r="G1787" s="5"/>
      <c r="H1787" s="5">
        <v>433</v>
      </c>
    </row>
    <row r="1788" spans="1:8">
      <c r="A1788" s="5">
        <v>2023</v>
      </c>
      <c r="B1788" s="6">
        <v>45108</v>
      </c>
      <c r="C1788" s="5" t="s">
        <v>34</v>
      </c>
      <c r="D1788" s="3" t="str" cm="1">
        <f t="array" ref="D1788">_xlfn.IFS(
 ISNUMBER(SEARCH("WHISK",C1788)),"Whiskey",
 ISNUMBER(SEARCH("BOURBON",C1788)),"Whiskey",
 ISNUMBER(SEARCH("SCOTCH",C1788)),"Whiskey",
 ISNUMBER(SEARCH("RYE",C1788)),"Whiskey",
 ISNUMBER(SEARCH("VODKA",C1788)),"Vodka",
 ISNUMBER(SEARCH("TEQUILA",C1788)),"Tequila/Mezcal",
 ISNUMBER(SEARCH("MEZCAL",C1788)),"Tequila/Mezcal",
 ISNUMBER(SEARCH("RUM",C1788)),"Rum",
 ISNUMBER(SEARCH("BRAND",C1788)),"Brandy",
 ISNUMBER(SEARCH("COGNAC",C1788)),"Brandy",
 ISNUMBER(SEARCH("LIQUEUR",C1788)),"Liqueurs",
 ISNUMBER(SEARCH("CORDIAL",C1788)),"Liqueurs",
 ISNUMBER(SEARCH("SCHNAPP",C1788)),"Liqueurs",
 ISNUMBER(SEARCH("GIN",C1788)),"Gin",
 TRUE,"Other")</f>
        <v>Tequila/Mezcal</v>
      </c>
      <c r="E1788" s="5">
        <v>1425</v>
      </c>
      <c r="F1788" s="5">
        <v>50191.23000000001</v>
      </c>
      <c r="G1788" s="5"/>
      <c r="H1788" s="5">
        <v>280</v>
      </c>
    </row>
    <row r="1789" spans="1:8">
      <c r="A1789" s="5">
        <v>2023</v>
      </c>
      <c r="B1789" s="6">
        <v>45108</v>
      </c>
      <c r="C1789" s="5" t="s">
        <v>21</v>
      </c>
      <c r="D1789" s="3" t="str" cm="1">
        <f t="array" ref="D1789">_xlfn.IFS(
 ISNUMBER(SEARCH("WHISK",C1789)),"Whiskey",
 ISNUMBER(SEARCH("BOURBON",C1789)),"Whiskey",
 ISNUMBER(SEARCH("SCOTCH",C1789)),"Whiskey",
 ISNUMBER(SEARCH("RYE",C1789)),"Whiskey",
 ISNUMBER(SEARCH("VODKA",C1789)),"Vodka",
 ISNUMBER(SEARCH("TEQUILA",C1789)),"Tequila/Mezcal",
 ISNUMBER(SEARCH("MEZCAL",C1789)),"Tequila/Mezcal",
 ISNUMBER(SEARCH("RUM",C1789)),"Rum",
 ISNUMBER(SEARCH("BRAND",C1789)),"Brandy",
 ISNUMBER(SEARCH("COGNAC",C1789)),"Brandy",
 ISNUMBER(SEARCH("LIQUEUR",C1789)),"Liqueurs",
 ISNUMBER(SEARCH("CORDIAL",C1789)),"Liqueurs",
 ISNUMBER(SEARCH("SCHNAPP",C1789)),"Liqueurs",
 ISNUMBER(SEARCH("GIN",C1789)),"Gin",
 TRUE,"Other")</f>
        <v>Whiskey</v>
      </c>
      <c r="E1789" s="5">
        <v>1296</v>
      </c>
      <c r="F1789" s="5">
        <v>49762.93</v>
      </c>
      <c r="G1789" s="5"/>
      <c r="H1789" s="5">
        <v>101</v>
      </c>
    </row>
    <row r="1790" spans="1:8">
      <c r="A1790" s="5">
        <v>2023</v>
      </c>
      <c r="B1790" s="6">
        <v>45108</v>
      </c>
      <c r="C1790" s="5" t="s">
        <v>41</v>
      </c>
      <c r="D1790" s="3" t="str" cm="1">
        <f t="array" ref="D1790">_xlfn.IFS(
 ISNUMBER(SEARCH("WHISK",C1790)),"Whiskey",
 ISNUMBER(SEARCH("BOURBON",C1790)),"Whiskey",
 ISNUMBER(SEARCH("SCOTCH",C1790)),"Whiskey",
 ISNUMBER(SEARCH("RYE",C1790)),"Whiskey",
 ISNUMBER(SEARCH("VODKA",C1790)),"Vodka",
 ISNUMBER(SEARCH("TEQUILA",C1790)),"Tequila/Mezcal",
 ISNUMBER(SEARCH("MEZCAL",C1790)),"Tequila/Mezcal",
 ISNUMBER(SEARCH("RUM",C1790)),"Rum",
 ISNUMBER(SEARCH("BRAND",C1790)),"Brandy",
 ISNUMBER(SEARCH("COGNAC",C1790)),"Brandy",
 ISNUMBER(SEARCH("LIQUEUR",C1790)),"Liqueurs",
 ISNUMBER(SEARCH("CORDIAL",C1790)),"Liqueurs",
 ISNUMBER(SEARCH("SCHNAPP",C1790)),"Liqueurs",
 ISNUMBER(SEARCH("GIN",C1790)),"Gin",
 TRUE,"Other")</f>
        <v>Other</v>
      </c>
      <c r="E1790" s="5">
        <v>7371</v>
      </c>
      <c r="F1790" s="5">
        <v>102549.37999999999</v>
      </c>
      <c r="G1790" s="5"/>
      <c r="H1790" s="5">
        <v>190</v>
      </c>
    </row>
    <row r="1791" spans="1:8">
      <c r="A1791" s="5">
        <v>2023</v>
      </c>
      <c r="B1791" s="6">
        <v>45108</v>
      </c>
      <c r="C1791" s="5" t="s">
        <v>14</v>
      </c>
      <c r="D1791" s="3" t="str" cm="1">
        <f t="array" ref="D1791">_xlfn.IFS(
 ISNUMBER(SEARCH("WHISK",C1791)),"Whiskey",
 ISNUMBER(SEARCH("BOURBON",C1791)),"Whiskey",
 ISNUMBER(SEARCH("SCOTCH",C1791)),"Whiskey",
 ISNUMBER(SEARCH("RYE",C1791)),"Whiskey",
 ISNUMBER(SEARCH("VODKA",C1791)),"Vodka",
 ISNUMBER(SEARCH("TEQUILA",C1791)),"Tequila/Mezcal",
 ISNUMBER(SEARCH("MEZCAL",C1791)),"Tequila/Mezcal",
 ISNUMBER(SEARCH("RUM",C1791)),"Rum",
 ISNUMBER(SEARCH("BRAND",C1791)),"Brandy",
 ISNUMBER(SEARCH("COGNAC",C1791)),"Brandy",
 ISNUMBER(SEARCH("LIQUEUR",C1791)),"Liqueurs",
 ISNUMBER(SEARCH("CORDIAL",C1791)),"Liqueurs",
 ISNUMBER(SEARCH("SCHNAPP",C1791)),"Liqueurs",
 ISNUMBER(SEARCH("GIN",C1791)),"Gin",
 TRUE,"Other")</f>
        <v>Gin</v>
      </c>
      <c r="E1791" s="5">
        <v>309</v>
      </c>
      <c r="F1791" s="5">
        <v>2620.9599999999991</v>
      </c>
      <c r="G1791" s="5"/>
      <c r="H1791" s="5">
        <v>55</v>
      </c>
    </row>
    <row r="1792" spans="1:8">
      <c r="A1792" s="5">
        <v>2023</v>
      </c>
      <c r="B1792" s="6">
        <v>44927</v>
      </c>
      <c r="C1792" s="5" t="s">
        <v>50</v>
      </c>
      <c r="D1792" s="3" t="str" cm="1">
        <f t="array" ref="D1792">_xlfn.IFS(
 ISNUMBER(SEARCH("WHISK",C1792)),"Whiskey",
 ISNUMBER(SEARCH("BOURBON",C1792)),"Whiskey",
 ISNUMBER(SEARCH("SCOTCH",C1792)),"Whiskey",
 ISNUMBER(SEARCH("RYE",C1792)),"Whiskey",
 ISNUMBER(SEARCH("VODKA",C1792)),"Vodka",
 ISNUMBER(SEARCH("TEQUILA",C1792)),"Tequila/Mezcal",
 ISNUMBER(SEARCH("MEZCAL",C1792)),"Tequila/Mezcal",
 ISNUMBER(SEARCH("RUM",C1792)),"Rum",
 ISNUMBER(SEARCH("BRAND",C1792)),"Brandy",
 ISNUMBER(SEARCH("COGNAC",C1792)),"Brandy",
 ISNUMBER(SEARCH("LIQUEUR",C1792)),"Liqueurs",
 ISNUMBER(SEARCH("CORDIAL",C1792)),"Liqueurs",
 ISNUMBER(SEARCH("SCHNAPP",C1792)),"Liqueurs",
 ISNUMBER(SEARCH("GIN",C1792)),"Gin",
 TRUE,"Other")</f>
        <v>Tequila/Mezcal</v>
      </c>
      <c r="E1792" s="5">
        <v>74090</v>
      </c>
      <c r="F1792" s="5">
        <v>2207050.8799999496</v>
      </c>
      <c r="G1792" s="5"/>
      <c r="H1792" s="5">
        <v>9017</v>
      </c>
    </row>
    <row r="1793" spans="1:8">
      <c r="A1793" s="5">
        <v>2023</v>
      </c>
      <c r="B1793" s="6">
        <v>44927</v>
      </c>
      <c r="C1793" s="5" t="s">
        <v>13</v>
      </c>
      <c r="D1793" s="3" t="str" cm="1">
        <f t="array" ref="D1793">_xlfn.IFS(
 ISNUMBER(SEARCH("WHISK",C1793)),"Whiskey",
 ISNUMBER(SEARCH("BOURBON",C1793)),"Whiskey",
 ISNUMBER(SEARCH("SCOTCH",C1793)),"Whiskey",
 ISNUMBER(SEARCH("RYE",C1793)),"Whiskey",
 ISNUMBER(SEARCH("VODKA",C1793)),"Vodka",
 ISNUMBER(SEARCH("TEQUILA",C1793)),"Tequila/Mezcal",
 ISNUMBER(SEARCH("MEZCAL",C1793)),"Tequila/Mezcal",
 ISNUMBER(SEARCH("RUM",C1793)),"Rum",
 ISNUMBER(SEARCH("BRAND",C1793)),"Brandy",
 ISNUMBER(SEARCH("COGNAC",C1793)),"Brandy",
 ISNUMBER(SEARCH("LIQUEUR",C1793)),"Liqueurs",
 ISNUMBER(SEARCH("CORDIAL",C1793)),"Liqueurs",
 ISNUMBER(SEARCH("SCHNAPP",C1793)),"Liqueurs",
 ISNUMBER(SEARCH("GIN",C1793)),"Gin",
 TRUE,"Other")</f>
        <v>Liqueurs</v>
      </c>
      <c r="E1793" s="5">
        <v>79014</v>
      </c>
      <c r="F1793" s="5">
        <v>568292.32000000821</v>
      </c>
      <c r="G1793" s="5"/>
      <c r="H1793" s="5">
        <v>7689</v>
      </c>
    </row>
    <row r="1794" spans="1:8">
      <c r="A1794" s="5">
        <v>2023</v>
      </c>
      <c r="B1794" s="6">
        <v>44927</v>
      </c>
      <c r="C1794" s="5" t="s">
        <v>15</v>
      </c>
      <c r="D1794" s="3" t="str" cm="1">
        <f t="array" ref="D1794">_xlfn.IFS(
 ISNUMBER(SEARCH("WHISK",C1794)),"Whiskey",
 ISNUMBER(SEARCH("BOURBON",C1794)),"Whiskey",
 ISNUMBER(SEARCH("SCOTCH",C1794)),"Whiskey",
 ISNUMBER(SEARCH("RYE",C1794)),"Whiskey",
 ISNUMBER(SEARCH("VODKA",C1794)),"Vodka",
 ISNUMBER(SEARCH("TEQUILA",C1794)),"Tequila/Mezcal",
 ISNUMBER(SEARCH("MEZCAL",C1794)),"Tequila/Mezcal",
 ISNUMBER(SEARCH("RUM",C1794)),"Rum",
 ISNUMBER(SEARCH("BRAND",C1794)),"Brandy",
 ISNUMBER(SEARCH("COGNAC",C1794)),"Brandy",
 ISNUMBER(SEARCH("LIQUEUR",C1794)),"Liqueurs",
 ISNUMBER(SEARCH("CORDIAL",C1794)),"Liqueurs",
 ISNUMBER(SEARCH("SCHNAPP",C1794)),"Liqueurs",
 ISNUMBER(SEARCH("GIN",C1794)),"Gin",
 TRUE,"Other")</f>
        <v>Vodka</v>
      </c>
      <c r="E1794" s="5">
        <v>478925</v>
      </c>
      <c r="F1794" s="5">
        <v>4663670.5399998352</v>
      </c>
      <c r="G1794" s="5"/>
      <c r="H1794" s="5">
        <v>32416</v>
      </c>
    </row>
    <row r="1795" spans="1:8">
      <c r="A1795" s="5">
        <v>2023</v>
      </c>
      <c r="B1795" s="6">
        <v>44927</v>
      </c>
      <c r="C1795" s="5" t="s">
        <v>16</v>
      </c>
      <c r="D1795" s="3" t="str" cm="1">
        <f t="array" ref="D1795">_xlfn.IFS(
 ISNUMBER(SEARCH("WHISK",C1795)),"Whiskey",
 ISNUMBER(SEARCH("BOURBON",C1795)),"Whiskey",
 ISNUMBER(SEARCH("SCOTCH",C1795)),"Whiskey",
 ISNUMBER(SEARCH("RYE",C1795)),"Whiskey",
 ISNUMBER(SEARCH("VODKA",C1795)),"Vodka",
 ISNUMBER(SEARCH("TEQUILA",C1795)),"Tequila/Mezcal",
 ISNUMBER(SEARCH("MEZCAL",C1795)),"Tequila/Mezcal",
 ISNUMBER(SEARCH("RUM",C1795)),"Rum",
 ISNUMBER(SEARCH("BRAND",C1795)),"Brandy",
 ISNUMBER(SEARCH("COGNAC",C1795)),"Brandy",
 ISNUMBER(SEARCH("LIQUEUR",C1795)),"Liqueurs",
 ISNUMBER(SEARCH("CORDIAL",C1795)),"Liqueurs",
 ISNUMBER(SEARCH("SCHNAPP",C1795)),"Liqueurs",
 ISNUMBER(SEARCH("GIN",C1795)),"Gin",
 TRUE,"Other")</f>
        <v>Whiskey</v>
      </c>
      <c r="E1795" s="5">
        <v>71808</v>
      </c>
      <c r="F1795" s="5">
        <v>848811.01999999944</v>
      </c>
      <c r="G1795" s="5"/>
      <c r="H1795" s="5">
        <v>7720</v>
      </c>
    </row>
    <row r="1796" spans="1:8">
      <c r="A1796" s="5">
        <v>2023</v>
      </c>
      <c r="B1796" s="6">
        <v>44927</v>
      </c>
      <c r="C1796" s="5" t="s">
        <v>18</v>
      </c>
      <c r="D1796" s="3" t="str" cm="1">
        <f t="array" ref="D1796">_xlfn.IFS(
 ISNUMBER(SEARCH("WHISK",C1796)),"Whiskey",
 ISNUMBER(SEARCH("BOURBON",C1796)),"Whiskey",
 ISNUMBER(SEARCH("SCOTCH",C1796)),"Whiskey",
 ISNUMBER(SEARCH("RYE",C1796)),"Whiskey",
 ISNUMBER(SEARCH("VODKA",C1796)),"Vodka",
 ISNUMBER(SEARCH("TEQUILA",C1796)),"Tequila/Mezcal",
 ISNUMBER(SEARCH("MEZCAL",C1796)),"Tequila/Mezcal",
 ISNUMBER(SEARCH("RUM",C1796)),"Rum",
 ISNUMBER(SEARCH("BRAND",C1796)),"Brandy",
 ISNUMBER(SEARCH("COGNAC",C1796)),"Brandy",
 ISNUMBER(SEARCH("LIQUEUR",C1796)),"Liqueurs",
 ISNUMBER(SEARCH("CORDIAL",C1796)),"Liqueurs",
 ISNUMBER(SEARCH("SCHNAPP",C1796)),"Liqueurs",
 ISNUMBER(SEARCH("GIN",C1796)),"Gin",
 TRUE,"Other")</f>
        <v>Whiskey</v>
      </c>
      <c r="E1796" s="5">
        <v>220804</v>
      </c>
      <c r="F1796" s="5">
        <v>3503367.5999999265</v>
      </c>
      <c r="G1796" s="5"/>
      <c r="H1796" s="5">
        <v>20372</v>
      </c>
    </row>
    <row r="1797" spans="1:8">
      <c r="A1797" s="5">
        <v>2023</v>
      </c>
      <c r="B1797" s="6">
        <v>44927</v>
      </c>
      <c r="C1797" s="5" t="s">
        <v>26</v>
      </c>
      <c r="D1797" s="3" t="str" cm="1">
        <f t="array" ref="D1797">_xlfn.IFS(
 ISNUMBER(SEARCH("WHISK",C1797)),"Whiskey",
 ISNUMBER(SEARCH("BOURBON",C1797)),"Whiskey",
 ISNUMBER(SEARCH("SCOTCH",C1797)),"Whiskey",
 ISNUMBER(SEARCH("RYE",C1797)),"Whiskey",
 ISNUMBER(SEARCH("VODKA",C1797)),"Vodka",
 ISNUMBER(SEARCH("TEQUILA",C1797)),"Tequila/Mezcal",
 ISNUMBER(SEARCH("MEZCAL",C1797)),"Tequila/Mezcal",
 ISNUMBER(SEARCH("RUM",C1797)),"Rum",
 ISNUMBER(SEARCH("BRAND",C1797)),"Brandy",
 ISNUMBER(SEARCH("COGNAC",C1797)),"Brandy",
 ISNUMBER(SEARCH("LIQUEUR",C1797)),"Liqueurs",
 ISNUMBER(SEARCH("CORDIAL",C1797)),"Liqueurs",
 ISNUMBER(SEARCH("SCHNAPP",C1797)),"Liqueurs",
 ISNUMBER(SEARCH("GIN",C1797)),"Gin",
 TRUE,"Other")</f>
        <v>Brandy</v>
      </c>
      <c r="E1797" s="5">
        <v>33606</v>
      </c>
      <c r="F1797" s="5">
        <v>797935.36000000045</v>
      </c>
      <c r="G1797" s="5"/>
      <c r="H1797" s="5">
        <v>2974</v>
      </c>
    </row>
    <row r="1798" spans="1:8">
      <c r="A1798" s="5">
        <v>2023</v>
      </c>
      <c r="B1798" s="6">
        <v>44927</v>
      </c>
      <c r="C1798" s="5" t="s">
        <v>42</v>
      </c>
      <c r="D1798" s="3" t="str" cm="1">
        <f t="array" ref="D1798">_xlfn.IFS(
 ISNUMBER(SEARCH("WHISK",C1798)),"Whiskey",
 ISNUMBER(SEARCH("BOURBON",C1798)),"Whiskey",
 ISNUMBER(SEARCH("SCOTCH",C1798)),"Whiskey",
 ISNUMBER(SEARCH("RYE",C1798)),"Whiskey",
 ISNUMBER(SEARCH("VODKA",C1798)),"Vodka",
 ISNUMBER(SEARCH("TEQUILA",C1798)),"Tequila/Mezcal",
 ISNUMBER(SEARCH("MEZCAL",C1798)),"Tequila/Mezcal",
 ISNUMBER(SEARCH("RUM",C1798)),"Rum",
 ISNUMBER(SEARCH("BRAND",C1798)),"Brandy",
 ISNUMBER(SEARCH("COGNAC",C1798)),"Brandy",
 ISNUMBER(SEARCH("LIQUEUR",C1798)),"Liqueurs",
 ISNUMBER(SEARCH("CORDIAL",C1798)),"Liqueurs",
 ISNUMBER(SEARCH("SCHNAPP",C1798)),"Liqueurs",
 ISNUMBER(SEARCH("GIN",C1798)),"Gin",
 TRUE,"Other")</f>
        <v>Rum</v>
      </c>
      <c r="E1798" s="5">
        <v>115351</v>
      </c>
      <c r="F1798" s="5">
        <v>1698137.589999961</v>
      </c>
      <c r="G1798" s="5"/>
      <c r="H1798" s="5">
        <v>8638</v>
      </c>
    </row>
    <row r="1799" spans="1:8">
      <c r="A1799" s="5">
        <v>2023</v>
      </c>
      <c r="B1799" s="6">
        <v>44927</v>
      </c>
      <c r="C1799" s="5" t="s">
        <v>45</v>
      </c>
      <c r="D1799" s="3" t="str" cm="1">
        <f t="array" ref="D1799">_xlfn.IFS(
 ISNUMBER(SEARCH("WHISK",C1799)),"Whiskey",
 ISNUMBER(SEARCH("BOURBON",C1799)),"Whiskey",
 ISNUMBER(SEARCH("SCOTCH",C1799)),"Whiskey",
 ISNUMBER(SEARCH("RYE",C1799)),"Whiskey",
 ISNUMBER(SEARCH("VODKA",C1799)),"Vodka",
 ISNUMBER(SEARCH("TEQUILA",C1799)),"Tequila/Mezcal",
 ISNUMBER(SEARCH("MEZCAL",C1799)),"Tequila/Mezcal",
 ISNUMBER(SEARCH("RUM",C1799)),"Rum",
 ISNUMBER(SEARCH("BRAND",C1799)),"Brandy",
 ISNUMBER(SEARCH("COGNAC",C1799)),"Brandy",
 ISNUMBER(SEARCH("LIQUEUR",C1799)),"Liqueurs",
 ISNUMBER(SEARCH("CORDIAL",C1799)),"Liqueurs",
 ISNUMBER(SEARCH("SCHNAPP",C1799)),"Liqueurs",
 ISNUMBER(SEARCH("GIN",C1799)),"Gin",
 TRUE,"Other")</f>
        <v>Other</v>
      </c>
      <c r="E1799" s="5">
        <v>18451</v>
      </c>
      <c r="F1799" s="5">
        <v>605951.17999999924</v>
      </c>
      <c r="G1799" s="5"/>
      <c r="H1799" s="5">
        <v>3458</v>
      </c>
    </row>
    <row r="1800" spans="1:8">
      <c r="A1800" s="5">
        <v>2023</v>
      </c>
      <c r="B1800" s="6">
        <v>44927</v>
      </c>
      <c r="C1800" s="5" t="s">
        <v>48</v>
      </c>
      <c r="D1800" s="3" t="str" cm="1">
        <f t="array" ref="D1800">_xlfn.IFS(
 ISNUMBER(SEARCH("WHISK",C1800)),"Whiskey",
 ISNUMBER(SEARCH("BOURBON",C1800)),"Whiskey",
 ISNUMBER(SEARCH("SCOTCH",C1800)),"Whiskey",
 ISNUMBER(SEARCH("RYE",C1800)),"Whiskey",
 ISNUMBER(SEARCH("VODKA",C1800)),"Vodka",
 ISNUMBER(SEARCH("TEQUILA",C1800)),"Tequila/Mezcal",
 ISNUMBER(SEARCH("MEZCAL",C1800)),"Tequila/Mezcal",
 ISNUMBER(SEARCH("RUM",C1800)),"Rum",
 ISNUMBER(SEARCH("BRAND",C1800)),"Brandy",
 ISNUMBER(SEARCH("COGNAC",C1800)),"Brandy",
 ISNUMBER(SEARCH("LIQUEUR",C1800)),"Liqueurs",
 ISNUMBER(SEARCH("CORDIAL",C1800)),"Liqueurs",
 ISNUMBER(SEARCH("SCHNAPP",C1800)),"Liqueurs",
 ISNUMBER(SEARCH("GIN",C1800)),"Gin",
 TRUE,"Other")</f>
        <v>Whiskey</v>
      </c>
      <c r="E1800" s="5">
        <v>351632</v>
      </c>
      <c r="F1800" s="5">
        <v>2140959.1899999697</v>
      </c>
      <c r="G1800" s="5"/>
      <c r="H1800" s="5">
        <v>13284</v>
      </c>
    </row>
    <row r="1801" spans="1:8">
      <c r="A1801" s="5">
        <v>2023</v>
      </c>
      <c r="B1801" s="6">
        <v>44927</v>
      </c>
      <c r="C1801" s="5" t="s">
        <v>7</v>
      </c>
      <c r="D1801" s="3" t="str" cm="1">
        <f t="array" ref="D1801">_xlfn.IFS(
 ISNUMBER(SEARCH("WHISK",C1801)),"Whiskey",
 ISNUMBER(SEARCH("BOURBON",C1801)),"Whiskey",
 ISNUMBER(SEARCH("SCOTCH",C1801)),"Whiskey",
 ISNUMBER(SEARCH("RYE",C1801)),"Whiskey",
 ISNUMBER(SEARCH("VODKA",C1801)),"Vodka",
 ISNUMBER(SEARCH("TEQUILA",C1801)),"Tequila/Mezcal",
 ISNUMBER(SEARCH("MEZCAL",C1801)),"Tequila/Mezcal",
 ISNUMBER(SEARCH("RUM",C1801)),"Rum",
 ISNUMBER(SEARCH("BRAND",C1801)),"Brandy",
 ISNUMBER(SEARCH("COGNAC",C1801)),"Brandy",
 ISNUMBER(SEARCH("LIQUEUR",C1801)),"Liqueurs",
 ISNUMBER(SEARCH("CORDIAL",C1801)),"Liqueurs",
 ISNUMBER(SEARCH("SCHNAPP",C1801)),"Liqueurs",
 ISNUMBER(SEARCH("GIN",C1801)),"Gin",
 TRUE,"Other")</f>
        <v>Rum</v>
      </c>
      <c r="E1801" s="5">
        <v>4251</v>
      </c>
      <c r="F1801" s="5">
        <v>95459.460000000065</v>
      </c>
      <c r="G1801" s="5"/>
      <c r="H1801" s="5">
        <v>722</v>
      </c>
    </row>
    <row r="1802" spans="1:8">
      <c r="A1802" s="5">
        <v>2023</v>
      </c>
      <c r="B1802" s="6">
        <v>44927</v>
      </c>
      <c r="C1802" s="5" t="s">
        <v>8</v>
      </c>
      <c r="D1802" s="3" t="str" cm="1">
        <f t="array" ref="D1802">_xlfn.IFS(
 ISNUMBER(SEARCH("WHISK",C1802)),"Whiskey",
 ISNUMBER(SEARCH("BOURBON",C1802)),"Whiskey",
 ISNUMBER(SEARCH("SCOTCH",C1802)),"Whiskey",
 ISNUMBER(SEARCH("RYE",C1802)),"Whiskey",
 ISNUMBER(SEARCH("VODKA",C1802)),"Vodka",
 ISNUMBER(SEARCH("TEQUILA",C1802)),"Tequila/Mezcal",
 ISNUMBER(SEARCH("MEZCAL",C1802)),"Tequila/Mezcal",
 ISNUMBER(SEARCH("RUM",C1802)),"Rum",
 ISNUMBER(SEARCH("BRAND",C1802)),"Brandy",
 ISNUMBER(SEARCH("COGNAC",C1802)),"Brandy",
 ISNUMBER(SEARCH("LIQUEUR",C1802)),"Liqueurs",
 ISNUMBER(SEARCH("CORDIAL",C1802)),"Liqueurs",
 ISNUMBER(SEARCH("SCHNAPP",C1802)),"Liqueurs",
 ISNUMBER(SEARCH("GIN",C1802)),"Gin",
 TRUE,"Other")</f>
        <v>Brandy</v>
      </c>
      <c r="E1802" s="5">
        <v>60892</v>
      </c>
      <c r="F1802" s="5">
        <v>405269.33000000153</v>
      </c>
      <c r="G1802" s="5"/>
      <c r="H1802" s="5">
        <v>5347</v>
      </c>
    </row>
    <row r="1803" spans="1:8">
      <c r="A1803" s="5">
        <v>2023</v>
      </c>
      <c r="B1803" s="6">
        <v>44927</v>
      </c>
      <c r="C1803" s="5" t="s">
        <v>59</v>
      </c>
      <c r="D1803" s="3" t="str" cm="1">
        <f t="array" ref="D1803">_xlfn.IFS(
 ISNUMBER(SEARCH("WHISK",C1803)),"Whiskey",
 ISNUMBER(SEARCH("BOURBON",C1803)),"Whiskey",
 ISNUMBER(SEARCH("SCOTCH",C1803)),"Whiskey",
 ISNUMBER(SEARCH("RYE",C1803)),"Whiskey",
 ISNUMBER(SEARCH("VODKA",C1803)),"Vodka",
 ISNUMBER(SEARCH("TEQUILA",C1803)),"Tequila/Mezcal",
 ISNUMBER(SEARCH("MEZCAL",C1803)),"Tequila/Mezcal",
 ISNUMBER(SEARCH("RUM",C1803)),"Rum",
 ISNUMBER(SEARCH("BRAND",C1803)),"Brandy",
 ISNUMBER(SEARCH("COGNAC",C1803)),"Brandy",
 ISNUMBER(SEARCH("LIQUEUR",C1803)),"Liqueurs",
 ISNUMBER(SEARCH("CORDIAL",C1803)),"Liqueurs",
 ISNUMBER(SEARCH("SCHNAPP",C1803)),"Liqueurs",
 ISNUMBER(SEARCH("GIN",C1803)),"Gin",
 TRUE,"Other")</f>
        <v>Liqueurs</v>
      </c>
      <c r="E1803" s="5">
        <v>33625</v>
      </c>
      <c r="F1803" s="5">
        <v>334471.91000000417</v>
      </c>
      <c r="G1803" s="5"/>
      <c r="H1803" s="5">
        <v>5412</v>
      </c>
    </row>
    <row r="1804" spans="1:8">
      <c r="A1804" s="5">
        <v>2023</v>
      </c>
      <c r="B1804" s="6">
        <v>44927</v>
      </c>
      <c r="C1804" s="5" t="s">
        <v>11</v>
      </c>
      <c r="D1804" s="3" t="str" cm="1">
        <f t="array" ref="D1804">_xlfn.IFS(
 ISNUMBER(SEARCH("WHISK",C1804)),"Whiskey",
 ISNUMBER(SEARCH("BOURBON",C1804)),"Whiskey",
 ISNUMBER(SEARCH("SCOTCH",C1804)),"Whiskey",
 ISNUMBER(SEARCH("RYE",C1804)),"Whiskey",
 ISNUMBER(SEARCH("VODKA",C1804)),"Vodka",
 ISNUMBER(SEARCH("TEQUILA",C1804)),"Tequila/Mezcal",
 ISNUMBER(SEARCH("MEZCAL",C1804)),"Tequila/Mezcal",
 ISNUMBER(SEARCH("RUM",C1804)),"Rum",
 ISNUMBER(SEARCH("BRAND",C1804)),"Brandy",
 ISNUMBER(SEARCH("COGNAC",C1804)),"Brandy",
 ISNUMBER(SEARCH("LIQUEUR",C1804)),"Liqueurs",
 ISNUMBER(SEARCH("CORDIAL",C1804)),"Liqueurs",
 ISNUMBER(SEARCH("SCHNAPP",C1804)),"Liqueurs",
 ISNUMBER(SEARCH("GIN",C1804)),"Gin",
 TRUE,"Other")</f>
        <v>Gin</v>
      </c>
      <c r="E1804" s="5">
        <v>25862</v>
      </c>
      <c r="F1804" s="5">
        <v>248187.44000000105</v>
      </c>
      <c r="G1804" s="5"/>
      <c r="H1804" s="5">
        <v>2578</v>
      </c>
    </row>
    <row r="1805" spans="1:8">
      <c r="A1805" s="5">
        <v>2023</v>
      </c>
      <c r="B1805" s="6">
        <v>44927</v>
      </c>
      <c r="C1805" s="5" t="s">
        <v>12</v>
      </c>
      <c r="D1805" s="3" t="str" cm="1">
        <f t="array" ref="D1805">_xlfn.IFS(
 ISNUMBER(SEARCH("WHISK",C1805)),"Whiskey",
 ISNUMBER(SEARCH("BOURBON",C1805)),"Whiskey",
 ISNUMBER(SEARCH("SCOTCH",C1805)),"Whiskey",
 ISNUMBER(SEARCH("RYE",C1805)),"Whiskey",
 ISNUMBER(SEARCH("VODKA",C1805)),"Vodka",
 ISNUMBER(SEARCH("TEQUILA",C1805)),"Tequila/Mezcal",
 ISNUMBER(SEARCH("MEZCAL",C1805)),"Tequila/Mezcal",
 ISNUMBER(SEARCH("RUM",C1805)),"Rum",
 ISNUMBER(SEARCH("BRAND",C1805)),"Brandy",
 ISNUMBER(SEARCH("COGNAC",C1805)),"Brandy",
 ISNUMBER(SEARCH("LIQUEUR",C1805)),"Liqueurs",
 ISNUMBER(SEARCH("CORDIAL",C1805)),"Liqueurs",
 ISNUMBER(SEARCH("SCHNAPP",C1805)),"Liqueurs",
 ISNUMBER(SEARCH("GIN",C1805)),"Gin",
 TRUE,"Other")</f>
        <v>Vodka</v>
      </c>
      <c r="E1805" s="5">
        <v>76792</v>
      </c>
      <c r="F1805" s="5">
        <v>844525.27000002959</v>
      </c>
      <c r="G1805" s="5"/>
      <c r="H1805" s="5">
        <v>10068</v>
      </c>
    </row>
    <row r="1806" spans="1:8">
      <c r="A1806" s="5">
        <v>2023</v>
      </c>
      <c r="B1806" s="6">
        <v>44927</v>
      </c>
      <c r="C1806" s="5" t="s">
        <v>19</v>
      </c>
      <c r="D1806" s="3" t="str" cm="1">
        <f t="array" ref="D1806">_xlfn.IFS(
 ISNUMBER(SEARCH("WHISK",C1806)),"Whiskey",
 ISNUMBER(SEARCH("BOURBON",C1806)),"Whiskey",
 ISNUMBER(SEARCH("SCOTCH",C1806)),"Whiskey",
 ISNUMBER(SEARCH("RYE",C1806)),"Whiskey",
 ISNUMBER(SEARCH("VODKA",C1806)),"Vodka",
 ISNUMBER(SEARCH("TEQUILA",C1806)),"Tequila/Mezcal",
 ISNUMBER(SEARCH("MEZCAL",C1806)),"Tequila/Mezcal",
 ISNUMBER(SEARCH("RUM",C1806)),"Rum",
 ISNUMBER(SEARCH("BRAND",C1806)),"Brandy",
 ISNUMBER(SEARCH("COGNAC",C1806)),"Brandy",
 ISNUMBER(SEARCH("LIQUEUR",C1806)),"Liqueurs",
 ISNUMBER(SEARCH("CORDIAL",C1806)),"Liqueurs",
 ISNUMBER(SEARCH("SCHNAPP",C1806)),"Liqueurs",
 ISNUMBER(SEARCH("GIN",C1806)),"Gin",
 TRUE,"Other")</f>
        <v>Other</v>
      </c>
      <c r="E1806" s="5">
        <v>41910</v>
      </c>
      <c r="F1806" s="5">
        <v>524783.67999998177</v>
      </c>
      <c r="G1806" s="5"/>
      <c r="H1806" s="5">
        <v>5774</v>
      </c>
    </row>
    <row r="1807" spans="1:8">
      <c r="A1807" s="5">
        <v>2023</v>
      </c>
      <c r="B1807" s="6">
        <v>44927</v>
      </c>
      <c r="C1807" s="5" t="s">
        <v>22</v>
      </c>
      <c r="D1807" s="3" t="str" cm="1">
        <f t="array" ref="D1807">_xlfn.IFS(
 ISNUMBER(SEARCH("WHISK",C1807)),"Whiskey",
 ISNUMBER(SEARCH("BOURBON",C1807)),"Whiskey",
 ISNUMBER(SEARCH("SCOTCH",C1807)),"Whiskey",
 ISNUMBER(SEARCH("RYE",C1807)),"Whiskey",
 ISNUMBER(SEARCH("VODKA",C1807)),"Vodka",
 ISNUMBER(SEARCH("TEQUILA",C1807)),"Tequila/Mezcal",
 ISNUMBER(SEARCH("MEZCAL",C1807)),"Tequila/Mezcal",
 ISNUMBER(SEARCH("RUM",C1807)),"Rum",
 ISNUMBER(SEARCH("BRAND",C1807)),"Brandy",
 ISNUMBER(SEARCH("COGNAC",C1807)),"Brandy",
 ISNUMBER(SEARCH("LIQUEUR",C1807)),"Liqueurs",
 ISNUMBER(SEARCH("CORDIAL",C1807)),"Liqueurs",
 ISNUMBER(SEARCH("SCHNAPP",C1807)),"Liqueurs",
 ISNUMBER(SEARCH("GIN",C1807)),"Gin",
 TRUE,"Other")</f>
        <v>Liqueurs</v>
      </c>
      <c r="E1807" s="5">
        <v>34143</v>
      </c>
      <c r="F1807" s="5">
        <v>685461.48999998032</v>
      </c>
      <c r="G1807" s="5"/>
      <c r="H1807" s="5">
        <v>5353</v>
      </c>
    </row>
    <row r="1808" spans="1:8">
      <c r="A1808" s="5">
        <v>2023</v>
      </c>
      <c r="B1808" s="6">
        <v>44927</v>
      </c>
      <c r="C1808" s="5" t="s">
        <v>24</v>
      </c>
      <c r="D1808" s="3" t="str" cm="1">
        <f t="array" ref="D1808">_xlfn.IFS(
 ISNUMBER(SEARCH("WHISK",C1808)),"Whiskey",
 ISNUMBER(SEARCH("BOURBON",C1808)),"Whiskey",
 ISNUMBER(SEARCH("SCOTCH",C1808)),"Whiskey",
 ISNUMBER(SEARCH("RYE",C1808)),"Whiskey",
 ISNUMBER(SEARCH("VODKA",C1808)),"Vodka",
 ISNUMBER(SEARCH("TEQUILA",C1808)),"Tequila/Mezcal",
 ISNUMBER(SEARCH("MEZCAL",C1808)),"Tequila/Mezcal",
 ISNUMBER(SEARCH("RUM",C1808)),"Rum",
 ISNUMBER(SEARCH("BRAND",C1808)),"Brandy",
 ISNUMBER(SEARCH("COGNAC",C1808)),"Brandy",
 ISNUMBER(SEARCH("LIQUEUR",C1808)),"Liqueurs",
 ISNUMBER(SEARCH("CORDIAL",C1808)),"Liqueurs",
 ISNUMBER(SEARCH("SCHNAPP",C1808)),"Liqueurs",
 ISNUMBER(SEARCH("GIN",C1808)),"Gin",
 TRUE,"Other")</f>
        <v>Rum</v>
      </c>
      <c r="E1808" s="5">
        <v>40799</v>
      </c>
      <c r="F1808" s="5">
        <v>620444.16999999969</v>
      </c>
      <c r="G1808" s="5"/>
      <c r="H1808" s="5">
        <v>4350</v>
      </c>
    </row>
    <row r="1809" spans="1:8">
      <c r="A1809" s="5">
        <v>2023</v>
      </c>
      <c r="B1809" s="6">
        <v>44927</v>
      </c>
      <c r="C1809" s="5" t="s">
        <v>31</v>
      </c>
      <c r="D1809" s="3" t="str" cm="1">
        <f t="array" ref="D1809">_xlfn.IFS(
 ISNUMBER(SEARCH("WHISK",C1809)),"Whiskey",
 ISNUMBER(SEARCH("BOURBON",C1809)),"Whiskey",
 ISNUMBER(SEARCH("SCOTCH",C1809)),"Whiskey",
 ISNUMBER(SEARCH("RYE",C1809)),"Whiskey",
 ISNUMBER(SEARCH("VODKA",C1809)),"Vodka",
 ISNUMBER(SEARCH("TEQUILA",C1809)),"Tequila/Mezcal",
 ISNUMBER(SEARCH("MEZCAL",C1809)),"Tequila/Mezcal",
 ISNUMBER(SEARCH("RUM",C1809)),"Rum",
 ISNUMBER(SEARCH("BRAND",C1809)),"Brandy",
 ISNUMBER(SEARCH("COGNAC",C1809)),"Brandy",
 ISNUMBER(SEARCH("LIQUEUR",C1809)),"Liqueurs",
 ISNUMBER(SEARCH("CORDIAL",C1809)),"Liqueurs",
 ISNUMBER(SEARCH("SCHNAPP",C1809)),"Liqueurs",
 ISNUMBER(SEARCH("GIN",C1809)),"Gin",
 TRUE,"Other")</f>
        <v>Liqueurs</v>
      </c>
      <c r="E1809" s="5">
        <v>29372</v>
      </c>
      <c r="F1809" s="5">
        <v>497644.45000000019</v>
      </c>
      <c r="G1809" s="5"/>
      <c r="H1809" s="5">
        <v>3338</v>
      </c>
    </row>
    <row r="1810" spans="1:8">
      <c r="A1810" s="5">
        <v>2023</v>
      </c>
      <c r="B1810" s="6">
        <v>44927</v>
      </c>
      <c r="C1810" s="5" t="s">
        <v>33</v>
      </c>
      <c r="D1810" s="3" t="str" cm="1">
        <f t="array" ref="D1810">_xlfn.IFS(
 ISNUMBER(SEARCH("WHISK",C1810)),"Whiskey",
 ISNUMBER(SEARCH("BOURBON",C1810)),"Whiskey",
 ISNUMBER(SEARCH("SCOTCH",C1810)),"Whiskey",
 ISNUMBER(SEARCH("RYE",C1810)),"Whiskey",
 ISNUMBER(SEARCH("VODKA",C1810)),"Vodka",
 ISNUMBER(SEARCH("TEQUILA",C1810)),"Tequila/Mezcal",
 ISNUMBER(SEARCH("MEZCAL",C1810)),"Tequila/Mezcal",
 ISNUMBER(SEARCH("RUM",C1810)),"Rum",
 ISNUMBER(SEARCH("BRAND",C1810)),"Brandy",
 ISNUMBER(SEARCH("COGNAC",C1810)),"Brandy",
 ISNUMBER(SEARCH("LIQUEUR",C1810)),"Liqueurs",
 ISNUMBER(SEARCH("CORDIAL",C1810)),"Liqueurs",
 ISNUMBER(SEARCH("SCHNAPP",C1810)),"Liqueurs",
 ISNUMBER(SEARCH("GIN",C1810)),"Gin",
 TRUE,"Other")</f>
        <v>Whiskey</v>
      </c>
      <c r="E1810" s="5">
        <v>28110</v>
      </c>
      <c r="F1810" s="5">
        <v>771387.14999998838</v>
      </c>
      <c r="G1810" s="5"/>
      <c r="H1810" s="5">
        <v>2636</v>
      </c>
    </row>
    <row r="1811" spans="1:8">
      <c r="A1811" s="5">
        <v>2023</v>
      </c>
      <c r="B1811" s="6">
        <v>44927</v>
      </c>
      <c r="C1811" s="5" t="s">
        <v>43</v>
      </c>
      <c r="D1811" s="3" t="str" cm="1">
        <f t="array" ref="D1811">_xlfn.IFS(
 ISNUMBER(SEARCH("WHISK",C1811)),"Whiskey",
 ISNUMBER(SEARCH("BOURBON",C1811)),"Whiskey",
 ISNUMBER(SEARCH("SCOTCH",C1811)),"Whiskey",
 ISNUMBER(SEARCH("RYE",C1811)),"Whiskey",
 ISNUMBER(SEARCH("VODKA",C1811)),"Vodka",
 ISNUMBER(SEARCH("TEQUILA",C1811)),"Tequila/Mezcal",
 ISNUMBER(SEARCH("MEZCAL",C1811)),"Tequila/Mezcal",
 ISNUMBER(SEARCH("RUM",C1811)),"Rum",
 ISNUMBER(SEARCH("BRAND",C1811)),"Brandy",
 ISNUMBER(SEARCH("COGNAC",C1811)),"Brandy",
 ISNUMBER(SEARCH("LIQUEUR",C1811)),"Liqueurs",
 ISNUMBER(SEARCH("CORDIAL",C1811)),"Liqueurs",
 ISNUMBER(SEARCH("SCHNAPP",C1811)),"Liqueurs",
 ISNUMBER(SEARCH("GIN",C1811)),"Gin",
 TRUE,"Other")</f>
        <v>Whiskey</v>
      </c>
      <c r="E1811" s="5">
        <v>131378</v>
      </c>
      <c r="F1811" s="5">
        <v>2983065.8600000073</v>
      </c>
      <c r="G1811" s="5"/>
      <c r="H1811" s="5">
        <v>17079</v>
      </c>
    </row>
    <row r="1812" spans="1:8">
      <c r="A1812" s="5">
        <v>2023</v>
      </c>
      <c r="B1812" s="6">
        <v>44927</v>
      </c>
      <c r="C1812" s="5" t="s">
        <v>46</v>
      </c>
      <c r="D1812" s="3" t="str" cm="1">
        <f t="array" ref="D1812">_xlfn.IFS(
 ISNUMBER(SEARCH("WHISK",C1812)),"Whiskey",
 ISNUMBER(SEARCH("BOURBON",C1812)),"Whiskey",
 ISNUMBER(SEARCH("SCOTCH",C1812)),"Whiskey",
 ISNUMBER(SEARCH("RYE",C1812)),"Whiskey",
 ISNUMBER(SEARCH("VODKA",C1812)),"Vodka",
 ISNUMBER(SEARCH("TEQUILA",C1812)),"Tequila/Mezcal",
 ISNUMBER(SEARCH("MEZCAL",C1812)),"Tequila/Mezcal",
 ISNUMBER(SEARCH("RUM",C1812)),"Rum",
 ISNUMBER(SEARCH("BRAND",C1812)),"Brandy",
 ISNUMBER(SEARCH("COGNAC",C1812)),"Brandy",
 ISNUMBER(SEARCH("LIQUEUR",C1812)),"Liqueurs",
 ISNUMBER(SEARCH("CORDIAL",C1812)),"Liqueurs",
 ISNUMBER(SEARCH("SCHNAPP",C1812)),"Liqueurs",
 ISNUMBER(SEARCH("GIN",C1812)),"Gin",
 TRUE,"Other")</f>
        <v>Whiskey</v>
      </c>
      <c r="E1812" s="5">
        <v>51369</v>
      </c>
      <c r="F1812" s="5">
        <v>1127447.5199999707</v>
      </c>
      <c r="G1812" s="5"/>
      <c r="H1812" s="5">
        <v>6136</v>
      </c>
    </row>
    <row r="1813" spans="1:8">
      <c r="A1813" s="5">
        <v>2023</v>
      </c>
      <c r="B1813" s="6">
        <v>44927</v>
      </c>
      <c r="C1813" s="5" t="s">
        <v>49</v>
      </c>
      <c r="D1813" s="3" t="str" cm="1">
        <f t="array" ref="D1813">_xlfn.IFS(
 ISNUMBER(SEARCH("WHISK",C1813)),"Whiskey",
 ISNUMBER(SEARCH("BOURBON",C1813)),"Whiskey",
 ISNUMBER(SEARCH("SCOTCH",C1813)),"Whiskey",
 ISNUMBER(SEARCH("RYE",C1813)),"Whiskey",
 ISNUMBER(SEARCH("VODKA",C1813)),"Vodka",
 ISNUMBER(SEARCH("TEQUILA",C1813)),"Tequila/Mezcal",
 ISNUMBER(SEARCH("MEZCAL",C1813)),"Tequila/Mezcal",
 ISNUMBER(SEARCH("RUM",C1813)),"Rum",
 ISNUMBER(SEARCH("BRAND",C1813)),"Brandy",
 ISNUMBER(SEARCH("COGNAC",C1813)),"Brandy",
 ISNUMBER(SEARCH("LIQUEUR",C1813)),"Liqueurs",
 ISNUMBER(SEARCH("CORDIAL",C1813)),"Liqueurs",
 ISNUMBER(SEARCH("SCHNAPP",C1813)),"Liqueurs",
 ISNUMBER(SEARCH("GIN",C1813)),"Gin",
 TRUE,"Other")</f>
        <v>Rum</v>
      </c>
      <c r="E1813" s="5">
        <v>34595</v>
      </c>
      <c r="F1813" s="5">
        <v>395171.37999999808</v>
      </c>
      <c r="G1813" s="5"/>
      <c r="H1813" s="5">
        <v>3433</v>
      </c>
    </row>
    <row r="1814" spans="1:8">
      <c r="A1814" s="5">
        <v>2023</v>
      </c>
      <c r="B1814" s="6">
        <v>44927</v>
      </c>
      <c r="C1814" s="5" t="s">
        <v>17</v>
      </c>
      <c r="D1814" s="3" t="str" cm="1">
        <f t="array" ref="D1814">_xlfn.IFS(
 ISNUMBER(SEARCH("WHISK",C1814)),"Whiskey",
 ISNUMBER(SEARCH("BOURBON",C1814)),"Whiskey",
 ISNUMBER(SEARCH("SCOTCH",C1814)),"Whiskey",
 ISNUMBER(SEARCH("RYE",C1814)),"Whiskey",
 ISNUMBER(SEARCH("VODKA",C1814)),"Vodka",
 ISNUMBER(SEARCH("TEQUILA",C1814)),"Tequila/Mezcal",
 ISNUMBER(SEARCH("MEZCAL",C1814)),"Tequila/Mezcal",
 ISNUMBER(SEARCH("RUM",C1814)),"Rum",
 ISNUMBER(SEARCH("BRAND",C1814)),"Brandy",
 ISNUMBER(SEARCH("COGNAC",C1814)),"Brandy",
 ISNUMBER(SEARCH("LIQUEUR",C1814)),"Liqueurs",
 ISNUMBER(SEARCH("CORDIAL",C1814)),"Liqueurs",
 ISNUMBER(SEARCH("SCHNAPP",C1814)),"Liqueurs",
 ISNUMBER(SEARCH("GIN",C1814)),"Gin",
 TRUE,"Other")</f>
        <v>Whiskey</v>
      </c>
      <c r="E1814" s="5">
        <v>3202</v>
      </c>
      <c r="F1814" s="5">
        <v>91714.320000000051</v>
      </c>
      <c r="G1814" s="5"/>
      <c r="H1814" s="5">
        <v>1200</v>
      </c>
    </row>
    <row r="1815" spans="1:8">
      <c r="A1815" s="5">
        <v>2023</v>
      </c>
      <c r="B1815" s="6">
        <v>44927</v>
      </c>
      <c r="C1815" s="5" t="s">
        <v>60</v>
      </c>
      <c r="D1815" s="3" t="str" cm="1">
        <f t="array" ref="D1815">_xlfn.IFS(
 ISNUMBER(SEARCH("WHISK",C1815)),"Whiskey",
 ISNUMBER(SEARCH("BOURBON",C1815)),"Whiskey",
 ISNUMBER(SEARCH("SCOTCH",C1815)),"Whiskey",
 ISNUMBER(SEARCH("RYE",C1815)),"Whiskey",
 ISNUMBER(SEARCH("VODKA",C1815)),"Vodka",
 ISNUMBER(SEARCH("TEQUILA",C1815)),"Tequila/Mezcal",
 ISNUMBER(SEARCH("MEZCAL",C1815)),"Tequila/Mezcal",
 ISNUMBER(SEARCH("RUM",C1815)),"Rum",
 ISNUMBER(SEARCH("BRAND",C1815)),"Brandy",
 ISNUMBER(SEARCH("COGNAC",C1815)),"Brandy",
 ISNUMBER(SEARCH("LIQUEUR",C1815)),"Liqueurs",
 ISNUMBER(SEARCH("CORDIAL",C1815)),"Liqueurs",
 ISNUMBER(SEARCH("SCHNAPP",C1815)),"Liqueurs",
 ISNUMBER(SEARCH("GIN",C1815)),"Gin",
 TRUE,"Other")</f>
        <v>Liqueurs</v>
      </c>
      <c r="E1815" s="5">
        <v>40486</v>
      </c>
      <c r="F1815" s="5">
        <v>938392.26000000548</v>
      </c>
      <c r="G1815" s="5"/>
      <c r="H1815" s="5">
        <v>4812</v>
      </c>
    </row>
    <row r="1816" spans="1:8">
      <c r="A1816" s="5">
        <v>2023</v>
      </c>
      <c r="B1816" s="6">
        <v>44927</v>
      </c>
      <c r="C1816" s="5" t="s">
        <v>29</v>
      </c>
      <c r="D1816" s="3" t="str" cm="1">
        <f t="array" ref="D1816">_xlfn.IFS(
 ISNUMBER(SEARCH("WHISK",C1816)),"Whiskey",
 ISNUMBER(SEARCH("BOURBON",C1816)),"Whiskey",
 ISNUMBER(SEARCH("SCOTCH",C1816)),"Whiskey",
 ISNUMBER(SEARCH("RYE",C1816)),"Whiskey",
 ISNUMBER(SEARCH("VODKA",C1816)),"Vodka",
 ISNUMBER(SEARCH("TEQUILA",C1816)),"Tequila/Mezcal",
 ISNUMBER(SEARCH("MEZCAL",C1816)),"Tequila/Mezcal",
 ISNUMBER(SEARCH("RUM",C1816)),"Rum",
 ISNUMBER(SEARCH("BRAND",C1816)),"Brandy",
 ISNUMBER(SEARCH("COGNAC",C1816)),"Brandy",
 ISNUMBER(SEARCH("LIQUEUR",C1816)),"Liqueurs",
 ISNUMBER(SEARCH("CORDIAL",C1816)),"Liqueurs",
 ISNUMBER(SEARCH("SCHNAPP",C1816)),"Liqueurs",
 ISNUMBER(SEARCH("GIN",C1816)),"Gin",
 TRUE,"Other")</f>
        <v>Gin</v>
      </c>
      <c r="E1816" s="5">
        <v>15112</v>
      </c>
      <c r="F1816" s="5">
        <v>379335.54000000068</v>
      </c>
      <c r="G1816" s="5"/>
      <c r="H1816" s="5">
        <v>1842</v>
      </c>
    </row>
    <row r="1817" spans="1:8">
      <c r="A1817" s="5">
        <v>2023</v>
      </c>
      <c r="B1817" s="6">
        <v>44927</v>
      </c>
      <c r="C1817" s="5" t="s">
        <v>30</v>
      </c>
      <c r="D1817" s="3" t="str" cm="1">
        <f t="array" ref="D1817">_xlfn.IFS(
 ISNUMBER(SEARCH("WHISK",C1817)),"Whiskey",
 ISNUMBER(SEARCH("BOURBON",C1817)),"Whiskey",
 ISNUMBER(SEARCH("SCOTCH",C1817)),"Whiskey",
 ISNUMBER(SEARCH("RYE",C1817)),"Whiskey",
 ISNUMBER(SEARCH("VODKA",C1817)),"Vodka",
 ISNUMBER(SEARCH("TEQUILA",C1817)),"Tequila/Mezcal",
 ISNUMBER(SEARCH("MEZCAL",C1817)),"Tequila/Mezcal",
 ISNUMBER(SEARCH("RUM",C1817)),"Rum",
 ISNUMBER(SEARCH("BRAND",C1817)),"Brandy",
 ISNUMBER(SEARCH("COGNAC",C1817)),"Brandy",
 ISNUMBER(SEARCH("LIQUEUR",C1817)),"Liqueurs",
 ISNUMBER(SEARCH("CORDIAL",C1817)),"Liqueurs",
 ISNUMBER(SEARCH("SCHNAPP",C1817)),"Liqueurs",
 ISNUMBER(SEARCH("GIN",C1817)),"Gin",
 TRUE,"Other")</f>
        <v>Vodka</v>
      </c>
      <c r="E1817" s="5">
        <v>21026</v>
      </c>
      <c r="F1817" s="5">
        <v>356780.96000000078</v>
      </c>
      <c r="G1817" s="5"/>
      <c r="H1817" s="5">
        <v>2719</v>
      </c>
    </row>
    <row r="1818" spans="1:8">
      <c r="A1818" s="5">
        <v>2023</v>
      </c>
      <c r="B1818" s="6">
        <v>44927</v>
      </c>
      <c r="C1818" s="5" t="s">
        <v>32</v>
      </c>
      <c r="D1818" s="3" t="str" cm="1">
        <f t="array" ref="D1818">_xlfn.IFS(
 ISNUMBER(SEARCH("WHISK",C1818)),"Whiskey",
 ISNUMBER(SEARCH("BOURBON",C1818)),"Whiskey",
 ISNUMBER(SEARCH("SCOTCH",C1818)),"Whiskey",
 ISNUMBER(SEARCH("RYE",C1818)),"Whiskey",
 ISNUMBER(SEARCH("VODKA",C1818)),"Vodka",
 ISNUMBER(SEARCH("TEQUILA",C1818)),"Tequila/Mezcal",
 ISNUMBER(SEARCH("MEZCAL",C1818)),"Tequila/Mezcal",
 ISNUMBER(SEARCH("RUM",C1818)),"Rum",
 ISNUMBER(SEARCH("BRAND",C1818)),"Brandy",
 ISNUMBER(SEARCH("COGNAC",C1818)),"Brandy",
 ISNUMBER(SEARCH("LIQUEUR",C1818)),"Liqueurs",
 ISNUMBER(SEARCH("CORDIAL",C1818)),"Liqueurs",
 ISNUMBER(SEARCH("SCHNAPP",C1818)),"Liqueurs",
 ISNUMBER(SEARCH("GIN",C1818)),"Gin",
 TRUE,"Other")</f>
        <v>Vodka</v>
      </c>
      <c r="E1818" s="5">
        <v>52533</v>
      </c>
      <c r="F1818" s="5">
        <v>864347.9599999839</v>
      </c>
      <c r="G1818" s="5"/>
      <c r="H1818" s="5">
        <v>4993</v>
      </c>
    </row>
    <row r="1819" spans="1:8">
      <c r="A1819" s="5">
        <v>2023</v>
      </c>
      <c r="B1819" s="6">
        <v>44927</v>
      </c>
      <c r="C1819" s="5" t="s">
        <v>34</v>
      </c>
      <c r="D1819" s="3" t="str" cm="1">
        <f t="array" ref="D1819">_xlfn.IFS(
 ISNUMBER(SEARCH("WHISK",C1819)),"Whiskey",
 ISNUMBER(SEARCH("BOURBON",C1819)),"Whiskey",
 ISNUMBER(SEARCH("SCOTCH",C1819)),"Whiskey",
 ISNUMBER(SEARCH("RYE",C1819)),"Whiskey",
 ISNUMBER(SEARCH("VODKA",C1819)),"Vodka",
 ISNUMBER(SEARCH("TEQUILA",C1819)),"Tequila/Mezcal",
 ISNUMBER(SEARCH("MEZCAL",C1819)),"Tequila/Mezcal",
 ISNUMBER(SEARCH("RUM",C1819)),"Rum",
 ISNUMBER(SEARCH("BRAND",C1819)),"Brandy",
 ISNUMBER(SEARCH("COGNAC",C1819)),"Brandy",
 ISNUMBER(SEARCH("LIQUEUR",C1819)),"Liqueurs",
 ISNUMBER(SEARCH("CORDIAL",C1819)),"Liqueurs",
 ISNUMBER(SEARCH("SCHNAPP",C1819)),"Liqueurs",
 ISNUMBER(SEARCH("GIN",C1819)),"Gin",
 TRUE,"Other")</f>
        <v>Tequila/Mezcal</v>
      </c>
      <c r="E1819" s="5">
        <v>1145</v>
      </c>
      <c r="F1819" s="5">
        <v>37747.179999999957</v>
      </c>
      <c r="G1819" s="5"/>
      <c r="H1819" s="5">
        <v>240</v>
      </c>
    </row>
    <row r="1820" spans="1:8">
      <c r="A1820" s="5">
        <v>2023</v>
      </c>
      <c r="B1820" s="6">
        <v>44927</v>
      </c>
      <c r="C1820" s="5" t="s">
        <v>35</v>
      </c>
      <c r="D1820" s="3" t="str" cm="1">
        <f t="array" ref="D1820">_xlfn.IFS(
 ISNUMBER(SEARCH("WHISK",C1820)),"Whiskey",
 ISNUMBER(SEARCH("BOURBON",C1820)),"Whiskey",
 ISNUMBER(SEARCH("SCOTCH",C1820)),"Whiskey",
 ISNUMBER(SEARCH("RYE",C1820)),"Whiskey",
 ISNUMBER(SEARCH("VODKA",C1820)),"Vodka",
 ISNUMBER(SEARCH("TEQUILA",C1820)),"Tequila/Mezcal",
 ISNUMBER(SEARCH("MEZCAL",C1820)),"Tequila/Mezcal",
 ISNUMBER(SEARCH("RUM",C1820)),"Rum",
 ISNUMBER(SEARCH("BRAND",C1820)),"Brandy",
 ISNUMBER(SEARCH("COGNAC",C1820)),"Brandy",
 ISNUMBER(SEARCH("LIQUEUR",C1820)),"Liqueurs",
 ISNUMBER(SEARCH("CORDIAL",C1820)),"Liqueurs",
 ISNUMBER(SEARCH("SCHNAPP",C1820)),"Liqueurs",
 ISNUMBER(SEARCH("GIN",C1820)),"Gin",
 TRUE,"Other")</f>
        <v>Tequila/Mezcal</v>
      </c>
      <c r="E1820" s="5">
        <v>57237</v>
      </c>
      <c r="F1820" s="5">
        <v>780211.5599999933</v>
      </c>
      <c r="G1820" s="5"/>
      <c r="H1820" s="5">
        <v>4570</v>
      </c>
    </row>
    <row r="1821" spans="1:8">
      <c r="A1821" s="5">
        <v>2023</v>
      </c>
      <c r="B1821" s="6">
        <v>44927</v>
      </c>
      <c r="C1821" s="5" t="s">
        <v>37</v>
      </c>
      <c r="D1821" s="3" t="str" cm="1">
        <f t="array" ref="D1821">_xlfn.IFS(
 ISNUMBER(SEARCH("WHISK",C1821)),"Whiskey",
 ISNUMBER(SEARCH("BOURBON",C1821)),"Whiskey",
 ISNUMBER(SEARCH("SCOTCH",C1821)),"Whiskey",
 ISNUMBER(SEARCH("RYE",C1821)),"Whiskey",
 ISNUMBER(SEARCH("VODKA",C1821)),"Vodka",
 ISNUMBER(SEARCH("TEQUILA",C1821)),"Tequila/Mezcal",
 ISNUMBER(SEARCH("MEZCAL",C1821)),"Tequila/Mezcal",
 ISNUMBER(SEARCH("RUM",C1821)),"Rum",
 ISNUMBER(SEARCH("BRAND",C1821)),"Brandy",
 ISNUMBER(SEARCH("COGNAC",C1821)),"Brandy",
 ISNUMBER(SEARCH("LIQUEUR",C1821)),"Liqueurs",
 ISNUMBER(SEARCH("CORDIAL",C1821)),"Liqueurs",
 ISNUMBER(SEARCH("SCHNAPP",C1821)),"Liqueurs",
 ISNUMBER(SEARCH("GIN",C1821)),"Gin",
 TRUE,"Other")</f>
        <v>Other</v>
      </c>
      <c r="E1821" s="5">
        <v>15912</v>
      </c>
      <c r="F1821" s="5">
        <v>267197.15000000299</v>
      </c>
      <c r="G1821" s="5"/>
      <c r="H1821" s="5">
        <v>3142</v>
      </c>
    </row>
    <row r="1822" spans="1:8">
      <c r="A1822" s="5">
        <v>2023</v>
      </c>
      <c r="B1822" s="6">
        <v>44927</v>
      </c>
      <c r="C1822" s="5" t="s">
        <v>38</v>
      </c>
      <c r="D1822" s="3" t="str" cm="1">
        <f t="array" ref="D1822">_xlfn.IFS(
 ISNUMBER(SEARCH("WHISK",C1822)),"Whiskey",
 ISNUMBER(SEARCH("BOURBON",C1822)),"Whiskey",
 ISNUMBER(SEARCH("SCOTCH",C1822)),"Whiskey",
 ISNUMBER(SEARCH("RYE",C1822)),"Whiskey",
 ISNUMBER(SEARCH("VODKA",C1822)),"Vodka",
 ISNUMBER(SEARCH("TEQUILA",C1822)),"Tequila/Mezcal",
 ISNUMBER(SEARCH("MEZCAL",C1822)),"Tequila/Mezcal",
 ISNUMBER(SEARCH("RUM",C1822)),"Rum",
 ISNUMBER(SEARCH("BRAND",C1822)),"Brandy",
 ISNUMBER(SEARCH("COGNAC",C1822)),"Brandy",
 ISNUMBER(SEARCH("LIQUEUR",C1822)),"Liqueurs",
 ISNUMBER(SEARCH("CORDIAL",C1822)),"Liqueurs",
 ISNUMBER(SEARCH("SCHNAPP",C1822)),"Liqueurs",
 ISNUMBER(SEARCH("GIN",C1822)),"Gin",
 TRUE,"Other")</f>
        <v>Whiskey</v>
      </c>
      <c r="E1822" s="5">
        <v>14447</v>
      </c>
      <c r="F1822" s="5">
        <v>423972.05999999953</v>
      </c>
      <c r="G1822" s="5"/>
      <c r="H1822" s="5">
        <v>2537</v>
      </c>
    </row>
    <row r="1823" spans="1:8">
      <c r="A1823" s="5">
        <v>2023</v>
      </c>
      <c r="B1823" s="6">
        <v>44927</v>
      </c>
      <c r="C1823" s="5" t="s">
        <v>39</v>
      </c>
      <c r="D1823" s="3" t="str" cm="1">
        <f t="array" ref="D1823">_xlfn.IFS(
 ISNUMBER(SEARCH("WHISK",C1823)),"Whiskey",
 ISNUMBER(SEARCH("BOURBON",C1823)),"Whiskey",
 ISNUMBER(SEARCH("SCOTCH",C1823)),"Whiskey",
 ISNUMBER(SEARCH("RYE",C1823)),"Whiskey",
 ISNUMBER(SEARCH("VODKA",C1823)),"Vodka",
 ISNUMBER(SEARCH("TEQUILA",C1823)),"Tequila/Mezcal",
 ISNUMBER(SEARCH("MEZCAL",C1823)),"Tequila/Mezcal",
 ISNUMBER(SEARCH("RUM",C1823)),"Rum",
 ISNUMBER(SEARCH("BRAND",C1823)),"Brandy",
 ISNUMBER(SEARCH("COGNAC",C1823)),"Brandy",
 ISNUMBER(SEARCH("LIQUEUR",C1823)),"Liqueurs",
 ISNUMBER(SEARCH("CORDIAL",C1823)),"Liqueurs",
 ISNUMBER(SEARCH("SCHNAPP",C1823)),"Liqueurs",
 ISNUMBER(SEARCH("GIN",C1823)),"Gin",
 TRUE,"Other")</f>
        <v>Whiskey</v>
      </c>
      <c r="E1823" s="5">
        <v>3444</v>
      </c>
      <c r="F1823" s="5">
        <v>113135.91</v>
      </c>
      <c r="G1823" s="5"/>
      <c r="H1823" s="5">
        <v>557</v>
      </c>
    </row>
    <row r="1824" spans="1:8">
      <c r="A1824" s="5">
        <v>2023</v>
      </c>
      <c r="B1824" s="6">
        <v>44927</v>
      </c>
      <c r="C1824" s="5" t="s">
        <v>44</v>
      </c>
      <c r="D1824" s="3" t="str" cm="1">
        <f t="array" ref="D1824">_xlfn.IFS(
 ISNUMBER(SEARCH("WHISK",C1824)),"Whiskey",
 ISNUMBER(SEARCH("BOURBON",C1824)),"Whiskey",
 ISNUMBER(SEARCH("SCOTCH",C1824)),"Whiskey",
 ISNUMBER(SEARCH("RYE",C1824)),"Whiskey",
 ISNUMBER(SEARCH("VODKA",C1824)),"Vodka",
 ISNUMBER(SEARCH("TEQUILA",C1824)),"Tequila/Mezcal",
 ISNUMBER(SEARCH("MEZCAL",C1824)),"Tequila/Mezcal",
 ISNUMBER(SEARCH("RUM",C1824)),"Rum",
 ISNUMBER(SEARCH("BRAND",C1824)),"Brandy",
 ISNUMBER(SEARCH("COGNAC",C1824)),"Brandy",
 ISNUMBER(SEARCH("LIQUEUR",C1824)),"Liqueurs",
 ISNUMBER(SEARCH("CORDIAL",C1824)),"Liqueurs",
 ISNUMBER(SEARCH("SCHNAPP",C1824)),"Liqueurs",
 ISNUMBER(SEARCH("GIN",C1824)),"Gin",
 TRUE,"Other")</f>
        <v>Whiskey</v>
      </c>
      <c r="E1824" s="5">
        <v>9954</v>
      </c>
      <c r="F1824" s="5">
        <v>343950.73000000149</v>
      </c>
      <c r="G1824" s="5"/>
      <c r="H1824" s="5">
        <v>1794</v>
      </c>
    </row>
    <row r="1825" spans="1:8">
      <c r="A1825" s="5">
        <v>2023</v>
      </c>
      <c r="B1825" s="6">
        <v>44927</v>
      </c>
      <c r="C1825" s="5" t="s">
        <v>10</v>
      </c>
      <c r="D1825" s="3" t="str" cm="1">
        <f t="array" ref="D1825">_xlfn.IFS(
 ISNUMBER(SEARCH("WHISK",C1825)),"Whiskey",
 ISNUMBER(SEARCH("BOURBON",C1825)),"Whiskey",
 ISNUMBER(SEARCH("SCOTCH",C1825)),"Whiskey",
 ISNUMBER(SEARCH("RYE",C1825)),"Whiskey",
 ISNUMBER(SEARCH("VODKA",C1825)),"Vodka",
 ISNUMBER(SEARCH("TEQUILA",C1825)),"Tequila/Mezcal",
 ISNUMBER(SEARCH("MEZCAL",C1825)),"Tequila/Mezcal",
 ISNUMBER(SEARCH("RUM",C1825)),"Rum",
 ISNUMBER(SEARCH("BRAND",C1825)),"Brandy",
 ISNUMBER(SEARCH("COGNAC",C1825)),"Brandy",
 ISNUMBER(SEARCH("LIQUEUR",C1825)),"Liqueurs",
 ISNUMBER(SEARCH("CORDIAL",C1825)),"Liqueurs",
 ISNUMBER(SEARCH("SCHNAPP",C1825)),"Liqueurs",
 ISNUMBER(SEARCH("GIN",C1825)),"Gin",
 TRUE,"Other")</f>
        <v>Other</v>
      </c>
      <c r="E1825" s="5">
        <v>9560</v>
      </c>
      <c r="F1825" s="5">
        <v>220281.74999999988</v>
      </c>
      <c r="G1825" s="5"/>
      <c r="H1825" s="5">
        <v>1149</v>
      </c>
    </row>
    <row r="1826" spans="1:8">
      <c r="A1826" s="5">
        <v>2023</v>
      </c>
      <c r="B1826" s="6">
        <v>44927</v>
      </c>
      <c r="C1826" s="5" t="s">
        <v>47</v>
      </c>
      <c r="D1826" s="3" t="str" cm="1">
        <f t="array" ref="D1826">_xlfn.IFS(
 ISNUMBER(SEARCH("WHISK",C1826)),"Whiskey",
 ISNUMBER(SEARCH("BOURBON",C1826)),"Whiskey",
 ISNUMBER(SEARCH("SCOTCH",C1826)),"Whiskey",
 ISNUMBER(SEARCH("RYE",C1826)),"Whiskey",
 ISNUMBER(SEARCH("VODKA",C1826)),"Vodka",
 ISNUMBER(SEARCH("TEQUILA",C1826)),"Tequila/Mezcal",
 ISNUMBER(SEARCH("MEZCAL",C1826)),"Tequila/Mezcal",
 ISNUMBER(SEARCH("RUM",C1826)),"Rum",
 ISNUMBER(SEARCH("BRAND",C1826)),"Brandy",
 ISNUMBER(SEARCH("COGNAC",C1826)),"Brandy",
 ISNUMBER(SEARCH("LIQUEUR",C1826)),"Liqueurs",
 ISNUMBER(SEARCH("CORDIAL",C1826)),"Liqueurs",
 ISNUMBER(SEARCH("SCHNAPP",C1826)),"Liqueurs",
 ISNUMBER(SEARCH("GIN",C1826)),"Gin",
 TRUE,"Other")</f>
        <v>Other</v>
      </c>
      <c r="E1826" s="5">
        <v>14810</v>
      </c>
      <c r="F1826" s="5">
        <v>62104.189999999995</v>
      </c>
      <c r="G1826" s="5"/>
      <c r="H1826" s="5">
        <v>640</v>
      </c>
    </row>
    <row r="1827" spans="1:8">
      <c r="A1827" s="5">
        <v>2023</v>
      </c>
      <c r="B1827" s="6">
        <v>44927</v>
      </c>
      <c r="C1827" s="5" t="s">
        <v>25</v>
      </c>
      <c r="D1827" s="3" t="str" cm="1">
        <f t="array" ref="D1827">_xlfn.IFS(
 ISNUMBER(SEARCH("WHISK",C1827)),"Whiskey",
 ISNUMBER(SEARCH("BOURBON",C1827)),"Whiskey",
 ISNUMBER(SEARCH("SCOTCH",C1827)),"Whiskey",
 ISNUMBER(SEARCH("RYE",C1827)),"Whiskey",
 ISNUMBER(SEARCH("VODKA",C1827)),"Vodka",
 ISNUMBER(SEARCH("TEQUILA",C1827)),"Tequila/Mezcal",
 ISNUMBER(SEARCH("MEZCAL",C1827)),"Tequila/Mezcal",
 ISNUMBER(SEARCH("RUM",C1827)),"Rum",
 ISNUMBER(SEARCH("BRAND",C1827)),"Brandy",
 ISNUMBER(SEARCH("COGNAC",C1827)),"Brandy",
 ISNUMBER(SEARCH("LIQUEUR",C1827)),"Liqueurs",
 ISNUMBER(SEARCH("CORDIAL",C1827)),"Liqueurs",
 ISNUMBER(SEARCH("SCHNAPP",C1827)),"Liqueurs",
 ISNUMBER(SEARCH("GIN",C1827)),"Gin",
 TRUE,"Other")</f>
        <v>Rum</v>
      </c>
      <c r="E1827" s="5">
        <v>5925</v>
      </c>
      <c r="F1827" s="5">
        <v>83223.589999999866</v>
      </c>
      <c r="G1827" s="5"/>
      <c r="H1827" s="5">
        <v>951</v>
      </c>
    </row>
    <row r="1828" spans="1:8">
      <c r="A1828" s="5">
        <v>2023</v>
      </c>
      <c r="B1828" s="6">
        <v>44927</v>
      </c>
      <c r="C1828" s="5" t="s">
        <v>28</v>
      </c>
      <c r="D1828" s="3" t="str" cm="1">
        <f t="array" ref="D1828">_xlfn.IFS(
 ISNUMBER(SEARCH("WHISK",C1828)),"Whiskey",
 ISNUMBER(SEARCH("BOURBON",C1828)),"Whiskey",
 ISNUMBER(SEARCH("SCOTCH",C1828)),"Whiskey",
 ISNUMBER(SEARCH("RYE",C1828)),"Whiskey",
 ISNUMBER(SEARCH("VODKA",C1828)),"Vodka",
 ISNUMBER(SEARCH("TEQUILA",C1828)),"Tequila/Mezcal",
 ISNUMBER(SEARCH("MEZCAL",C1828)),"Tequila/Mezcal",
 ISNUMBER(SEARCH("RUM",C1828)),"Rum",
 ISNUMBER(SEARCH("BRAND",C1828)),"Brandy",
 ISNUMBER(SEARCH("COGNAC",C1828)),"Brandy",
 ISNUMBER(SEARCH("LIQUEUR",C1828)),"Liqueurs",
 ISNUMBER(SEARCH("CORDIAL",C1828)),"Liqueurs",
 ISNUMBER(SEARCH("SCHNAPP",C1828)),"Liqueurs",
 ISNUMBER(SEARCH("GIN",C1828)),"Gin",
 TRUE,"Other")</f>
        <v>Other</v>
      </c>
      <c r="E1828" s="5">
        <v>18034</v>
      </c>
      <c r="F1828" s="5">
        <v>159357.0999999998</v>
      </c>
      <c r="G1828" s="5"/>
      <c r="H1828" s="5">
        <v>396</v>
      </c>
    </row>
    <row r="1829" spans="1:8">
      <c r="A1829" s="5">
        <v>2023</v>
      </c>
      <c r="B1829" s="6">
        <v>44927</v>
      </c>
      <c r="C1829" s="5" t="s">
        <v>36</v>
      </c>
      <c r="D1829" s="3" t="str" cm="1">
        <f t="array" ref="D1829">_xlfn.IFS(
 ISNUMBER(SEARCH("WHISK",C1829)),"Whiskey",
 ISNUMBER(SEARCH("BOURBON",C1829)),"Whiskey",
 ISNUMBER(SEARCH("SCOTCH",C1829)),"Whiskey",
 ISNUMBER(SEARCH("RYE",C1829)),"Whiskey",
 ISNUMBER(SEARCH("VODKA",C1829)),"Vodka",
 ISNUMBER(SEARCH("TEQUILA",C1829)),"Tequila/Mezcal",
 ISNUMBER(SEARCH("MEZCAL",C1829)),"Tequila/Mezcal",
 ISNUMBER(SEARCH("RUM",C1829)),"Rum",
 ISNUMBER(SEARCH("BRAND",C1829)),"Brandy",
 ISNUMBER(SEARCH("COGNAC",C1829)),"Brandy",
 ISNUMBER(SEARCH("LIQUEUR",C1829)),"Liqueurs",
 ISNUMBER(SEARCH("CORDIAL",C1829)),"Liqueurs",
 ISNUMBER(SEARCH("SCHNAPP",C1829)),"Liqueurs",
 ISNUMBER(SEARCH("GIN",C1829)),"Gin",
 TRUE,"Other")</f>
        <v>Other</v>
      </c>
      <c r="E1829" s="5">
        <v>2958</v>
      </c>
      <c r="F1829" s="5">
        <v>44266.590000000018</v>
      </c>
      <c r="G1829" s="5"/>
      <c r="H1829" s="5">
        <v>372</v>
      </c>
    </row>
    <row r="1830" spans="1:8">
      <c r="A1830" s="5">
        <v>2023</v>
      </c>
      <c r="B1830" s="6">
        <v>44927</v>
      </c>
      <c r="C1830" s="5" t="s">
        <v>40</v>
      </c>
      <c r="D1830" s="3" t="str" cm="1">
        <f t="array" ref="D1830">_xlfn.IFS(
 ISNUMBER(SEARCH("WHISK",C1830)),"Whiskey",
 ISNUMBER(SEARCH("BOURBON",C1830)),"Whiskey",
 ISNUMBER(SEARCH("SCOTCH",C1830)),"Whiskey",
 ISNUMBER(SEARCH("RYE",C1830)),"Whiskey",
 ISNUMBER(SEARCH("VODKA",C1830)),"Vodka",
 ISNUMBER(SEARCH("TEQUILA",C1830)),"Tequila/Mezcal",
 ISNUMBER(SEARCH("MEZCAL",C1830)),"Tequila/Mezcal",
 ISNUMBER(SEARCH("RUM",C1830)),"Rum",
 ISNUMBER(SEARCH("BRAND",C1830)),"Brandy",
 ISNUMBER(SEARCH("COGNAC",C1830)),"Brandy",
 ISNUMBER(SEARCH("LIQUEUR",C1830)),"Liqueurs",
 ISNUMBER(SEARCH("CORDIAL",C1830)),"Liqueurs",
 ISNUMBER(SEARCH("SCHNAPP",C1830)),"Liqueurs",
 ISNUMBER(SEARCH("GIN",C1830)),"Gin",
 TRUE,"Other")</f>
        <v>Whiskey</v>
      </c>
      <c r="E1830" s="5">
        <v>6188</v>
      </c>
      <c r="F1830" s="5">
        <v>338822.14999999967</v>
      </c>
      <c r="G1830" s="5"/>
      <c r="H1830" s="5">
        <v>1410</v>
      </c>
    </row>
    <row r="1831" spans="1:8">
      <c r="A1831" s="5">
        <v>2023</v>
      </c>
      <c r="B1831" s="6">
        <v>44927</v>
      </c>
      <c r="C1831" s="5" t="s">
        <v>20</v>
      </c>
      <c r="D1831" s="3" t="str" cm="1">
        <f t="array" ref="D1831">_xlfn.IFS(
 ISNUMBER(SEARCH("WHISK",C1831)),"Whiskey",
 ISNUMBER(SEARCH("BOURBON",C1831)),"Whiskey",
 ISNUMBER(SEARCH("SCOTCH",C1831)),"Whiskey",
 ISNUMBER(SEARCH("RYE",C1831)),"Whiskey",
 ISNUMBER(SEARCH("VODKA",C1831)),"Vodka",
 ISNUMBER(SEARCH("TEQUILA",C1831)),"Tequila/Mezcal",
 ISNUMBER(SEARCH("MEZCAL",C1831)),"Tequila/Mezcal",
 ISNUMBER(SEARCH("RUM",C1831)),"Rum",
 ISNUMBER(SEARCH("BRAND",C1831)),"Brandy",
 ISNUMBER(SEARCH("COGNAC",C1831)),"Brandy",
 ISNUMBER(SEARCH("LIQUEUR",C1831)),"Liqueurs",
 ISNUMBER(SEARCH("CORDIAL",C1831)),"Liqueurs",
 ISNUMBER(SEARCH("SCHNAPP",C1831)),"Liqueurs",
 ISNUMBER(SEARCH("GIN",C1831)),"Gin",
 TRUE,"Other")</f>
        <v>Liqueurs</v>
      </c>
      <c r="E1831" s="5">
        <v>12119</v>
      </c>
      <c r="F1831" s="5">
        <v>249897.51000000027</v>
      </c>
      <c r="G1831" s="5"/>
      <c r="H1831" s="5">
        <v>1241</v>
      </c>
    </row>
    <row r="1832" spans="1:8">
      <c r="A1832" s="5">
        <v>2023</v>
      </c>
      <c r="B1832" s="6">
        <v>44927</v>
      </c>
      <c r="C1832" s="5" t="s">
        <v>41</v>
      </c>
      <c r="D1832" s="3" t="str" cm="1">
        <f t="array" ref="D1832">_xlfn.IFS(
 ISNUMBER(SEARCH("WHISK",C1832)),"Whiskey",
 ISNUMBER(SEARCH("BOURBON",C1832)),"Whiskey",
 ISNUMBER(SEARCH("SCOTCH",C1832)),"Whiskey",
 ISNUMBER(SEARCH("RYE",C1832)),"Whiskey",
 ISNUMBER(SEARCH("VODKA",C1832)),"Vodka",
 ISNUMBER(SEARCH("TEQUILA",C1832)),"Tequila/Mezcal",
 ISNUMBER(SEARCH("MEZCAL",C1832)),"Tequila/Mezcal",
 ISNUMBER(SEARCH("RUM",C1832)),"Rum",
 ISNUMBER(SEARCH("BRAND",C1832)),"Brandy",
 ISNUMBER(SEARCH("COGNAC",C1832)),"Brandy",
 ISNUMBER(SEARCH("LIQUEUR",C1832)),"Liqueurs",
 ISNUMBER(SEARCH("CORDIAL",C1832)),"Liqueurs",
 ISNUMBER(SEARCH("SCHNAPP",C1832)),"Liqueurs",
 ISNUMBER(SEARCH("GIN",C1832)),"Gin",
 TRUE,"Other")</f>
        <v>Other</v>
      </c>
      <c r="E1832" s="5">
        <v>12005</v>
      </c>
      <c r="F1832" s="5">
        <v>153038.27000000005</v>
      </c>
      <c r="G1832" s="5"/>
      <c r="H1832" s="5">
        <v>242</v>
      </c>
    </row>
    <row r="1833" spans="1:8">
      <c r="A1833" s="5">
        <v>2023</v>
      </c>
      <c r="B1833" s="6">
        <v>44927</v>
      </c>
      <c r="C1833" s="5" t="s">
        <v>14</v>
      </c>
      <c r="D1833" s="3" t="str" cm="1">
        <f t="array" ref="D1833">_xlfn.IFS(
 ISNUMBER(SEARCH("WHISK",C1833)),"Whiskey",
 ISNUMBER(SEARCH("BOURBON",C1833)),"Whiskey",
 ISNUMBER(SEARCH("SCOTCH",C1833)),"Whiskey",
 ISNUMBER(SEARCH("RYE",C1833)),"Whiskey",
 ISNUMBER(SEARCH("VODKA",C1833)),"Vodka",
 ISNUMBER(SEARCH("TEQUILA",C1833)),"Tequila/Mezcal",
 ISNUMBER(SEARCH("MEZCAL",C1833)),"Tequila/Mezcal",
 ISNUMBER(SEARCH("RUM",C1833)),"Rum",
 ISNUMBER(SEARCH("BRAND",C1833)),"Brandy",
 ISNUMBER(SEARCH("COGNAC",C1833)),"Brandy",
 ISNUMBER(SEARCH("LIQUEUR",C1833)),"Liqueurs",
 ISNUMBER(SEARCH("CORDIAL",C1833)),"Liqueurs",
 ISNUMBER(SEARCH("SCHNAPP",C1833)),"Liqueurs",
 ISNUMBER(SEARCH("GIN",C1833)),"Gin",
 TRUE,"Other")</f>
        <v>Gin</v>
      </c>
      <c r="E1833" s="5">
        <v>301</v>
      </c>
      <c r="F1833" s="5">
        <v>2570.5399999999991</v>
      </c>
      <c r="G1833" s="5"/>
      <c r="H1833" s="5">
        <v>60</v>
      </c>
    </row>
    <row r="1834" spans="1:8">
      <c r="A1834" s="5">
        <v>2023</v>
      </c>
      <c r="B1834" s="6">
        <v>44927</v>
      </c>
      <c r="C1834" s="5" t="s">
        <v>21</v>
      </c>
      <c r="D1834" s="3" t="str" cm="1">
        <f t="array" ref="D1834">_xlfn.IFS(
 ISNUMBER(SEARCH("WHISK",C1834)),"Whiskey",
 ISNUMBER(SEARCH("BOURBON",C1834)),"Whiskey",
 ISNUMBER(SEARCH("SCOTCH",C1834)),"Whiskey",
 ISNUMBER(SEARCH("RYE",C1834)),"Whiskey",
 ISNUMBER(SEARCH("VODKA",C1834)),"Vodka",
 ISNUMBER(SEARCH("TEQUILA",C1834)),"Tequila/Mezcal",
 ISNUMBER(SEARCH("MEZCAL",C1834)),"Tequila/Mezcal",
 ISNUMBER(SEARCH("RUM",C1834)),"Rum",
 ISNUMBER(SEARCH("BRAND",C1834)),"Brandy",
 ISNUMBER(SEARCH("COGNAC",C1834)),"Brandy",
 ISNUMBER(SEARCH("LIQUEUR",C1834)),"Liqueurs",
 ISNUMBER(SEARCH("CORDIAL",C1834)),"Liqueurs",
 ISNUMBER(SEARCH("SCHNAPP",C1834)),"Liqueurs",
 ISNUMBER(SEARCH("GIN",C1834)),"Gin",
 TRUE,"Other")</f>
        <v>Whiskey</v>
      </c>
      <c r="E1834" s="5">
        <v>900</v>
      </c>
      <c r="F1834" s="5">
        <v>21455.09</v>
      </c>
      <c r="G1834" s="5"/>
      <c r="H1834" s="5">
        <v>152</v>
      </c>
    </row>
    <row r="1835" spans="1:8">
      <c r="A1835" s="5">
        <v>2023</v>
      </c>
      <c r="B1835" s="6">
        <v>44927</v>
      </c>
      <c r="C1835" s="5" t="s">
        <v>23</v>
      </c>
      <c r="D1835" s="3" t="str" cm="1">
        <f t="array" ref="D1835">_xlfn.IFS(
 ISNUMBER(SEARCH("WHISK",C1835)),"Whiskey",
 ISNUMBER(SEARCH("BOURBON",C1835)),"Whiskey",
 ISNUMBER(SEARCH("SCOTCH",C1835)),"Whiskey",
 ISNUMBER(SEARCH("RYE",C1835)),"Whiskey",
 ISNUMBER(SEARCH("VODKA",C1835)),"Vodka",
 ISNUMBER(SEARCH("TEQUILA",C1835)),"Tequila/Mezcal",
 ISNUMBER(SEARCH("MEZCAL",C1835)),"Tequila/Mezcal",
 ISNUMBER(SEARCH("RUM",C1835)),"Rum",
 ISNUMBER(SEARCH("BRAND",C1835)),"Brandy",
 ISNUMBER(SEARCH("COGNAC",C1835)),"Brandy",
 ISNUMBER(SEARCH("LIQUEUR",C1835)),"Liqueurs",
 ISNUMBER(SEARCH("CORDIAL",C1835)),"Liqueurs",
 ISNUMBER(SEARCH("SCHNAPP",C1835)),"Liqueurs",
 ISNUMBER(SEARCH("GIN",C1835)),"Gin",
 TRUE,"Other")</f>
        <v>Gin</v>
      </c>
      <c r="E1835" s="5">
        <v>2071</v>
      </c>
      <c r="F1835" s="5">
        <v>48487.689999999995</v>
      </c>
      <c r="G1835" s="5"/>
      <c r="H1835" s="5">
        <v>296</v>
      </c>
    </row>
    <row r="1836" spans="1:8">
      <c r="A1836" s="5">
        <v>2023</v>
      </c>
      <c r="B1836" s="6">
        <v>44958</v>
      </c>
      <c r="C1836" s="5" t="s">
        <v>15</v>
      </c>
      <c r="D1836" s="3" t="str" cm="1">
        <f t="array" ref="D1836">_xlfn.IFS(
 ISNUMBER(SEARCH("WHISK",C1836)),"Whiskey",
 ISNUMBER(SEARCH("BOURBON",C1836)),"Whiskey",
 ISNUMBER(SEARCH("SCOTCH",C1836)),"Whiskey",
 ISNUMBER(SEARCH("RYE",C1836)),"Whiskey",
 ISNUMBER(SEARCH("VODKA",C1836)),"Vodka",
 ISNUMBER(SEARCH("TEQUILA",C1836)),"Tequila/Mezcal",
 ISNUMBER(SEARCH("MEZCAL",C1836)),"Tequila/Mezcal",
 ISNUMBER(SEARCH("RUM",C1836)),"Rum",
 ISNUMBER(SEARCH("BRAND",C1836)),"Brandy",
 ISNUMBER(SEARCH("COGNAC",C1836)),"Brandy",
 ISNUMBER(SEARCH("LIQUEUR",C1836)),"Liqueurs",
 ISNUMBER(SEARCH("CORDIAL",C1836)),"Liqueurs",
 ISNUMBER(SEARCH("SCHNAPP",C1836)),"Liqueurs",
 ISNUMBER(SEARCH("GIN",C1836)),"Gin",
 TRUE,"Other")</f>
        <v>Vodka</v>
      </c>
      <c r="E1836" s="5">
        <v>462349</v>
      </c>
      <c r="F1836" s="5">
        <v>4806111.8299998278</v>
      </c>
      <c r="G1836" s="5"/>
      <c r="H1836" s="5">
        <v>30050</v>
      </c>
    </row>
    <row r="1837" spans="1:8">
      <c r="A1837" s="5">
        <v>2023</v>
      </c>
      <c r="B1837" s="6">
        <v>44958</v>
      </c>
      <c r="C1837" s="5" t="s">
        <v>18</v>
      </c>
      <c r="D1837" s="3" t="str" cm="1">
        <f t="array" ref="D1837">_xlfn.IFS(
 ISNUMBER(SEARCH("WHISK",C1837)),"Whiskey",
 ISNUMBER(SEARCH("BOURBON",C1837)),"Whiskey",
 ISNUMBER(SEARCH("SCOTCH",C1837)),"Whiskey",
 ISNUMBER(SEARCH("RYE",C1837)),"Whiskey",
 ISNUMBER(SEARCH("VODKA",C1837)),"Vodka",
 ISNUMBER(SEARCH("TEQUILA",C1837)),"Tequila/Mezcal",
 ISNUMBER(SEARCH("MEZCAL",C1837)),"Tequila/Mezcal",
 ISNUMBER(SEARCH("RUM",C1837)),"Rum",
 ISNUMBER(SEARCH("BRAND",C1837)),"Brandy",
 ISNUMBER(SEARCH("COGNAC",C1837)),"Brandy",
 ISNUMBER(SEARCH("LIQUEUR",C1837)),"Liqueurs",
 ISNUMBER(SEARCH("CORDIAL",C1837)),"Liqueurs",
 ISNUMBER(SEARCH("SCHNAPP",C1837)),"Liqueurs",
 ISNUMBER(SEARCH("GIN",C1837)),"Gin",
 TRUE,"Other")</f>
        <v>Whiskey</v>
      </c>
      <c r="E1837" s="5">
        <v>268103</v>
      </c>
      <c r="F1837" s="5">
        <v>4243081.8299999963</v>
      </c>
      <c r="G1837" s="5"/>
      <c r="H1837" s="5">
        <v>19231</v>
      </c>
    </row>
    <row r="1838" spans="1:8">
      <c r="A1838" s="5">
        <v>2023</v>
      </c>
      <c r="B1838" s="6">
        <v>44958</v>
      </c>
      <c r="C1838" s="5" t="s">
        <v>50</v>
      </c>
      <c r="D1838" s="3" t="str" cm="1">
        <f t="array" ref="D1838">_xlfn.IFS(
 ISNUMBER(SEARCH("WHISK",C1838)),"Whiskey",
 ISNUMBER(SEARCH("BOURBON",C1838)),"Whiskey",
 ISNUMBER(SEARCH("SCOTCH",C1838)),"Whiskey",
 ISNUMBER(SEARCH("RYE",C1838)),"Whiskey",
 ISNUMBER(SEARCH("VODKA",C1838)),"Vodka",
 ISNUMBER(SEARCH("TEQUILA",C1838)),"Tequila/Mezcal",
 ISNUMBER(SEARCH("MEZCAL",C1838)),"Tequila/Mezcal",
 ISNUMBER(SEARCH("RUM",C1838)),"Rum",
 ISNUMBER(SEARCH("BRAND",C1838)),"Brandy",
 ISNUMBER(SEARCH("COGNAC",C1838)),"Brandy",
 ISNUMBER(SEARCH("LIQUEUR",C1838)),"Liqueurs",
 ISNUMBER(SEARCH("CORDIAL",C1838)),"Liqueurs",
 ISNUMBER(SEARCH("SCHNAPP",C1838)),"Liqueurs",
 ISNUMBER(SEARCH("GIN",C1838)),"Gin",
 TRUE,"Other")</f>
        <v>Tequila/Mezcal</v>
      </c>
      <c r="E1838" s="5">
        <v>76657</v>
      </c>
      <c r="F1838" s="5">
        <v>2251125.0199999614</v>
      </c>
      <c r="G1838" s="5"/>
      <c r="H1838" s="5">
        <v>8280</v>
      </c>
    </row>
    <row r="1839" spans="1:8">
      <c r="A1839" s="5">
        <v>2023</v>
      </c>
      <c r="B1839" s="6">
        <v>44958</v>
      </c>
      <c r="C1839" s="5" t="s">
        <v>59</v>
      </c>
      <c r="D1839" s="3" t="str" cm="1">
        <f t="array" ref="D1839">_xlfn.IFS(
 ISNUMBER(SEARCH("WHISK",C1839)),"Whiskey",
 ISNUMBER(SEARCH("BOURBON",C1839)),"Whiskey",
 ISNUMBER(SEARCH("SCOTCH",C1839)),"Whiskey",
 ISNUMBER(SEARCH("RYE",C1839)),"Whiskey",
 ISNUMBER(SEARCH("VODKA",C1839)),"Vodka",
 ISNUMBER(SEARCH("TEQUILA",C1839)),"Tequila/Mezcal",
 ISNUMBER(SEARCH("MEZCAL",C1839)),"Tequila/Mezcal",
 ISNUMBER(SEARCH("RUM",C1839)),"Rum",
 ISNUMBER(SEARCH("BRAND",C1839)),"Brandy",
 ISNUMBER(SEARCH("COGNAC",C1839)),"Brandy",
 ISNUMBER(SEARCH("LIQUEUR",C1839)),"Liqueurs",
 ISNUMBER(SEARCH("CORDIAL",C1839)),"Liqueurs",
 ISNUMBER(SEARCH("SCHNAPP",C1839)),"Liqueurs",
 ISNUMBER(SEARCH("GIN",C1839)),"Gin",
 TRUE,"Other")</f>
        <v>Liqueurs</v>
      </c>
      <c r="E1839" s="5">
        <v>29743</v>
      </c>
      <c r="F1839" s="5">
        <v>289337.06000000035</v>
      </c>
      <c r="G1839" s="5"/>
      <c r="H1839" s="5">
        <v>4638</v>
      </c>
    </row>
    <row r="1840" spans="1:8">
      <c r="A1840" s="5">
        <v>2023</v>
      </c>
      <c r="B1840" s="6">
        <v>44958</v>
      </c>
      <c r="C1840" s="5" t="s">
        <v>13</v>
      </c>
      <c r="D1840" s="3" t="str" cm="1">
        <f t="array" ref="D1840">_xlfn.IFS(
 ISNUMBER(SEARCH("WHISK",C1840)),"Whiskey",
 ISNUMBER(SEARCH("BOURBON",C1840)),"Whiskey",
 ISNUMBER(SEARCH("SCOTCH",C1840)),"Whiskey",
 ISNUMBER(SEARCH("RYE",C1840)),"Whiskey",
 ISNUMBER(SEARCH("VODKA",C1840)),"Vodka",
 ISNUMBER(SEARCH("TEQUILA",C1840)),"Tequila/Mezcal",
 ISNUMBER(SEARCH("MEZCAL",C1840)),"Tequila/Mezcal",
 ISNUMBER(SEARCH("RUM",C1840)),"Rum",
 ISNUMBER(SEARCH("BRAND",C1840)),"Brandy",
 ISNUMBER(SEARCH("COGNAC",C1840)),"Brandy",
 ISNUMBER(SEARCH("LIQUEUR",C1840)),"Liqueurs",
 ISNUMBER(SEARCH("CORDIAL",C1840)),"Liqueurs",
 ISNUMBER(SEARCH("SCHNAPP",C1840)),"Liqueurs",
 ISNUMBER(SEARCH("GIN",C1840)),"Gin",
 TRUE,"Other")</f>
        <v>Liqueurs</v>
      </c>
      <c r="E1840" s="5">
        <v>72205</v>
      </c>
      <c r="F1840" s="5">
        <v>502818.17000000464</v>
      </c>
      <c r="G1840" s="5"/>
      <c r="H1840" s="5">
        <v>6713</v>
      </c>
    </row>
    <row r="1841" spans="1:8">
      <c r="A1841" s="5">
        <v>2023</v>
      </c>
      <c r="B1841" s="6">
        <v>44958</v>
      </c>
      <c r="C1841" s="5" t="s">
        <v>16</v>
      </c>
      <c r="D1841" s="3" t="str" cm="1">
        <f t="array" ref="D1841">_xlfn.IFS(
 ISNUMBER(SEARCH("WHISK",C1841)),"Whiskey",
 ISNUMBER(SEARCH("BOURBON",C1841)),"Whiskey",
 ISNUMBER(SEARCH("SCOTCH",C1841)),"Whiskey",
 ISNUMBER(SEARCH("RYE",C1841)),"Whiskey",
 ISNUMBER(SEARCH("VODKA",C1841)),"Vodka",
 ISNUMBER(SEARCH("TEQUILA",C1841)),"Tequila/Mezcal",
 ISNUMBER(SEARCH("MEZCAL",C1841)),"Tequila/Mezcal",
 ISNUMBER(SEARCH("RUM",C1841)),"Rum",
 ISNUMBER(SEARCH("BRAND",C1841)),"Brandy",
 ISNUMBER(SEARCH("COGNAC",C1841)),"Brandy",
 ISNUMBER(SEARCH("LIQUEUR",C1841)),"Liqueurs",
 ISNUMBER(SEARCH("CORDIAL",C1841)),"Liqueurs",
 ISNUMBER(SEARCH("SCHNAPP",C1841)),"Liqueurs",
 ISNUMBER(SEARCH("GIN",C1841)),"Gin",
 TRUE,"Other")</f>
        <v>Whiskey</v>
      </c>
      <c r="E1841" s="5">
        <v>59866</v>
      </c>
      <c r="F1841" s="5">
        <v>746628.41000000015</v>
      </c>
      <c r="G1841" s="5"/>
      <c r="H1841" s="5">
        <v>6827</v>
      </c>
    </row>
    <row r="1842" spans="1:8">
      <c r="A1842" s="5">
        <v>2023</v>
      </c>
      <c r="B1842" s="6">
        <v>44958</v>
      </c>
      <c r="C1842" s="5" t="s">
        <v>29</v>
      </c>
      <c r="D1842" s="3" t="str" cm="1">
        <f t="array" ref="D1842">_xlfn.IFS(
 ISNUMBER(SEARCH("WHISK",C1842)),"Whiskey",
 ISNUMBER(SEARCH("BOURBON",C1842)),"Whiskey",
 ISNUMBER(SEARCH("SCOTCH",C1842)),"Whiskey",
 ISNUMBER(SEARCH("RYE",C1842)),"Whiskey",
 ISNUMBER(SEARCH("VODKA",C1842)),"Vodka",
 ISNUMBER(SEARCH("TEQUILA",C1842)),"Tequila/Mezcal",
 ISNUMBER(SEARCH("MEZCAL",C1842)),"Tequila/Mezcal",
 ISNUMBER(SEARCH("RUM",C1842)),"Rum",
 ISNUMBER(SEARCH("BRAND",C1842)),"Brandy",
 ISNUMBER(SEARCH("COGNAC",C1842)),"Brandy",
 ISNUMBER(SEARCH("LIQUEUR",C1842)),"Liqueurs",
 ISNUMBER(SEARCH("CORDIAL",C1842)),"Liqueurs",
 ISNUMBER(SEARCH("SCHNAPP",C1842)),"Liqueurs",
 ISNUMBER(SEARCH("GIN",C1842)),"Gin",
 TRUE,"Other")</f>
        <v>Gin</v>
      </c>
      <c r="E1842" s="5">
        <v>11468</v>
      </c>
      <c r="F1842" s="5">
        <v>308658.53000000003</v>
      </c>
      <c r="G1842" s="5"/>
      <c r="H1842" s="5">
        <v>1303</v>
      </c>
    </row>
    <row r="1843" spans="1:8">
      <c r="A1843" s="5">
        <v>2023</v>
      </c>
      <c r="B1843" s="6">
        <v>44958</v>
      </c>
      <c r="C1843" s="5" t="s">
        <v>31</v>
      </c>
      <c r="D1843" s="3" t="str" cm="1">
        <f t="array" ref="D1843">_xlfn.IFS(
 ISNUMBER(SEARCH("WHISK",C1843)),"Whiskey",
 ISNUMBER(SEARCH("BOURBON",C1843)),"Whiskey",
 ISNUMBER(SEARCH("SCOTCH",C1843)),"Whiskey",
 ISNUMBER(SEARCH("RYE",C1843)),"Whiskey",
 ISNUMBER(SEARCH("VODKA",C1843)),"Vodka",
 ISNUMBER(SEARCH("TEQUILA",C1843)),"Tequila/Mezcal",
 ISNUMBER(SEARCH("MEZCAL",C1843)),"Tequila/Mezcal",
 ISNUMBER(SEARCH("RUM",C1843)),"Rum",
 ISNUMBER(SEARCH("BRAND",C1843)),"Brandy",
 ISNUMBER(SEARCH("COGNAC",C1843)),"Brandy",
 ISNUMBER(SEARCH("LIQUEUR",C1843)),"Liqueurs",
 ISNUMBER(SEARCH("CORDIAL",C1843)),"Liqueurs",
 ISNUMBER(SEARCH("SCHNAPP",C1843)),"Liqueurs",
 ISNUMBER(SEARCH("GIN",C1843)),"Gin",
 TRUE,"Other")</f>
        <v>Liqueurs</v>
      </c>
      <c r="E1843" s="5">
        <v>26479</v>
      </c>
      <c r="F1843" s="5">
        <v>458898.54000000079</v>
      </c>
      <c r="G1843" s="5"/>
      <c r="H1843" s="5">
        <v>2799</v>
      </c>
    </row>
    <row r="1844" spans="1:8">
      <c r="A1844" s="5">
        <v>2023</v>
      </c>
      <c r="B1844" s="6">
        <v>44958</v>
      </c>
      <c r="C1844" s="5" t="s">
        <v>32</v>
      </c>
      <c r="D1844" s="3" t="str" cm="1">
        <f t="array" ref="D1844">_xlfn.IFS(
 ISNUMBER(SEARCH("WHISK",C1844)),"Whiskey",
 ISNUMBER(SEARCH("BOURBON",C1844)),"Whiskey",
 ISNUMBER(SEARCH("SCOTCH",C1844)),"Whiskey",
 ISNUMBER(SEARCH("RYE",C1844)),"Whiskey",
 ISNUMBER(SEARCH("VODKA",C1844)),"Vodka",
 ISNUMBER(SEARCH("TEQUILA",C1844)),"Tequila/Mezcal",
 ISNUMBER(SEARCH("MEZCAL",C1844)),"Tequila/Mezcal",
 ISNUMBER(SEARCH("RUM",C1844)),"Rum",
 ISNUMBER(SEARCH("BRAND",C1844)),"Brandy",
 ISNUMBER(SEARCH("COGNAC",C1844)),"Brandy",
 ISNUMBER(SEARCH("LIQUEUR",C1844)),"Liqueurs",
 ISNUMBER(SEARCH("CORDIAL",C1844)),"Liqueurs",
 ISNUMBER(SEARCH("SCHNAPP",C1844)),"Liqueurs",
 ISNUMBER(SEARCH("GIN",C1844)),"Gin",
 TRUE,"Other")</f>
        <v>Vodka</v>
      </c>
      <c r="E1844" s="5">
        <v>52900</v>
      </c>
      <c r="F1844" s="5">
        <v>900885.32999998925</v>
      </c>
      <c r="G1844" s="5"/>
      <c r="H1844" s="5">
        <v>4199</v>
      </c>
    </row>
    <row r="1845" spans="1:8">
      <c r="A1845" s="5">
        <v>2023</v>
      </c>
      <c r="B1845" s="6">
        <v>44958</v>
      </c>
      <c r="C1845" s="5" t="s">
        <v>35</v>
      </c>
      <c r="D1845" s="3" t="str" cm="1">
        <f t="array" ref="D1845">_xlfn.IFS(
 ISNUMBER(SEARCH("WHISK",C1845)),"Whiskey",
 ISNUMBER(SEARCH("BOURBON",C1845)),"Whiskey",
 ISNUMBER(SEARCH("SCOTCH",C1845)),"Whiskey",
 ISNUMBER(SEARCH("RYE",C1845)),"Whiskey",
 ISNUMBER(SEARCH("VODKA",C1845)),"Vodka",
 ISNUMBER(SEARCH("TEQUILA",C1845)),"Tequila/Mezcal",
 ISNUMBER(SEARCH("MEZCAL",C1845)),"Tequila/Mezcal",
 ISNUMBER(SEARCH("RUM",C1845)),"Rum",
 ISNUMBER(SEARCH("BRAND",C1845)),"Brandy",
 ISNUMBER(SEARCH("COGNAC",C1845)),"Brandy",
 ISNUMBER(SEARCH("LIQUEUR",C1845)),"Liqueurs",
 ISNUMBER(SEARCH("CORDIAL",C1845)),"Liqueurs",
 ISNUMBER(SEARCH("SCHNAPP",C1845)),"Liqueurs",
 ISNUMBER(SEARCH("GIN",C1845)),"Gin",
 TRUE,"Other")</f>
        <v>Tequila/Mezcal</v>
      </c>
      <c r="E1845" s="5">
        <v>59766</v>
      </c>
      <c r="F1845" s="5">
        <v>818722.27999999386</v>
      </c>
      <c r="G1845" s="5"/>
      <c r="H1845" s="5">
        <v>4267</v>
      </c>
    </row>
    <row r="1846" spans="1:8">
      <c r="A1846" s="5">
        <v>2023</v>
      </c>
      <c r="B1846" s="6">
        <v>44958</v>
      </c>
      <c r="C1846" s="5" t="s">
        <v>44</v>
      </c>
      <c r="D1846" s="3" t="str" cm="1">
        <f t="array" ref="D1846">_xlfn.IFS(
 ISNUMBER(SEARCH("WHISK",C1846)),"Whiskey",
 ISNUMBER(SEARCH("BOURBON",C1846)),"Whiskey",
 ISNUMBER(SEARCH("SCOTCH",C1846)),"Whiskey",
 ISNUMBER(SEARCH("RYE",C1846)),"Whiskey",
 ISNUMBER(SEARCH("VODKA",C1846)),"Vodka",
 ISNUMBER(SEARCH("TEQUILA",C1846)),"Tequila/Mezcal",
 ISNUMBER(SEARCH("MEZCAL",C1846)),"Tequila/Mezcal",
 ISNUMBER(SEARCH("RUM",C1846)),"Rum",
 ISNUMBER(SEARCH("BRAND",C1846)),"Brandy",
 ISNUMBER(SEARCH("COGNAC",C1846)),"Brandy",
 ISNUMBER(SEARCH("LIQUEUR",C1846)),"Liqueurs",
 ISNUMBER(SEARCH("CORDIAL",C1846)),"Liqueurs",
 ISNUMBER(SEARCH("SCHNAPP",C1846)),"Liqueurs",
 ISNUMBER(SEARCH("GIN",C1846)),"Gin",
 TRUE,"Other")</f>
        <v>Whiskey</v>
      </c>
      <c r="E1846" s="5">
        <v>10316</v>
      </c>
      <c r="F1846" s="5">
        <v>314858.86000000063</v>
      </c>
      <c r="G1846" s="5"/>
      <c r="H1846" s="5">
        <v>1538</v>
      </c>
    </row>
    <row r="1847" spans="1:8">
      <c r="A1847" s="5">
        <v>2023</v>
      </c>
      <c r="B1847" s="6">
        <v>44958</v>
      </c>
      <c r="C1847" s="5" t="s">
        <v>46</v>
      </c>
      <c r="D1847" s="3" t="str" cm="1">
        <f t="array" ref="D1847">_xlfn.IFS(
 ISNUMBER(SEARCH("WHISK",C1847)),"Whiskey",
 ISNUMBER(SEARCH("BOURBON",C1847)),"Whiskey",
 ISNUMBER(SEARCH("SCOTCH",C1847)),"Whiskey",
 ISNUMBER(SEARCH("RYE",C1847)),"Whiskey",
 ISNUMBER(SEARCH("VODKA",C1847)),"Vodka",
 ISNUMBER(SEARCH("TEQUILA",C1847)),"Tequila/Mezcal",
 ISNUMBER(SEARCH("MEZCAL",C1847)),"Tequila/Mezcal",
 ISNUMBER(SEARCH("RUM",C1847)),"Rum",
 ISNUMBER(SEARCH("BRAND",C1847)),"Brandy",
 ISNUMBER(SEARCH("COGNAC",C1847)),"Brandy",
 ISNUMBER(SEARCH("LIQUEUR",C1847)),"Liqueurs",
 ISNUMBER(SEARCH("CORDIAL",C1847)),"Liqueurs",
 ISNUMBER(SEARCH("SCHNAPP",C1847)),"Liqueurs",
 ISNUMBER(SEARCH("GIN",C1847)),"Gin",
 TRUE,"Other")</f>
        <v>Whiskey</v>
      </c>
      <c r="E1847" s="5">
        <v>54617</v>
      </c>
      <c r="F1847" s="5">
        <v>1270101.9799999744</v>
      </c>
      <c r="G1847" s="5"/>
      <c r="H1847" s="5">
        <v>5441</v>
      </c>
    </row>
    <row r="1848" spans="1:8">
      <c r="A1848" s="5">
        <v>2023</v>
      </c>
      <c r="B1848" s="6">
        <v>44958</v>
      </c>
      <c r="C1848" s="5" t="s">
        <v>48</v>
      </c>
      <c r="D1848" s="3" t="str" cm="1">
        <f t="array" ref="D1848">_xlfn.IFS(
 ISNUMBER(SEARCH("WHISK",C1848)),"Whiskey",
 ISNUMBER(SEARCH("BOURBON",C1848)),"Whiskey",
 ISNUMBER(SEARCH("SCOTCH",C1848)),"Whiskey",
 ISNUMBER(SEARCH("RYE",C1848)),"Whiskey",
 ISNUMBER(SEARCH("VODKA",C1848)),"Vodka",
 ISNUMBER(SEARCH("TEQUILA",C1848)),"Tequila/Mezcal",
 ISNUMBER(SEARCH("MEZCAL",C1848)),"Tequila/Mezcal",
 ISNUMBER(SEARCH("RUM",C1848)),"Rum",
 ISNUMBER(SEARCH("BRAND",C1848)),"Brandy",
 ISNUMBER(SEARCH("COGNAC",C1848)),"Brandy",
 ISNUMBER(SEARCH("LIQUEUR",C1848)),"Liqueurs",
 ISNUMBER(SEARCH("CORDIAL",C1848)),"Liqueurs",
 ISNUMBER(SEARCH("SCHNAPP",C1848)),"Liqueurs",
 ISNUMBER(SEARCH("GIN",C1848)),"Gin",
 TRUE,"Other")</f>
        <v>Whiskey</v>
      </c>
      <c r="E1848" s="5">
        <v>318059</v>
      </c>
      <c r="F1848" s="5">
        <v>1815364.809999971</v>
      </c>
      <c r="G1848" s="5"/>
      <c r="H1848" s="5">
        <v>11897</v>
      </c>
    </row>
    <row r="1849" spans="1:8">
      <c r="A1849" s="5">
        <v>2023</v>
      </c>
      <c r="B1849" s="6">
        <v>44958</v>
      </c>
      <c r="C1849" s="5" t="s">
        <v>7</v>
      </c>
      <c r="D1849" s="3" t="str" cm="1">
        <f t="array" ref="D1849">_xlfn.IFS(
 ISNUMBER(SEARCH("WHISK",C1849)),"Whiskey",
 ISNUMBER(SEARCH("BOURBON",C1849)),"Whiskey",
 ISNUMBER(SEARCH("SCOTCH",C1849)),"Whiskey",
 ISNUMBER(SEARCH("RYE",C1849)),"Whiskey",
 ISNUMBER(SEARCH("VODKA",C1849)),"Vodka",
 ISNUMBER(SEARCH("TEQUILA",C1849)),"Tequila/Mezcal",
 ISNUMBER(SEARCH("MEZCAL",C1849)),"Tequila/Mezcal",
 ISNUMBER(SEARCH("RUM",C1849)),"Rum",
 ISNUMBER(SEARCH("BRAND",C1849)),"Brandy",
 ISNUMBER(SEARCH("COGNAC",C1849)),"Brandy",
 ISNUMBER(SEARCH("LIQUEUR",C1849)),"Liqueurs",
 ISNUMBER(SEARCH("CORDIAL",C1849)),"Liqueurs",
 ISNUMBER(SEARCH("SCHNAPP",C1849)),"Liqueurs",
 ISNUMBER(SEARCH("GIN",C1849)),"Gin",
 TRUE,"Other")</f>
        <v>Rum</v>
      </c>
      <c r="E1849" s="5">
        <v>3233</v>
      </c>
      <c r="F1849" s="5">
        <v>71489.560000000085</v>
      </c>
      <c r="G1849" s="5"/>
      <c r="H1849" s="5">
        <v>526</v>
      </c>
    </row>
    <row r="1850" spans="1:8">
      <c r="A1850" s="5">
        <v>2023</v>
      </c>
      <c r="B1850" s="6">
        <v>44958</v>
      </c>
      <c r="C1850" s="5" t="s">
        <v>8</v>
      </c>
      <c r="D1850" s="3" t="str" cm="1">
        <f t="array" ref="D1850">_xlfn.IFS(
 ISNUMBER(SEARCH("WHISK",C1850)),"Whiskey",
 ISNUMBER(SEARCH("BOURBON",C1850)),"Whiskey",
 ISNUMBER(SEARCH("SCOTCH",C1850)),"Whiskey",
 ISNUMBER(SEARCH("RYE",C1850)),"Whiskey",
 ISNUMBER(SEARCH("VODKA",C1850)),"Vodka",
 ISNUMBER(SEARCH("TEQUILA",C1850)),"Tequila/Mezcal",
 ISNUMBER(SEARCH("MEZCAL",C1850)),"Tequila/Mezcal",
 ISNUMBER(SEARCH("RUM",C1850)),"Rum",
 ISNUMBER(SEARCH("BRAND",C1850)),"Brandy",
 ISNUMBER(SEARCH("COGNAC",C1850)),"Brandy",
 ISNUMBER(SEARCH("LIQUEUR",C1850)),"Liqueurs",
 ISNUMBER(SEARCH("CORDIAL",C1850)),"Liqueurs",
 ISNUMBER(SEARCH("SCHNAPP",C1850)),"Liqueurs",
 ISNUMBER(SEARCH("GIN",C1850)),"Gin",
 TRUE,"Other")</f>
        <v>Brandy</v>
      </c>
      <c r="E1850" s="5">
        <v>54270</v>
      </c>
      <c r="F1850" s="5">
        <v>361528.89000000217</v>
      </c>
      <c r="G1850" s="5"/>
      <c r="H1850" s="5">
        <v>4812</v>
      </c>
    </row>
    <row r="1851" spans="1:8">
      <c r="A1851" s="5">
        <v>2023</v>
      </c>
      <c r="B1851" s="6">
        <v>44958</v>
      </c>
      <c r="C1851" s="5" t="s">
        <v>10</v>
      </c>
      <c r="D1851" s="3" t="str" cm="1">
        <f t="array" ref="D1851">_xlfn.IFS(
 ISNUMBER(SEARCH("WHISK",C1851)),"Whiskey",
 ISNUMBER(SEARCH("BOURBON",C1851)),"Whiskey",
 ISNUMBER(SEARCH("SCOTCH",C1851)),"Whiskey",
 ISNUMBER(SEARCH("RYE",C1851)),"Whiskey",
 ISNUMBER(SEARCH("VODKA",C1851)),"Vodka",
 ISNUMBER(SEARCH("TEQUILA",C1851)),"Tequila/Mezcal",
 ISNUMBER(SEARCH("MEZCAL",C1851)),"Tequila/Mezcal",
 ISNUMBER(SEARCH("RUM",C1851)),"Rum",
 ISNUMBER(SEARCH("BRAND",C1851)),"Brandy",
 ISNUMBER(SEARCH("COGNAC",C1851)),"Brandy",
 ISNUMBER(SEARCH("LIQUEUR",C1851)),"Liqueurs",
 ISNUMBER(SEARCH("CORDIAL",C1851)),"Liqueurs",
 ISNUMBER(SEARCH("SCHNAPP",C1851)),"Liqueurs",
 ISNUMBER(SEARCH("GIN",C1851)),"Gin",
 TRUE,"Other")</f>
        <v>Other</v>
      </c>
      <c r="E1851" s="5">
        <v>7455</v>
      </c>
      <c r="F1851" s="5">
        <v>186747.15999999995</v>
      </c>
      <c r="G1851" s="5"/>
      <c r="H1851" s="5">
        <v>787</v>
      </c>
    </row>
    <row r="1852" spans="1:8">
      <c r="A1852" s="5">
        <v>2023</v>
      </c>
      <c r="B1852" s="6">
        <v>44958</v>
      </c>
      <c r="C1852" s="5" t="s">
        <v>11</v>
      </c>
      <c r="D1852" s="3" t="str" cm="1">
        <f t="array" ref="D1852">_xlfn.IFS(
 ISNUMBER(SEARCH("WHISK",C1852)),"Whiskey",
 ISNUMBER(SEARCH("BOURBON",C1852)),"Whiskey",
 ISNUMBER(SEARCH("SCOTCH",C1852)),"Whiskey",
 ISNUMBER(SEARCH("RYE",C1852)),"Whiskey",
 ISNUMBER(SEARCH("VODKA",C1852)),"Vodka",
 ISNUMBER(SEARCH("TEQUILA",C1852)),"Tequila/Mezcal",
 ISNUMBER(SEARCH("MEZCAL",C1852)),"Tequila/Mezcal",
 ISNUMBER(SEARCH("RUM",C1852)),"Rum",
 ISNUMBER(SEARCH("BRAND",C1852)),"Brandy",
 ISNUMBER(SEARCH("COGNAC",C1852)),"Brandy",
 ISNUMBER(SEARCH("LIQUEUR",C1852)),"Liqueurs",
 ISNUMBER(SEARCH("CORDIAL",C1852)),"Liqueurs",
 ISNUMBER(SEARCH("SCHNAPP",C1852)),"Liqueurs",
 ISNUMBER(SEARCH("GIN",C1852)),"Gin",
 TRUE,"Other")</f>
        <v>Gin</v>
      </c>
      <c r="E1852" s="5">
        <v>26173</v>
      </c>
      <c r="F1852" s="5">
        <v>262494.76000000112</v>
      </c>
      <c r="G1852" s="5"/>
      <c r="H1852" s="5">
        <v>2352</v>
      </c>
    </row>
    <row r="1853" spans="1:8">
      <c r="A1853" s="5">
        <v>2023</v>
      </c>
      <c r="B1853" s="6">
        <v>44958</v>
      </c>
      <c r="C1853" s="5" t="s">
        <v>12</v>
      </c>
      <c r="D1853" s="3" t="str" cm="1">
        <f t="array" ref="D1853">_xlfn.IFS(
 ISNUMBER(SEARCH("WHISK",C1853)),"Whiskey",
 ISNUMBER(SEARCH("BOURBON",C1853)),"Whiskey",
 ISNUMBER(SEARCH("SCOTCH",C1853)),"Whiskey",
 ISNUMBER(SEARCH("RYE",C1853)),"Whiskey",
 ISNUMBER(SEARCH("VODKA",C1853)),"Vodka",
 ISNUMBER(SEARCH("TEQUILA",C1853)),"Tequila/Mezcal",
 ISNUMBER(SEARCH("MEZCAL",C1853)),"Tequila/Mezcal",
 ISNUMBER(SEARCH("RUM",C1853)),"Rum",
 ISNUMBER(SEARCH("BRAND",C1853)),"Brandy",
 ISNUMBER(SEARCH("COGNAC",C1853)),"Brandy",
 ISNUMBER(SEARCH("LIQUEUR",C1853)),"Liqueurs",
 ISNUMBER(SEARCH("CORDIAL",C1853)),"Liqueurs",
 ISNUMBER(SEARCH("SCHNAPP",C1853)),"Liqueurs",
 ISNUMBER(SEARCH("GIN",C1853)),"Gin",
 TRUE,"Other")</f>
        <v>Vodka</v>
      </c>
      <c r="E1853" s="5">
        <v>78547</v>
      </c>
      <c r="F1853" s="5">
        <v>874793.09000003175</v>
      </c>
      <c r="G1853" s="5"/>
      <c r="H1853" s="5">
        <v>9651</v>
      </c>
    </row>
    <row r="1854" spans="1:8">
      <c r="A1854" s="5">
        <v>2023</v>
      </c>
      <c r="B1854" s="6">
        <v>44958</v>
      </c>
      <c r="C1854" s="5" t="s">
        <v>17</v>
      </c>
      <c r="D1854" s="3" t="str" cm="1">
        <f t="array" ref="D1854">_xlfn.IFS(
 ISNUMBER(SEARCH("WHISK",C1854)),"Whiskey",
 ISNUMBER(SEARCH("BOURBON",C1854)),"Whiskey",
 ISNUMBER(SEARCH("SCOTCH",C1854)),"Whiskey",
 ISNUMBER(SEARCH("RYE",C1854)),"Whiskey",
 ISNUMBER(SEARCH("VODKA",C1854)),"Vodka",
 ISNUMBER(SEARCH("TEQUILA",C1854)),"Tequila/Mezcal",
 ISNUMBER(SEARCH("MEZCAL",C1854)),"Tequila/Mezcal",
 ISNUMBER(SEARCH("RUM",C1854)),"Rum",
 ISNUMBER(SEARCH("BRAND",C1854)),"Brandy",
 ISNUMBER(SEARCH("COGNAC",C1854)),"Brandy",
 ISNUMBER(SEARCH("LIQUEUR",C1854)),"Liqueurs",
 ISNUMBER(SEARCH("CORDIAL",C1854)),"Liqueurs",
 ISNUMBER(SEARCH("SCHNAPP",C1854)),"Liqueurs",
 ISNUMBER(SEARCH("GIN",C1854)),"Gin",
 TRUE,"Other")</f>
        <v>Whiskey</v>
      </c>
      <c r="E1854" s="5">
        <v>2950</v>
      </c>
      <c r="F1854" s="5">
        <v>87956.600000000079</v>
      </c>
      <c r="G1854" s="5"/>
      <c r="H1854" s="5">
        <v>706</v>
      </c>
    </row>
    <row r="1855" spans="1:8">
      <c r="A1855" s="5">
        <v>2023</v>
      </c>
      <c r="B1855" s="6">
        <v>44958</v>
      </c>
      <c r="C1855" s="5" t="s">
        <v>19</v>
      </c>
      <c r="D1855" s="3" t="str" cm="1">
        <f t="array" ref="D1855">_xlfn.IFS(
 ISNUMBER(SEARCH("WHISK",C1855)),"Whiskey",
 ISNUMBER(SEARCH("BOURBON",C1855)),"Whiskey",
 ISNUMBER(SEARCH("SCOTCH",C1855)),"Whiskey",
 ISNUMBER(SEARCH("RYE",C1855)),"Whiskey",
 ISNUMBER(SEARCH("VODKA",C1855)),"Vodka",
 ISNUMBER(SEARCH("TEQUILA",C1855)),"Tequila/Mezcal",
 ISNUMBER(SEARCH("MEZCAL",C1855)),"Tequila/Mezcal",
 ISNUMBER(SEARCH("RUM",C1855)),"Rum",
 ISNUMBER(SEARCH("BRAND",C1855)),"Brandy",
 ISNUMBER(SEARCH("COGNAC",C1855)),"Brandy",
 ISNUMBER(SEARCH("LIQUEUR",C1855)),"Liqueurs",
 ISNUMBER(SEARCH("CORDIAL",C1855)),"Liqueurs",
 ISNUMBER(SEARCH("SCHNAPP",C1855)),"Liqueurs",
 ISNUMBER(SEARCH("GIN",C1855)),"Gin",
 TRUE,"Other")</f>
        <v>Other</v>
      </c>
      <c r="E1855" s="5">
        <v>40283</v>
      </c>
      <c r="F1855" s="5">
        <v>471514.11999997852</v>
      </c>
      <c r="G1855" s="5"/>
      <c r="H1855" s="5">
        <v>5137</v>
      </c>
    </row>
    <row r="1856" spans="1:8">
      <c r="A1856" s="5">
        <v>2023</v>
      </c>
      <c r="B1856" s="6">
        <v>44958</v>
      </c>
      <c r="C1856" s="5" t="s">
        <v>20</v>
      </c>
      <c r="D1856" s="3" t="str" cm="1">
        <f t="array" ref="D1856">_xlfn.IFS(
 ISNUMBER(SEARCH("WHISK",C1856)),"Whiskey",
 ISNUMBER(SEARCH("BOURBON",C1856)),"Whiskey",
 ISNUMBER(SEARCH("SCOTCH",C1856)),"Whiskey",
 ISNUMBER(SEARCH("RYE",C1856)),"Whiskey",
 ISNUMBER(SEARCH("VODKA",C1856)),"Vodka",
 ISNUMBER(SEARCH("TEQUILA",C1856)),"Tequila/Mezcal",
 ISNUMBER(SEARCH("MEZCAL",C1856)),"Tequila/Mezcal",
 ISNUMBER(SEARCH("RUM",C1856)),"Rum",
 ISNUMBER(SEARCH("BRAND",C1856)),"Brandy",
 ISNUMBER(SEARCH("COGNAC",C1856)),"Brandy",
 ISNUMBER(SEARCH("LIQUEUR",C1856)),"Liqueurs",
 ISNUMBER(SEARCH("CORDIAL",C1856)),"Liqueurs",
 ISNUMBER(SEARCH("SCHNAPP",C1856)),"Liqueurs",
 ISNUMBER(SEARCH("GIN",C1856)),"Gin",
 TRUE,"Other")</f>
        <v>Liqueurs</v>
      </c>
      <c r="E1856" s="5">
        <v>6552</v>
      </c>
      <c r="F1856" s="5">
        <v>138577.0800000008</v>
      </c>
      <c r="G1856" s="5"/>
      <c r="H1856" s="5">
        <v>739</v>
      </c>
    </row>
    <row r="1857" spans="1:8">
      <c r="A1857" s="5">
        <v>2023</v>
      </c>
      <c r="B1857" s="6">
        <v>44958</v>
      </c>
      <c r="C1857" s="5" t="s">
        <v>22</v>
      </c>
      <c r="D1857" s="3" t="str" cm="1">
        <f t="array" ref="D1857">_xlfn.IFS(
 ISNUMBER(SEARCH("WHISK",C1857)),"Whiskey",
 ISNUMBER(SEARCH("BOURBON",C1857)),"Whiskey",
 ISNUMBER(SEARCH("SCOTCH",C1857)),"Whiskey",
 ISNUMBER(SEARCH("RYE",C1857)),"Whiskey",
 ISNUMBER(SEARCH("VODKA",C1857)),"Vodka",
 ISNUMBER(SEARCH("TEQUILA",C1857)),"Tequila/Mezcal",
 ISNUMBER(SEARCH("MEZCAL",C1857)),"Tequila/Mezcal",
 ISNUMBER(SEARCH("RUM",C1857)),"Rum",
 ISNUMBER(SEARCH("BRAND",C1857)),"Brandy",
 ISNUMBER(SEARCH("COGNAC",C1857)),"Brandy",
 ISNUMBER(SEARCH("LIQUEUR",C1857)),"Liqueurs",
 ISNUMBER(SEARCH("CORDIAL",C1857)),"Liqueurs",
 ISNUMBER(SEARCH("SCHNAPP",C1857)),"Liqueurs",
 ISNUMBER(SEARCH("GIN",C1857)),"Gin",
 TRUE,"Other")</f>
        <v>Liqueurs</v>
      </c>
      <c r="E1857" s="5">
        <v>26477</v>
      </c>
      <c r="F1857" s="5">
        <v>550974.55999999284</v>
      </c>
      <c r="G1857" s="5"/>
      <c r="H1857" s="5">
        <v>3766</v>
      </c>
    </row>
    <row r="1858" spans="1:8">
      <c r="A1858" s="5">
        <v>2023</v>
      </c>
      <c r="B1858" s="6">
        <v>44958</v>
      </c>
      <c r="C1858" s="5" t="s">
        <v>24</v>
      </c>
      <c r="D1858" s="3" t="str" cm="1">
        <f t="array" ref="D1858">_xlfn.IFS(
 ISNUMBER(SEARCH("WHISK",C1858)),"Whiskey",
 ISNUMBER(SEARCH("BOURBON",C1858)),"Whiskey",
 ISNUMBER(SEARCH("SCOTCH",C1858)),"Whiskey",
 ISNUMBER(SEARCH("RYE",C1858)),"Whiskey",
 ISNUMBER(SEARCH("VODKA",C1858)),"Vodka",
 ISNUMBER(SEARCH("TEQUILA",C1858)),"Tequila/Mezcal",
 ISNUMBER(SEARCH("MEZCAL",C1858)),"Tequila/Mezcal",
 ISNUMBER(SEARCH("RUM",C1858)),"Rum",
 ISNUMBER(SEARCH("BRAND",C1858)),"Brandy",
 ISNUMBER(SEARCH("COGNAC",C1858)),"Brandy",
 ISNUMBER(SEARCH("LIQUEUR",C1858)),"Liqueurs",
 ISNUMBER(SEARCH("CORDIAL",C1858)),"Liqueurs",
 ISNUMBER(SEARCH("SCHNAPP",C1858)),"Liqueurs",
 ISNUMBER(SEARCH("GIN",C1858)),"Gin",
 TRUE,"Other")</f>
        <v>Rum</v>
      </c>
      <c r="E1858" s="5">
        <v>36189</v>
      </c>
      <c r="F1858" s="5">
        <v>549682.86000000057</v>
      </c>
      <c r="G1858" s="5"/>
      <c r="H1858" s="5">
        <v>3832</v>
      </c>
    </row>
    <row r="1859" spans="1:8">
      <c r="A1859" s="5">
        <v>2023</v>
      </c>
      <c r="B1859" s="6">
        <v>44958</v>
      </c>
      <c r="C1859" s="5" t="s">
        <v>26</v>
      </c>
      <c r="D1859" s="3" t="str" cm="1">
        <f t="array" ref="D1859">_xlfn.IFS(
 ISNUMBER(SEARCH("WHISK",C1859)),"Whiskey",
 ISNUMBER(SEARCH("BOURBON",C1859)),"Whiskey",
 ISNUMBER(SEARCH("SCOTCH",C1859)),"Whiskey",
 ISNUMBER(SEARCH("RYE",C1859)),"Whiskey",
 ISNUMBER(SEARCH("VODKA",C1859)),"Vodka",
 ISNUMBER(SEARCH("TEQUILA",C1859)),"Tequila/Mezcal",
 ISNUMBER(SEARCH("MEZCAL",C1859)),"Tequila/Mezcal",
 ISNUMBER(SEARCH("RUM",C1859)),"Rum",
 ISNUMBER(SEARCH("BRAND",C1859)),"Brandy",
 ISNUMBER(SEARCH("COGNAC",C1859)),"Brandy",
 ISNUMBER(SEARCH("LIQUEUR",C1859)),"Liqueurs",
 ISNUMBER(SEARCH("CORDIAL",C1859)),"Liqueurs",
 ISNUMBER(SEARCH("SCHNAPP",C1859)),"Liqueurs",
 ISNUMBER(SEARCH("GIN",C1859)),"Gin",
 TRUE,"Other")</f>
        <v>Brandy</v>
      </c>
      <c r="E1859" s="5">
        <v>40541</v>
      </c>
      <c r="F1859" s="5">
        <v>938698.77999999886</v>
      </c>
      <c r="G1859" s="5"/>
      <c r="H1859" s="5">
        <v>3382</v>
      </c>
    </row>
    <row r="1860" spans="1:8">
      <c r="A1860" s="5">
        <v>2023</v>
      </c>
      <c r="B1860" s="6">
        <v>44958</v>
      </c>
      <c r="C1860" s="5" t="s">
        <v>60</v>
      </c>
      <c r="D1860" s="3" t="str" cm="1">
        <f t="array" ref="D1860">_xlfn.IFS(
 ISNUMBER(SEARCH("WHISK",C1860)),"Whiskey",
 ISNUMBER(SEARCH("BOURBON",C1860)),"Whiskey",
 ISNUMBER(SEARCH("SCOTCH",C1860)),"Whiskey",
 ISNUMBER(SEARCH("RYE",C1860)),"Whiskey",
 ISNUMBER(SEARCH("VODKA",C1860)),"Vodka",
 ISNUMBER(SEARCH("TEQUILA",C1860)),"Tequila/Mezcal",
 ISNUMBER(SEARCH("MEZCAL",C1860)),"Tequila/Mezcal",
 ISNUMBER(SEARCH("RUM",C1860)),"Rum",
 ISNUMBER(SEARCH("BRAND",C1860)),"Brandy",
 ISNUMBER(SEARCH("COGNAC",C1860)),"Brandy",
 ISNUMBER(SEARCH("LIQUEUR",C1860)),"Liqueurs",
 ISNUMBER(SEARCH("CORDIAL",C1860)),"Liqueurs",
 ISNUMBER(SEARCH("SCHNAPP",C1860)),"Liqueurs",
 ISNUMBER(SEARCH("GIN",C1860)),"Gin",
 TRUE,"Other")</f>
        <v>Liqueurs</v>
      </c>
      <c r="E1860" s="5">
        <v>35643</v>
      </c>
      <c r="F1860" s="5">
        <v>841957.66000000446</v>
      </c>
      <c r="G1860" s="5"/>
      <c r="H1860" s="5">
        <v>4110</v>
      </c>
    </row>
    <row r="1861" spans="1:8">
      <c r="A1861" s="5">
        <v>2023</v>
      </c>
      <c r="B1861" s="6">
        <v>44958</v>
      </c>
      <c r="C1861" s="5" t="s">
        <v>28</v>
      </c>
      <c r="D1861" s="3" t="str" cm="1">
        <f t="array" ref="D1861">_xlfn.IFS(
 ISNUMBER(SEARCH("WHISK",C1861)),"Whiskey",
 ISNUMBER(SEARCH("BOURBON",C1861)),"Whiskey",
 ISNUMBER(SEARCH("SCOTCH",C1861)),"Whiskey",
 ISNUMBER(SEARCH("RYE",C1861)),"Whiskey",
 ISNUMBER(SEARCH("VODKA",C1861)),"Vodka",
 ISNUMBER(SEARCH("TEQUILA",C1861)),"Tequila/Mezcal",
 ISNUMBER(SEARCH("MEZCAL",C1861)),"Tequila/Mezcal",
 ISNUMBER(SEARCH("RUM",C1861)),"Rum",
 ISNUMBER(SEARCH("BRAND",C1861)),"Brandy",
 ISNUMBER(SEARCH("COGNAC",C1861)),"Brandy",
 ISNUMBER(SEARCH("LIQUEUR",C1861)),"Liqueurs",
 ISNUMBER(SEARCH("CORDIAL",C1861)),"Liqueurs",
 ISNUMBER(SEARCH("SCHNAPP",C1861)),"Liqueurs",
 ISNUMBER(SEARCH("GIN",C1861)),"Gin",
 TRUE,"Other")</f>
        <v>Other</v>
      </c>
      <c r="E1861" s="5">
        <v>25862</v>
      </c>
      <c r="F1861" s="5">
        <v>201567.38999999981</v>
      </c>
      <c r="G1861" s="5"/>
      <c r="H1861" s="5">
        <v>429</v>
      </c>
    </row>
    <row r="1862" spans="1:8">
      <c r="A1862" s="5">
        <v>2023</v>
      </c>
      <c r="B1862" s="6">
        <v>44958</v>
      </c>
      <c r="C1862" s="5" t="s">
        <v>30</v>
      </c>
      <c r="D1862" s="3" t="str" cm="1">
        <f t="array" ref="D1862">_xlfn.IFS(
 ISNUMBER(SEARCH("WHISK",C1862)),"Whiskey",
 ISNUMBER(SEARCH("BOURBON",C1862)),"Whiskey",
 ISNUMBER(SEARCH("SCOTCH",C1862)),"Whiskey",
 ISNUMBER(SEARCH("RYE",C1862)),"Whiskey",
 ISNUMBER(SEARCH("VODKA",C1862)),"Vodka",
 ISNUMBER(SEARCH("TEQUILA",C1862)),"Tequila/Mezcal",
 ISNUMBER(SEARCH("MEZCAL",C1862)),"Tequila/Mezcal",
 ISNUMBER(SEARCH("RUM",C1862)),"Rum",
 ISNUMBER(SEARCH("BRAND",C1862)),"Brandy",
 ISNUMBER(SEARCH("COGNAC",C1862)),"Brandy",
 ISNUMBER(SEARCH("LIQUEUR",C1862)),"Liqueurs",
 ISNUMBER(SEARCH("CORDIAL",C1862)),"Liqueurs",
 ISNUMBER(SEARCH("SCHNAPP",C1862)),"Liqueurs",
 ISNUMBER(SEARCH("GIN",C1862)),"Gin",
 TRUE,"Other")</f>
        <v>Vodka</v>
      </c>
      <c r="E1862" s="5">
        <v>18751</v>
      </c>
      <c r="F1862" s="5">
        <v>324360.10000000132</v>
      </c>
      <c r="G1862" s="5"/>
      <c r="H1862" s="5">
        <v>2292</v>
      </c>
    </row>
    <row r="1863" spans="1:8">
      <c r="A1863" s="5">
        <v>2023</v>
      </c>
      <c r="B1863" s="6">
        <v>44958</v>
      </c>
      <c r="C1863" s="5" t="s">
        <v>33</v>
      </c>
      <c r="D1863" s="3" t="str" cm="1">
        <f t="array" ref="D1863">_xlfn.IFS(
 ISNUMBER(SEARCH("WHISK",C1863)),"Whiskey",
 ISNUMBER(SEARCH("BOURBON",C1863)),"Whiskey",
 ISNUMBER(SEARCH("SCOTCH",C1863)),"Whiskey",
 ISNUMBER(SEARCH("RYE",C1863)),"Whiskey",
 ISNUMBER(SEARCH("VODKA",C1863)),"Vodka",
 ISNUMBER(SEARCH("TEQUILA",C1863)),"Tequila/Mezcal",
 ISNUMBER(SEARCH("MEZCAL",C1863)),"Tequila/Mezcal",
 ISNUMBER(SEARCH("RUM",C1863)),"Rum",
 ISNUMBER(SEARCH("BRAND",C1863)),"Brandy",
 ISNUMBER(SEARCH("COGNAC",C1863)),"Brandy",
 ISNUMBER(SEARCH("LIQUEUR",C1863)),"Liqueurs",
 ISNUMBER(SEARCH("CORDIAL",C1863)),"Liqueurs",
 ISNUMBER(SEARCH("SCHNAPP",C1863)),"Liqueurs",
 ISNUMBER(SEARCH("GIN",C1863)),"Gin",
 TRUE,"Other")</f>
        <v>Whiskey</v>
      </c>
      <c r="E1863" s="5">
        <v>37506</v>
      </c>
      <c r="F1863" s="5">
        <v>1007097.1599999859</v>
      </c>
      <c r="G1863" s="5"/>
      <c r="H1863" s="5">
        <v>2812</v>
      </c>
    </row>
    <row r="1864" spans="1:8">
      <c r="A1864" s="5">
        <v>2023</v>
      </c>
      <c r="B1864" s="6">
        <v>44958</v>
      </c>
      <c r="C1864" s="5" t="s">
        <v>36</v>
      </c>
      <c r="D1864" s="3" t="str" cm="1">
        <f t="array" ref="D1864">_xlfn.IFS(
 ISNUMBER(SEARCH("WHISK",C1864)),"Whiskey",
 ISNUMBER(SEARCH("BOURBON",C1864)),"Whiskey",
 ISNUMBER(SEARCH("SCOTCH",C1864)),"Whiskey",
 ISNUMBER(SEARCH("RYE",C1864)),"Whiskey",
 ISNUMBER(SEARCH("VODKA",C1864)),"Vodka",
 ISNUMBER(SEARCH("TEQUILA",C1864)),"Tequila/Mezcal",
 ISNUMBER(SEARCH("MEZCAL",C1864)),"Tequila/Mezcal",
 ISNUMBER(SEARCH("RUM",C1864)),"Rum",
 ISNUMBER(SEARCH("BRAND",C1864)),"Brandy",
 ISNUMBER(SEARCH("COGNAC",C1864)),"Brandy",
 ISNUMBER(SEARCH("LIQUEUR",C1864)),"Liqueurs",
 ISNUMBER(SEARCH("CORDIAL",C1864)),"Liqueurs",
 ISNUMBER(SEARCH("SCHNAPP",C1864)),"Liqueurs",
 ISNUMBER(SEARCH("GIN",C1864)),"Gin",
 TRUE,"Other")</f>
        <v>Other</v>
      </c>
      <c r="E1864" s="5">
        <v>2375</v>
      </c>
      <c r="F1864" s="5">
        <v>36334.46</v>
      </c>
      <c r="G1864" s="5"/>
      <c r="H1864" s="5">
        <v>333</v>
      </c>
    </row>
    <row r="1865" spans="1:8">
      <c r="A1865" s="5">
        <v>2023</v>
      </c>
      <c r="B1865" s="6">
        <v>44958</v>
      </c>
      <c r="C1865" s="5" t="s">
        <v>37</v>
      </c>
      <c r="D1865" s="3" t="str" cm="1">
        <f t="array" ref="D1865">_xlfn.IFS(
 ISNUMBER(SEARCH("WHISK",C1865)),"Whiskey",
 ISNUMBER(SEARCH("BOURBON",C1865)),"Whiskey",
 ISNUMBER(SEARCH("SCOTCH",C1865)),"Whiskey",
 ISNUMBER(SEARCH("RYE",C1865)),"Whiskey",
 ISNUMBER(SEARCH("VODKA",C1865)),"Vodka",
 ISNUMBER(SEARCH("TEQUILA",C1865)),"Tequila/Mezcal",
 ISNUMBER(SEARCH("MEZCAL",C1865)),"Tequila/Mezcal",
 ISNUMBER(SEARCH("RUM",C1865)),"Rum",
 ISNUMBER(SEARCH("BRAND",C1865)),"Brandy",
 ISNUMBER(SEARCH("COGNAC",C1865)),"Brandy",
 ISNUMBER(SEARCH("LIQUEUR",C1865)),"Liqueurs",
 ISNUMBER(SEARCH("CORDIAL",C1865)),"Liqueurs",
 ISNUMBER(SEARCH("SCHNAPP",C1865)),"Liqueurs",
 ISNUMBER(SEARCH("GIN",C1865)),"Gin",
 TRUE,"Other")</f>
        <v>Other</v>
      </c>
      <c r="E1865" s="5">
        <v>14712</v>
      </c>
      <c r="F1865" s="5">
        <v>243278.40000000305</v>
      </c>
      <c r="G1865" s="5"/>
      <c r="H1865" s="5">
        <v>2926</v>
      </c>
    </row>
    <row r="1866" spans="1:8">
      <c r="A1866" s="5">
        <v>2023</v>
      </c>
      <c r="B1866" s="6">
        <v>44958</v>
      </c>
      <c r="C1866" s="5" t="s">
        <v>38</v>
      </c>
      <c r="D1866" s="3" t="str" cm="1">
        <f t="array" ref="D1866">_xlfn.IFS(
 ISNUMBER(SEARCH("WHISK",C1866)),"Whiskey",
 ISNUMBER(SEARCH("BOURBON",C1866)),"Whiskey",
 ISNUMBER(SEARCH("SCOTCH",C1866)),"Whiskey",
 ISNUMBER(SEARCH("RYE",C1866)),"Whiskey",
 ISNUMBER(SEARCH("VODKA",C1866)),"Vodka",
 ISNUMBER(SEARCH("TEQUILA",C1866)),"Tequila/Mezcal",
 ISNUMBER(SEARCH("MEZCAL",C1866)),"Tequila/Mezcal",
 ISNUMBER(SEARCH("RUM",C1866)),"Rum",
 ISNUMBER(SEARCH("BRAND",C1866)),"Brandy",
 ISNUMBER(SEARCH("COGNAC",C1866)),"Brandy",
 ISNUMBER(SEARCH("LIQUEUR",C1866)),"Liqueurs",
 ISNUMBER(SEARCH("CORDIAL",C1866)),"Liqueurs",
 ISNUMBER(SEARCH("SCHNAPP",C1866)),"Liqueurs",
 ISNUMBER(SEARCH("GIN",C1866)),"Gin",
 TRUE,"Other")</f>
        <v>Whiskey</v>
      </c>
      <c r="E1866" s="5">
        <v>13956</v>
      </c>
      <c r="F1866" s="5">
        <v>409539.29999999946</v>
      </c>
      <c r="G1866" s="5"/>
      <c r="H1866" s="5">
        <v>2336</v>
      </c>
    </row>
    <row r="1867" spans="1:8">
      <c r="A1867" s="5">
        <v>2023</v>
      </c>
      <c r="B1867" s="6">
        <v>44958</v>
      </c>
      <c r="C1867" s="5" t="s">
        <v>39</v>
      </c>
      <c r="D1867" s="3" t="str" cm="1">
        <f t="array" ref="D1867">_xlfn.IFS(
 ISNUMBER(SEARCH("WHISK",C1867)),"Whiskey",
 ISNUMBER(SEARCH("BOURBON",C1867)),"Whiskey",
 ISNUMBER(SEARCH("SCOTCH",C1867)),"Whiskey",
 ISNUMBER(SEARCH("RYE",C1867)),"Whiskey",
 ISNUMBER(SEARCH("VODKA",C1867)),"Vodka",
 ISNUMBER(SEARCH("TEQUILA",C1867)),"Tequila/Mezcal",
 ISNUMBER(SEARCH("MEZCAL",C1867)),"Tequila/Mezcal",
 ISNUMBER(SEARCH("RUM",C1867)),"Rum",
 ISNUMBER(SEARCH("BRAND",C1867)),"Brandy",
 ISNUMBER(SEARCH("COGNAC",C1867)),"Brandy",
 ISNUMBER(SEARCH("LIQUEUR",C1867)),"Liqueurs",
 ISNUMBER(SEARCH("CORDIAL",C1867)),"Liqueurs",
 ISNUMBER(SEARCH("SCHNAPP",C1867)),"Liqueurs",
 ISNUMBER(SEARCH("GIN",C1867)),"Gin",
 TRUE,"Other")</f>
        <v>Whiskey</v>
      </c>
      <c r="E1867" s="5">
        <v>2392</v>
      </c>
      <c r="F1867" s="5">
        <v>80973.849999999991</v>
      </c>
      <c r="G1867" s="5"/>
      <c r="H1867" s="5">
        <v>354</v>
      </c>
    </row>
    <row r="1868" spans="1:8">
      <c r="A1868" s="5">
        <v>2023</v>
      </c>
      <c r="B1868" s="6">
        <v>44958</v>
      </c>
      <c r="C1868" s="5" t="s">
        <v>40</v>
      </c>
      <c r="D1868" s="3" t="str" cm="1">
        <f t="array" ref="D1868">_xlfn.IFS(
 ISNUMBER(SEARCH("WHISK",C1868)),"Whiskey",
 ISNUMBER(SEARCH("BOURBON",C1868)),"Whiskey",
 ISNUMBER(SEARCH("SCOTCH",C1868)),"Whiskey",
 ISNUMBER(SEARCH("RYE",C1868)),"Whiskey",
 ISNUMBER(SEARCH("VODKA",C1868)),"Vodka",
 ISNUMBER(SEARCH("TEQUILA",C1868)),"Tequila/Mezcal",
 ISNUMBER(SEARCH("MEZCAL",C1868)),"Tequila/Mezcal",
 ISNUMBER(SEARCH("RUM",C1868)),"Rum",
 ISNUMBER(SEARCH("BRAND",C1868)),"Brandy",
 ISNUMBER(SEARCH("COGNAC",C1868)),"Brandy",
 ISNUMBER(SEARCH("LIQUEUR",C1868)),"Liqueurs",
 ISNUMBER(SEARCH("CORDIAL",C1868)),"Liqueurs",
 ISNUMBER(SEARCH("SCHNAPP",C1868)),"Liqueurs",
 ISNUMBER(SEARCH("GIN",C1868)),"Gin",
 TRUE,"Other")</f>
        <v>Whiskey</v>
      </c>
      <c r="E1868" s="5">
        <v>5864</v>
      </c>
      <c r="F1868" s="5">
        <v>312637.37000000081</v>
      </c>
      <c r="G1868" s="5"/>
      <c r="H1868" s="5">
        <v>1190</v>
      </c>
    </row>
    <row r="1869" spans="1:8">
      <c r="A1869" s="5">
        <v>2023</v>
      </c>
      <c r="B1869" s="6">
        <v>44958</v>
      </c>
      <c r="C1869" s="5" t="s">
        <v>42</v>
      </c>
      <c r="D1869" s="3" t="str" cm="1">
        <f t="array" ref="D1869">_xlfn.IFS(
 ISNUMBER(SEARCH("WHISK",C1869)),"Whiskey",
 ISNUMBER(SEARCH("BOURBON",C1869)),"Whiskey",
 ISNUMBER(SEARCH("SCOTCH",C1869)),"Whiskey",
 ISNUMBER(SEARCH("RYE",C1869)),"Whiskey",
 ISNUMBER(SEARCH("VODKA",C1869)),"Vodka",
 ISNUMBER(SEARCH("TEQUILA",C1869)),"Tequila/Mezcal",
 ISNUMBER(SEARCH("MEZCAL",C1869)),"Tequila/Mezcal",
 ISNUMBER(SEARCH("RUM",C1869)),"Rum",
 ISNUMBER(SEARCH("BRAND",C1869)),"Brandy",
 ISNUMBER(SEARCH("COGNAC",C1869)),"Brandy",
 ISNUMBER(SEARCH("LIQUEUR",C1869)),"Liqueurs",
 ISNUMBER(SEARCH("CORDIAL",C1869)),"Liqueurs",
 ISNUMBER(SEARCH("SCHNAPP",C1869)),"Liqueurs",
 ISNUMBER(SEARCH("GIN",C1869)),"Gin",
 TRUE,"Other")</f>
        <v>Rum</v>
      </c>
      <c r="E1869" s="5">
        <v>94121</v>
      </c>
      <c r="F1869" s="5">
        <v>1305701.0399999737</v>
      </c>
      <c r="G1869" s="5"/>
      <c r="H1869" s="5">
        <v>7568</v>
      </c>
    </row>
    <row r="1870" spans="1:8">
      <c r="A1870" s="5">
        <v>2023</v>
      </c>
      <c r="B1870" s="6">
        <v>44958</v>
      </c>
      <c r="C1870" s="5" t="s">
        <v>43</v>
      </c>
      <c r="D1870" s="3" t="str" cm="1">
        <f t="array" ref="D1870">_xlfn.IFS(
 ISNUMBER(SEARCH("WHISK",C1870)),"Whiskey",
 ISNUMBER(SEARCH("BOURBON",C1870)),"Whiskey",
 ISNUMBER(SEARCH("SCOTCH",C1870)),"Whiskey",
 ISNUMBER(SEARCH("RYE",C1870)),"Whiskey",
 ISNUMBER(SEARCH("VODKA",C1870)),"Vodka",
 ISNUMBER(SEARCH("TEQUILA",C1870)),"Tequila/Mezcal",
 ISNUMBER(SEARCH("MEZCAL",C1870)),"Tequila/Mezcal",
 ISNUMBER(SEARCH("RUM",C1870)),"Rum",
 ISNUMBER(SEARCH("BRAND",C1870)),"Brandy",
 ISNUMBER(SEARCH("COGNAC",C1870)),"Brandy",
 ISNUMBER(SEARCH("LIQUEUR",C1870)),"Liqueurs",
 ISNUMBER(SEARCH("CORDIAL",C1870)),"Liqueurs",
 ISNUMBER(SEARCH("SCHNAPP",C1870)),"Liqueurs",
 ISNUMBER(SEARCH("GIN",C1870)),"Gin",
 TRUE,"Other")</f>
        <v>Whiskey</v>
      </c>
      <c r="E1870" s="5">
        <v>128417</v>
      </c>
      <c r="F1870" s="5">
        <v>2867257.1600000025</v>
      </c>
      <c r="G1870" s="5"/>
      <c r="H1870" s="5">
        <v>14433</v>
      </c>
    </row>
    <row r="1871" spans="1:8">
      <c r="A1871" s="5">
        <v>2023</v>
      </c>
      <c r="B1871" s="6">
        <v>44958</v>
      </c>
      <c r="C1871" s="5" t="s">
        <v>45</v>
      </c>
      <c r="D1871" s="3" t="str" cm="1">
        <f t="array" ref="D1871">_xlfn.IFS(
 ISNUMBER(SEARCH("WHISK",C1871)),"Whiskey",
 ISNUMBER(SEARCH("BOURBON",C1871)),"Whiskey",
 ISNUMBER(SEARCH("SCOTCH",C1871)),"Whiskey",
 ISNUMBER(SEARCH("RYE",C1871)),"Whiskey",
 ISNUMBER(SEARCH("VODKA",C1871)),"Vodka",
 ISNUMBER(SEARCH("TEQUILA",C1871)),"Tequila/Mezcal",
 ISNUMBER(SEARCH("MEZCAL",C1871)),"Tequila/Mezcal",
 ISNUMBER(SEARCH("RUM",C1871)),"Rum",
 ISNUMBER(SEARCH("BRAND",C1871)),"Brandy",
 ISNUMBER(SEARCH("COGNAC",C1871)),"Brandy",
 ISNUMBER(SEARCH("LIQUEUR",C1871)),"Liqueurs",
 ISNUMBER(SEARCH("CORDIAL",C1871)),"Liqueurs",
 ISNUMBER(SEARCH("SCHNAPP",C1871)),"Liqueurs",
 ISNUMBER(SEARCH("GIN",C1871)),"Gin",
 TRUE,"Other")</f>
        <v>Other</v>
      </c>
      <c r="E1871" s="5">
        <v>13176</v>
      </c>
      <c r="F1871" s="5">
        <v>454260.72000000154</v>
      </c>
      <c r="G1871" s="5"/>
      <c r="H1871" s="5">
        <v>2433</v>
      </c>
    </row>
    <row r="1872" spans="1:8">
      <c r="A1872" s="5">
        <v>2023</v>
      </c>
      <c r="B1872" s="6">
        <v>44958</v>
      </c>
      <c r="C1872" s="5" t="s">
        <v>47</v>
      </c>
      <c r="D1872" s="3" t="str" cm="1">
        <f t="array" ref="D1872">_xlfn.IFS(
 ISNUMBER(SEARCH("WHISK",C1872)),"Whiskey",
 ISNUMBER(SEARCH("BOURBON",C1872)),"Whiskey",
 ISNUMBER(SEARCH("SCOTCH",C1872)),"Whiskey",
 ISNUMBER(SEARCH("RYE",C1872)),"Whiskey",
 ISNUMBER(SEARCH("VODKA",C1872)),"Vodka",
 ISNUMBER(SEARCH("TEQUILA",C1872)),"Tequila/Mezcal",
 ISNUMBER(SEARCH("MEZCAL",C1872)),"Tequila/Mezcal",
 ISNUMBER(SEARCH("RUM",C1872)),"Rum",
 ISNUMBER(SEARCH("BRAND",C1872)),"Brandy",
 ISNUMBER(SEARCH("COGNAC",C1872)),"Brandy",
 ISNUMBER(SEARCH("LIQUEUR",C1872)),"Liqueurs",
 ISNUMBER(SEARCH("CORDIAL",C1872)),"Liqueurs",
 ISNUMBER(SEARCH("SCHNAPP",C1872)),"Liqueurs",
 ISNUMBER(SEARCH("GIN",C1872)),"Gin",
 TRUE,"Other")</f>
        <v>Other</v>
      </c>
      <c r="E1872" s="5">
        <v>14578</v>
      </c>
      <c r="F1872" s="5">
        <v>59981.739999999983</v>
      </c>
      <c r="G1872" s="5"/>
      <c r="H1872" s="5">
        <v>595</v>
      </c>
    </row>
    <row r="1873" spans="1:8">
      <c r="A1873" s="5">
        <v>2023</v>
      </c>
      <c r="B1873" s="6">
        <v>44958</v>
      </c>
      <c r="C1873" s="5" t="s">
        <v>49</v>
      </c>
      <c r="D1873" s="3" t="str" cm="1">
        <f t="array" ref="D1873">_xlfn.IFS(
 ISNUMBER(SEARCH("WHISK",C1873)),"Whiskey",
 ISNUMBER(SEARCH("BOURBON",C1873)),"Whiskey",
 ISNUMBER(SEARCH("SCOTCH",C1873)),"Whiskey",
 ISNUMBER(SEARCH("RYE",C1873)),"Whiskey",
 ISNUMBER(SEARCH("VODKA",C1873)),"Vodka",
 ISNUMBER(SEARCH("TEQUILA",C1873)),"Tequila/Mezcal",
 ISNUMBER(SEARCH("MEZCAL",C1873)),"Tequila/Mezcal",
 ISNUMBER(SEARCH("RUM",C1873)),"Rum",
 ISNUMBER(SEARCH("BRAND",C1873)),"Brandy",
 ISNUMBER(SEARCH("COGNAC",C1873)),"Brandy",
 ISNUMBER(SEARCH("LIQUEUR",C1873)),"Liqueurs",
 ISNUMBER(SEARCH("CORDIAL",C1873)),"Liqueurs",
 ISNUMBER(SEARCH("SCHNAPP",C1873)),"Liqueurs",
 ISNUMBER(SEARCH("GIN",C1873)),"Gin",
 TRUE,"Other")</f>
        <v>Rum</v>
      </c>
      <c r="E1873" s="5">
        <v>36499</v>
      </c>
      <c r="F1873" s="5">
        <v>444563.5099999985</v>
      </c>
      <c r="G1873" s="5"/>
      <c r="H1873" s="5">
        <v>3120</v>
      </c>
    </row>
    <row r="1874" spans="1:8">
      <c r="A1874" s="5">
        <v>2023</v>
      </c>
      <c r="B1874" s="6">
        <v>44958</v>
      </c>
      <c r="C1874" s="5" t="s">
        <v>25</v>
      </c>
      <c r="D1874" s="3" t="str" cm="1">
        <f t="array" ref="D1874">_xlfn.IFS(
 ISNUMBER(SEARCH("WHISK",C1874)),"Whiskey",
 ISNUMBER(SEARCH("BOURBON",C1874)),"Whiskey",
 ISNUMBER(SEARCH("SCOTCH",C1874)),"Whiskey",
 ISNUMBER(SEARCH("RYE",C1874)),"Whiskey",
 ISNUMBER(SEARCH("VODKA",C1874)),"Vodka",
 ISNUMBER(SEARCH("TEQUILA",C1874)),"Tequila/Mezcal",
 ISNUMBER(SEARCH("MEZCAL",C1874)),"Tequila/Mezcal",
 ISNUMBER(SEARCH("RUM",C1874)),"Rum",
 ISNUMBER(SEARCH("BRAND",C1874)),"Brandy",
 ISNUMBER(SEARCH("COGNAC",C1874)),"Brandy",
 ISNUMBER(SEARCH("LIQUEUR",C1874)),"Liqueurs",
 ISNUMBER(SEARCH("CORDIAL",C1874)),"Liqueurs",
 ISNUMBER(SEARCH("SCHNAPP",C1874)),"Liqueurs",
 ISNUMBER(SEARCH("GIN",C1874)),"Gin",
 TRUE,"Other")</f>
        <v>Rum</v>
      </c>
      <c r="E1874" s="5">
        <v>5811</v>
      </c>
      <c r="F1874" s="5">
        <v>80816.259999999733</v>
      </c>
      <c r="G1874" s="5"/>
      <c r="H1874" s="5">
        <v>824</v>
      </c>
    </row>
    <row r="1875" spans="1:8">
      <c r="A1875" s="5">
        <v>2023</v>
      </c>
      <c r="B1875" s="6">
        <v>44958</v>
      </c>
      <c r="C1875" s="5" t="s">
        <v>21</v>
      </c>
      <c r="D1875" s="3" t="str" cm="1">
        <f t="array" ref="D1875">_xlfn.IFS(
 ISNUMBER(SEARCH("WHISK",C1875)),"Whiskey",
 ISNUMBER(SEARCH("BOURBON",C1875)),"Whiskey",
 ISNUMBER(SEARCH("SCOTCH",C1875)),"Whiskey",
 ISNUMBER(SEARCH("RYE",C1875)),"Whiskey",
 ISNUMBER(SEARCH("VODKA",C1875)),"Vodka",
 ISNUMBER(SEARCH("TEQUILA",C1875)),"Tequila/Mezcal",
 ISNUMBER(SEARCH("MEZCAL",C1875)),"Tequila/Mezcal",
 ISNUMBER(SEARCH("RUM",C1875)),"Rum",
 ISNUMBER(SEARCH("BRAND",C1875)),"Brandy",
 ISNUMBER(SEARCH("COGNAC",C1875)),"Brandy",
 ISNUMBER(SEARCH("LIQUEUR",C1875)),"Liqueurs",
 ISNUMBER(SEARCH("CORDIAL",C1875)),"Liqueurs",
 ISNUMBER(SEARCH("SCHNAPP",C1875)),"Liqueurs",
 ISNUMBER(SEARCH("GIN",C1875)),"Gin",
 TRUE,"Other")</f>
        <v>Whiskey</v>
      </c>
      <c r="E1875" s="5">
        <v>682</v>
      </c>
      <c r="F1875" s="5">
        <v>15666.400000000001</v>
      </c>
      <c r="G1875" s="5"/>
      <c r="H1875" s="5">
        <v>112</v>
      </c>
    </row>
    <row r="1876" spans="1:8">
      <c r="A1876" s="5">
        <v>2023</v>
      </c>
      <c r="B1876" s="6">
        <v>44958</v>
      </c>
      <c r="C1876" s="5" t="s">
        <v>23</v>
      </c>
      <c r="D1876" s="3" t="str" cm="1">
        <f t="array" ref="D1876">_xlfn.IFS(
 ISNUMBER(SEARCH("WHISK",C1876)),"Whiskey",
 ISNUMBER(SEARCH("BOURBON",C1876)),"Whiskey",
 ISNUMBER(SEARCH("SCOTCH",C1876)),"Whiskey",
 ISNUMBER(SEARCH("RYE",C1876)),"Whiskey",
 ISNUMBER(SEARCH("VODKA",C1876)),"Vodka",
 ISNUMBER(SEARCH("TEQUILA",C1876)),"Tequila/Mezcal",
 ISNUMBER(SEARCH("MEZCAL",C1876)),"Tequila/Mezcal",
 ISNUMBER(SEARCH("RUM",C1876)),"Rum",
 ISNUMBER(SEARCH("BRAND",C1876)),"Brandy",
 ISNUMBER(SEARCH("COGNAC",C1876)),"Brandy",
 ISNUMBER(SEARCH("LIQUEUR",C1876)),"Liqueurs",
 ISNUMBER(SEARCH("CORDIAL",C1876)),"Liqueurs",
 ISNUMBER(SEARCH("SCHNAPP",C1876)),"Liqueurs",
 ISNUMBER(SEARCH("GIN",C1876)),"Gin",
 TRUE,"Other")</f>
        <v>Gin</v>
      </c>
      <c r="E1876" s="5">
        <v>2089</v>
      </c>
      <c r="F1876" s="5">
        <v>51793.369999999974</v>
      </c>
      <c r="G1876" s="5"/>
      <c r="H1876" s="5">
        <v>254</v>
      </c>
    </row>
    <row r="1877" spans="1:8">
      <c r="A1877" s="5">
        <v>2023</v>
      </c>
      <c r="B1877" s="6">
        <v>44958</v>
      </c>
      <c r="C1877" s="5" t="s">
        <v>34</v>
      </c>
      <c r="D1877" s="3" t="str" cm="1">
        <f t="array" ref="D1877">_xlfn.IFS(
 ISNUMBER(SEARCH("WHISK",C1877)),"Whiskey",
 ISNUMBER(SEARCH("BOURBON",C1877)),"Whiskey",
 ISNUMBER(SEARCH("SCOTCH",C1877)),"Whiskey",
 ISNUMBER(SEARCH("RYE",C1877)),"Whiskey",
 ISNUMBER(SEARCH("VODKA",C1877)),"Vodka",
 ISNUMBER(SEARCH("TEQUILA",C1877)),"Tequila/Mezcal",
 ISNUMBER(SEARCH("MEZCAL",C1877)),"Tequila/Mezcal",
 ISNUMBER(SEARCH("RUM",C1877)),"Rum",
 ISNUMBER(SEARCH("BRAND",C1877)),"Brandy",
 ISNUMBER(SEARCH("COGNAC",C1877)),"Brandy",
 ISNUMBER(SEARCH("LIQUEUR",C1877)),"Liqueurs",
 ISNUMBER(SEARCH("CORDIAL",C1877)),"Liqueurs",
 ISNUMBER(SEARCH("SCHNAPP",C1877)),"Liqueurs",
 ISNUMBER(SEARCH("GIN",C1877)),"Gin",
 TRUE,"Other")</f>
        <v>Tequila/Mezcal</v>
      </c>
      <c r="E1877" s="5">
        <v>1055</v>
      </c>
      <c r="F1877" s="5">
        <v>34437.169999999969</v>
      </c>
      <c r="G1877" s="5"/>
      <c r="H1877" s="5">
        <v>214</v>
      </c>
    </row>
    <row r="1878" spans="1:8">
      <c r="A1878" s="5">
        <v>2023</v>
      </c>
      <c r="B1878" s="6">
        <v>44958</v>
      </c>
      <c r="C1878" s="5" t="s">
        <v>41</v>
      </c>
      <c r="D1878" s="3" t="str" cm="1">
        <f t="array" ref="D1878">_xlfn.IFS(
 ISNUMBER(SEARCH("WHISK",C1878)),"Whiskey",
 ISNUMBER(SEARCH("BOURBON",C1878)),"Whiskey",
 ISNUMBER(SEARCH("SCOTCH",C1878)),"Whiskey",
 ISNUMBER(SEARCH("RYE",C1878)),"Whiskey",
 ISNUMBER(SEARCH("VODKA",C1878)),"Vodka",
 ISNUMBER(SEARCH("TEQUILA",C1878)),"Tequila/Mezcal",
 ISNUMBER(SEARCH("MEZCAL",C1878)),"Tequila/Mezcal",
 ISNUMBER(SEARCH("RUM",C1878)),"Rum",
 ISNUMBER(SEARCH("BRAND",C1878)),"Brandy",
 ISNUMBER(SEARCH("COGNAC",C1878)),"Brandy",
 ISNUMBER(SEARCH("LIQUEUR",C1878)),"Liqueurs",
 ISNUMBER(SEARCH("CORDIAL",C1878)),"Liqueurs",
 ISNUMBER(SEARCH("SCHNAPP",C1878)),"Liqueurs",
 ISNUMBER(SEARCH("GIN",C1878)),"Gin",
 TRUE,"Other")</f>
        <v>Other</v>
      </c>
      <c r="E1878" s="5">
        <v>8817</v>
      </c>
      <c r="F1878" s="5">
        <v>119261.05000000003</v>
      </c>
      <c r="G1878" s="5"/>
      <c r="H1878" s="5">
        <v>188</v>
      </c>
    </row>
    <row r="1879" spans="1:8">
      <c r="A1879" s="5">
        <v>2023</v>
      </c>
      <c r="B1879" s="6">
        <v>44958</v>
      </c>
      <c r="C1879" s="5" t="s">
        <v>14</v>
      </c>
      <c r="D1879" s="3" t="str" cm="1">
        <f t="array" ref="D1879">_xlfn.IFS(
 ISNUMBER(SEARCH("WHISK",C1879)),"Whiskey",
 ISNUMBER(SEARCH("BOURBON",C1879)),"Whiskey",
 ISNUMBER(SEARCH("SCOTCH",C1879)),"Whiskey",
 ISNUMBER(SEARCH("RYE",C1879)),"Whiskey",
 ISNUMBER(SEARCH("VODKA",C1879)),"Vodka",
 ISNUMBER(SEARCH("TEQUILA",C1879)),"Tequila/Mezcal",
 ISNUMBER(SEARCH("MEZCAL",C1879)),"Tequila/Mezcal",
 ISNUMBER(SEARCH("RUM",C1879)),"Rum",
 ISNUMBER(SEARCH("BRAND",C1879)),"Brandy",
 ISNUMBER(SEARCH("COGNAC",C1879)),"Brandy",
 ISNUMBER(SEARCH("LIQUEUR",C1879)),"Liqueurs",
 ISNUMBER(SEARCH("CORDIAL",C1879)),"Liqueurs",
 ISNUMBER(SEARCH("SCHNAPP",C1879)),"Liqueurs",
 ISNUMBER(SEARCH("GIN",C1879)),"Gin",
 TRUE,"Other")</f>
        <v>Gin</v>
      </c>
      <c r="E1879" s="5">
        <v>269</v>
      </c>
      <c r="F1879" s="5">
        <v>2297.2599999999989</v>
      </c>
      <c r="G1879" s="5"/>
      <c r="H1879" s="5">
        <v>47</v>
      </c>
    </row>
    <row r="1880" spans="1:8">
      <c r="A1880" s="5">
        <v>2023</v>
      </c>
      <c r="B1880" s="6">
        <v>44986</v>
      </c>
      <c r="C1880" s="5" t="s">
        <v>50</v>
      </c>
      <c r="D1880" s="3" t="str" cm="1">
        <f t="array" ref="D1880">_xlfn.IFS(
 ISNUMBER(SEARCH("WHISK",C1880)),"Whiskey",
 ISNUMBER(SEARCH("BOURBON",C1880)),"Whiskey",
 ISNUMBER(SEARCH("SCOTCH",C1880)),"Whiskey",
 ISNUMBER(SEARCH("RYE",C1880)),"Whiskey",
 ISNUMBER(SEARCH("VODKA",C1880)),"Vodka",
 ISNUMBER(SEARCH("TEQUILA",C1880)),"Tequila/Mezcal",
 ISNUMBER(SEARCH("MEZCAL",C1880)),"Tequila/Mezcal",
 ISNUMBER(SEARCH("RUM",C1880)),"Rum",
 ISNUMBER(SEARCH("BRAND",C1880)),"Brandy",
 ISNUMBER(SEARCH("COGNAC",C1880)),"Brandy",
 ISNUMBER(SEARCH("LIQUEUR",C1880)),"Liqueurs",
 ISNUMBER(SEARCH("CORDIAL",C1880)),"Liqueurs",
 ISNUMBER(SEARCH("SCHNAPP",C1880)),"Liqueurs",
 ISNUMBER(SEARCH("GIN",C1880)),"Gin",
 TRUE,"Other")</f>
        <v>Tequila/Mezcal</v>
      </c>
      <c r="E1880" s="5">
        <v>76252</v>
      </c>
      <c r="F1880" s="5">
        <v>2181606.4199999524</v>
      </c>
      <c r="G1880" s="5"/>
      <c r="H1880" s="5">
        <v>9814</v>
      </c>
    </row>
    <row r="1881" spans="1:8">
      <c r="A1881" s="5">
        <v>2023</v>
      </c>
      <c r="B1881" s="6">
        <v>44986</v>
      </c>
      <c r="C1881" s="5" t="s">
        <v>43</v>
      </c>
      <c r="D1881" s="3" t="str" cm="1">
        <f t="array" ref="D1881">_xlfn.IFS(
 ISNUMBER(SEARCH("WHISK",C1881)),"Whiskey",
 ISNUMBER(SEARCH("BOURBON",C1881)),"Whiskey",
 ISNUMBER(SEARCH("SCOTCH",C1881)),"Whiskey",
 ISNUMBER(SEARCH("RYE",C1881)),"Whiskey",
 ISNUMBER(SEARCH("VODKA",C1881)),"Vodka",
 ISNUMBER(SEARCH("TEQUILA",C1881)),"Tequila/Mezcal",
 ISNUMBER(SEARCH("MEZCAL",C1881)),"Tequila/Mezcal",
 ISNUMBER(SEARCH("RUM",C1881)),"Rum",
 ISNUMBER(SEARCH("BRAND",C1881)),"Brandy",
 ISNUMBER(SEARCH("COGNAC",C1881)),"Brandy",
 ISNUMBER(SEARCH("LIQUEUR",C1881)),"Liqueurs",
 ISNUMBER(SEARCH("CORDIAL",C1881)),"Liqueurs",
 ISNUMBER(SEARCH("SCHNAPP",C1881)),"Liqueurs",
 ISNUMBER(SEARCH("GIN",C1881)),"Gin",
 TRUE,"Other")</f>
        <v>Whiskey</v>
      </c>
      <c r="E1881" s="5">
        <v>136444</v>
      </c>
      <c r="F1881" s="5">
        <v>2972285.7100000088</v>
      </c>
      <c r="G1881" s="5"/>
      <c r="H1881" s="5">
        <v>16953</v>
      </c>
    </row>
    <row r="1882" spans="1:8">
      <c r="A1882" s="5">
        <v>2023</v>
      </c>
      <c r="B1882" s="6">
        <v>44986</v>
      </c>
      <c r="C1882" s="5" t="s">
        <v>15</v>
      </c>
      <c r="D1882" s="3" t="str" cm="1">
        <f t="array" ref="D1882">_xlfn.IFS(
 ISNUMBER(SEARCH("WHISK",C1882)),"Whiskey",
 ISNUMBER(SEARCH("BOURBON",C1882)),"Whiskey",
 ISNUMBER(SEARCH("SCOTCH",C1882)),"Whiskey",
 ISNUMBER(SEARCH("RYE",C1882)),"Whiskey",
 ISNUMBER(SEARCH("VODKA",C1882)),"Vodka",
 ISNUMBER(SEARCH("TEQUILA",C1882)),"Tequila/Mezcal",
 ISNUMBER(SEARCH("MEZCAL",C1882)),"Tequila/Mezcal",
 ISNUMBER(SEARCH("RUM",C1882)),"Rum",
 ISNUMBER(SEARCH("BRAND",C1882)),"Brandy",
 ISNUMBER(SEARCH("COGNAC",C1882)),"Brandy",
 ISNUMBER(SEARCH("LIQUEUR",C1882)),"Liqueurs",
 ISNUMBER(SEARCH("CORDIAL",C1882)),"Liqueurs",
 ISNUMBER(SEARCH("SCHNAPP",C1882)),"Liqueurs",
 ISNUMBER(SEARCH("GIN",C1882)),"Gin",
 TRUE,"Other")</f>
        <v>Vodka</v>
      </c>
      <c r="E1882" s="5">
        <v>542318</v>
      </c>
      <c r="F1882" s="5">
        <v>5396873.2699996969</v>
      </c>
      <c r="G1882" s="5"/>
      <c r="H1882" s="5">
        <v>35325</v>
      </c>
    </row>
    <row r="1883" spans="1:8">
      <c r="A1883" s="5">
        <v>2023</v>
      </c>
      <c r="B1883" s="6">
        <v>44986</v>
      </c>
      <c r="C1883" s="5" t="s">
        <v>16</v>
      </c>
      <c r="D1883" s="3" t="str" cm="1">
        <f t="array" ref="D1883">_xlfn.IFS(
 ISNUMBER(SEARCH("WHISK",C1883)),"Whiskey",
 ISNUMBER(SEARCH("BOURBON",C1883)),"Whiskey",
 ISNUMBER(SEARCH("SCOTCH",C1883)),"Whiskey",
 ISNUMBER(SEARCH("RYE",C1883)),"Whiskey",
 ISNUMBER(SEARCH("VODKA",C1883)),"Vodka",
 ISNUMBER(SEARCH("TEQUILA",C1883)),"Tequila/Mezcal",
 ISNUMBER(SEARCH("MEZCAL",C1883)),"Tequila/Mezcal",
 ISNUMBER(SEARCH("RUM",C1883)),"Rum",
 ISNUMBER(SEARCH("BRAND",C1883)),"Brandy",
 ISNUMBER(SEARCH("COGNAC",C1883)),"Brandy",
 ISNUMBER(SEARCH("LIQUEUR",C1883)),"Liqueurs",
 ISNUMBER(SEARCH("CORDIAL",C1883)),"Liqueurs",
 ISNUMBER(SEARCH("SCHNAPP",C1883)),"Liqueurs",
 ISNUMBER(SEARCH("GIN",C1883)),"Gin",
 TRUE,"Other")</f>
        <v>Whiskey</v>
      </c>
      <c r="E1883" s="5">
        <v>73979</v>
      </c>
      <c r="F1883" s="5">
        <v>883773.99999999802</v>
      </c>
      <c r="G1883" s="5"/>
      <c r="H1883" s="5">
        <v>7848</v>
      </c>
    </row>
    <row r="1884" spans="1:8">
      <c r="A1884" s="5">
        <v>2023</v>
      </c>
      <c r="B1884" s="6">
        <v>44986</v>
      </c>
      <c r="C1884" s="5" t="s">
        <v>18</v>
      </c>
      <c r="D1884" s="3" t="str" cm="1">
        <f t="array" ref="D1884">_xlfn.IFS(
 ISNUMBER(SEARCH("WHISK",C1884)),"Whiskey",
 ISNUMBER(SEARCH("BOURBON",C1884)),"Whiskey",
 ISNUMBER(SEARCH("SCOTCH",C1884)),"Whiskey",
 ISNUMBER(SEARCH("RYE",C1884)),"Whiskey",
 ISNUMBER(SEARCH("VODKA",C1884)),"Vodka",
 ISNUMBER(SEARCH("TEQUILA",C1884)),"Tequila/Mezcal",
 ISNUMBER(SEARCH("MEZCAL",C1884)),"Tequila/Mezcal",
 ISNUMBER(SEARCH("RUM",C1884)),"Rum",
 ISNUMBER(SEARCH("BRAND",C1884)),"Brandy",
 ISNUMBER(SEARCH("COGNAC",C1884)),"Brandy",
 ISNUMBER(SEARCH("LIQUEUR",C1884)),"Liqueurs",
 ISNUMBER(SEARCH("CORDIAL",C1884)),"Liqueurs",
 ISNUMBER(SEARCH("SCHNAPP",C1884)),"Liqueurs",
 ISNUMBER(SEARCH("GIN",C1884)),"Gin",
 TRUE,"Other")</f>
        <v>Whiskey</v>
      </c>
      <c r="E1884" s="5">
        <v>236618</v>
      </c>
      <c r="F1884" s="5">
        <v>3764684.3999997983</v>
      </c>
      <c r="G1884" s="5"/>
      <c r="H1884" s="5">
        <v>21676</v>
      </c>
    </row>
    <row r="1885" spans="1:8">
      <c r="A1885" s="5">
        <v>2023</v>
      </c>
      <c r="B1885" s="6">
        <v>44986</v>
      </c>
      <c r="C1885" s="5" t="s">
        <v>19</v>
      </c>
      <c r="D1885" s="3" t="str" cm="1">
        <f t="array" ref="D1885">_xlfn.IFS(
 ISNUMBER(SEARCH("WHISK",C1885)),"Whiskey",
 ISNUMBER(SEARCH("BOURBON",C1885)),"Whiskey",
 ISNUMBER(SEARCH("SCOTCH",C1885)),"Whiskey",
 ISNUMBER(SEARCH("RYE",C1885)),"Whiskey",
 ISNUMBER(SEARCH("VODKA",C1885)),"Vodka",
 ISNUMBER(SEARCH("TEQUILA",C1885)),"Tequila/Mezcal",
 ISNUMBER(SEARCH("MEZCAL",C1885)),"Tequila/Mezcal",
 ISNUMBER(SEARCH("RUM",C1885)),"Rum",
 ISNUMBER(SEARCH("BRAND",C1885)),"Brandy",
 ISNUMBER(SEARCH("COGNAC",C1885)),"Brandy",
 ISNUMBER(SEARCH("LIQUEUR",C1885)),"Liqueurs",
 ISNUMBER(SEARCH("CORDIAL",C1885)),"Liqueurs",
 ISNUMBER(SEARCH("SCHNAPP",C1885)),"Liqueurs",
 ISNUMBER(SEARCH("GIN",C1885)),"Gin",
 TRUE,"Other")</f>
        <v>Other</v>
      </c>
      <c r="E1885" s="5">
        <v>53359</v>
      </c>
      <c r="F1885" s="5">
        <v>621359.60999999021</v>
      </c>
      <c r="G1885" s="5"/>
      <c r="H1885" s="5">
        <v>6100</v>
      </c>
    </row>
    <row r="1886" spans="1:8">
      <c r="A1886" s="5">
        <v>2023</v>
      </c>
      <c r="B1886" s="6">
        <v>44986</v>
      </c>
      <c r="C1886" s="5" t="s">
        <v>24</v>
      </c>
      <c r="D1886" s="3" t="str" cm="1">
        <f t="array" ref="D1886">_xlfn.IFS(
 ISNUMBER(SEARCH("WHISK",C1886)),"Whiskey",
 ISNUMBER(SEARCH("BOURBON",C1886)),"Whiskey",
 ISNUMBER(SEARCH("SCOTCH",C1886)),"Whiskey",
 ISNUMBER(SEARCH("RYE",C1886)),"Whiskey",
 ISNUMBER(SEARCH("VODKA",C1886)),"Vodka",
 ISNUMBER(SEARCH("TEQUILA",C1886)),"Tequila/Mezcal",
 ISNUMBER(SEARCH("MEZCAL",C1886)),"Tequila/Mezcal",
 ISNUMBER(SEARCH("RUM",C1886)),"Rum",
 ISNUMBER(SEARCH("BRAND",C1886)),"Brandy",
 ISNUMBER(SEARCH("COGNAC",C1886)),"Brandy",
 ISNUMBER(SEARCH("LIQUEUR",C1886)),"Liqueurs",
 ISNUMBER(SEARCH("CORDIAL",C1886)),"Liqueurs",
 ISNUMBER(SEARCH("SCHNAPP",C1886)),"Liqueurs",
 ISNUMBER(SEARCH("GIN",C1886)),"Gin",
 TRUE,"Other")</f>
        <v>Rum</v>
      </c>
      <c r="E1886" s="5">
        <v>46298</v>
      </c>
      <c r="F1886" s="5">
        <v>714384.61999999464</v>
      </c>
      <c r="G1886" s="5"/>
      <c r="H1886" s="5">
        <v>4712</v>
      </c>
    </row>
    <row r="1887" spans="1:8">
      <c r="A1887" s="5">
        <v>2023</v>
      </c>
      <c r="B1887" s="6">
        <v>44986</v>
      </c>
      <c r="C1887" s="5" t="s">
        <v>30</v>
      </c>
      <c r="D1887" s="3" t="str" cm="1">
        <f t="array" ref="D1887">_xlfn.IFS(
 ISNUMBER(SEARCH("WHISK",C1887)),"Whiskey",
 ISNUMBER(SEARCH("BOURBON",C1887)),"Whiskey",
 ISNUMBER(SEARCH("SCOTCH",C1887)),"Whiskey",
 ISNUMBER(SEARCH("RYE",C1887)),"Whiskey",
 ISNUMBER(SEARCH("VODKA",C1887)),"Vodka",
 ISNUMBER(SEARCH("TEQUILA",C1887)),"Tequila/Mezcal",
 ISNUMBER(SEARCH("MEZCAL",C1887)),"Tequila/Mezcal",
 ISNUMBER(SEARCH("RUM",C1887)),"Rum",
 ISNUMBER(SEARCH("BRAND",C1887)),"Brandy",
 ISNUMBER(SEARCH("COGNAC",C1887)),"Brandy",
 ISNUMBER(SEARCH("LIQUEUR",C1887)),"Liqueurs",
 ISNUMBER(SEARCH("CORDIAL",C1887)),"Liqueurs",
 ISNUMBER(SEARCH("SCHNAPP",C1887)),"Liqueurs",
 ISNUMBER(SEARCH("GIN",C1887)),"Gin",
 TRUE,"Other")</f>
        <v>Vodka</v>
      </c>
      <c r="E1887" s="5">
        <v>22460</v>
      </c>
      <c r="F1887" s="5">
        <v>396348.12999999971</v>
      </c>
      <c r="G1887" s="5"/>
      <c r="H1887" s="5">
        <v>2898</v>
      </c>
    </row>
    <row r="1888" spans="1:8">
      <c r="A1888" s="5">
        <v>2023</v>
      </c>
      <c r="B1888" s="6">
        <v>44986</v>
      </c>
      <c r="C1888" s="5" t="s">
        <v>33</v>
      </c>
      <c r="D1888" s="3" t="str" cm="1">
        <f t="array" ref="D1888">_xlfn.IFS(
 ISNUMBER(SEARCH("WHISK",C1888)),"Whiskey",
 ISNUMBER(SEARCH("BOURBON",C1888)),"Whiskey",
 ISNUMBER(SEARCH("SCOTCH",C1888)),"Whiskey",
 ISNUMBER(SEARCH("RYE",C1888)),"Whiskey",
 ISNUMBER(SEARCH("VODKA",C1888)),"Vodka",
 ISNUMBER(SEARCH("TEQUILA",C1888)),"Tequila/Mezcal",
 ISNUMBER(SEARCH("MEZCAL",C1888)),"Tequila/Mezcal",
 ISNUMBER(SEARCH("RUM",C1888)),"Rum",
 ISNUMBER(SEARCH("BRAND",C1888)),"Brandy",
 ISNUMBER(SEARCH("COGNAC",C1888)),"Brandy",
 ISNUMBER(SEARCH("LIQUEUR",C1888)),"Liqueurs",
 ISNUMBER(SEARCH("CORDIAL",C1888)),"Liqueurs",
 ISNUMBER(SEARCH("SCHNAPP",C1888)),"Liqueurs",
 ISNUMBER(SEARCH("GIN",C1888)),"Gin",
 TRUE,"Other")</f>
        <v>Whiskey</v>
      </c>
      <c r="E1888" s="5">
        <v>37499</v>
      </c>
      <c r="F1888" s="5">
        <v>1050281.5099999725</v>
      </c>
      <c r="G1888" s="5"/>
      <c r="H1888" s="5">
        <v>3372</v>
      </c>
    </row>
    <row r="1889" spans="1:8">
      <c r="A1889" s="5">
        <v>2023</v>
      </c>
      <c r="B1889" s="6">
        <v>44986</v>
      </c>
      <c r="C1889" s="5" t="s">
        <v>44</v>
      </c>
      <c r="D1889" s="3" t="str" cm="1">
        <f t="array" ref="D1889">_xlfn.IFS(
 ISNUMBER(SEARCH("WHISK",C1889)),"Whiskey",
 ISNUMBER(SEARCH("BOURBON",C1889)),"Whiskey",
 ISNUMBER(SEARCH("SCOTCH",C1889)),"Whiskey",
 ISNUMBER(SEARCH("RYE",C1889)),"Whiskey",
 ISNUMBER(SEARCH("VODKA",C1889)),"Vodka",
 ISNUMBER(SEARCH("TEQUILA",C1889)),"Tequila/Mezcal",
 ISNUMBER(SEARCH("MEZCAL",C1889)),"Tequila/Mezcal",
 ISNUMBER(SEARCH("RUM",C1889)),"Rum",
 ISNUMBER(SEARCH("BRAND",C1889)),"Brandy",
 ISNUMBER(SEARCH("COGNAC",C1889)),"Brandy",
 ISNUMBER(SEARCH("LIQUEUR",C1889)),"Liqueurs",
 ISNUMBER(SEARCH("CORDIAL",C1889)),"Liqueurs",
 ISNUMBER(SEARCH("SCHNAPP",C1889)),"Liqueurs",
 ISNUMBER(SEARCH("GIN",C1889)),"Gin",
 TRUE,"Other")</f>
        <v>Whiskey</v>
      </c>
      <c r="E1889" s="5">
        <v>10876</v>
      </c>
      <c r="F1889" s="5">
        <v>341344.2200000016</v>
      </c>
      <c r="G1889" s="5"/>
      <c r="H1889" s="5">
        <v>1934</v>
      </c>
    </row>
    <row r="1890" spans="1:8">
      <c r="A1890" s="5">
        <v>2023</v>
      </c>
      <c r="B1890" s="6">
        <v>44986</v>
      </c>
      <c r="C1890" s="5" t="s">
        <v>46</v>
      </c>
      <c r="D1890" s="3" t="str" cm="1">
        <f t="array" ref="D1890">_xlfn.IFS(
 ISNUMBER(SEARCH("WHISK",C1890)),"Whiskey",
 ISNUMBER(SEARCH("BOURBON",C1890)),"Whiskey",
 ISNUMBER(SEARCH("SCOTCH",C1890)),"Whiskey",
 ISNUMBER(SEARCH("RYE",C1890)),"Whiskey",
 ISNUMBER(SEARCH("VODKA",C1890)),"Vodka",
 ISNUMBER(SEARCH("TEQUILA",C1890)),"Tequila/Mezcal",
 ISNUMBER(SEARCH("MEZCAL",C1890)),"Tequila/Mezcal",
 ISNUMBER(SEARCH("RUM",C1890)),"Rum",
 ISNUMBER(SEARCH("BRAND",C1890)),"Brandy",
 ISNUMBER(SEARCH("COGNAC",C1890)),"Brandy",
 ISNUMBER(SEARCH("LIQUEUR",C1890)),"Liqueurs",
 ISNUMBER(SEARCH("CORDIAL",C1890)),"Liqueurs",
 ISNUMBER(SEARCH("SCHNAPP",C1890)),"Liqueurs",
 ISNUMBER(SEARCH("GIN",C1890)),"Gin",
 TRUE,"Other")</f>
        <v>Whiskey</v>
      </c>
      <c r="E1890" s="5">
        <v>63484</v>
      </c>
      <c r="F1890" s="5">
        <v>1433893.5799999703</v>
      </c>
      <c r="G1890" s="5"/>
      <c r="H1890" s="5">
        <v>6630</v>
      </c>
    </row>
    <row r="1891" spans="1:8">
      <c r="A1891" s="5">
        <v>2023</v>
      </c>
      <c r="B1891" s="6">
        <v>44986</v>
      </c>
      <c r="C1891" s="5" t="s">
        <v>8</v>
      </c>
      <c r="D1891" s="3" t="str" cm="1">
        <f t="array" ref="D1891">_xlfn.IFS(
 ISNUMBER(SEARCH("WHISK",C1891)),"Whiskey",
 ISNUMBER(SEARCH("BOURBON",C1891)),"Whiskey",
 ISNUMBER(SEARCH("SCOTCH",C1891)),"Whiskey",
 ISNUMBER(SEARCH("RYE",C1891)),"Whiskey",
 ISNUMBER(SEARCH("VODKA",C1891)),"Vodka",
 ISNUMBER(SEARCH("TEQUILA",C1891)),"Tequila/Mezcal",
 ISNUMBER(SEARCH("MEZCAL",C1891)),"Tequila/Mezcal",
 ISNUMBER(SEARCH("RUM",C1891)),"Rum",
 ISNUMBER(SEARCH("BRAND",C1891)),"Brandy",
 ISNUMBER(SEARCH("COGNAC",C1891)),"Brandy",
 ISNUMBER(SEARCH("LIQUEUR",C1891)),"Liqueurs",
 ISNUMBER(SEARCH("CORDIAL",C1891)),"Liqueurs",
 ISNUMBER(SEARCH("SCHNAPP",C1891)),"Liqueurs",
 ISNUMBER(SEARCH("GIN",C1891)),"Gin",
 TRUE,"Other")</f>
        <v>Brandy</v>
      </c>
      <c r="E1891" s="5">
        <v>62739</v>
      </c>
      <c r="F1891" s="5">
        <v>413397.15000000235</v>
      </c>
      <c r="G1891" s="5"/>
      <c r="H1891" s="5">
        <v>5314</v>
      </c>
    </row>
    <row r="1892" spans="1:8">
      <c r="A1892" s="5">
        <v>2023</v>
      </c>
      <c r="B1892" s="6">
        <v>44986</v>
      </c>
      <c r="C1892" s="5" t="s">
        <v>59</v>
      </c>
      <c r="D1892" s="3" t="str" cm="1">
        <f t="array" ref="D1892">_xlfn.IFS(
 ISNUMBER(SEARCH("WHISK",C1892)),"Whiskey",
 ISNUMBER(SEARCH("BOURBON",C1892)),"Whiskey",
 ISNUMBER(SEARCH("SCOTCH",C1892)),"Whiskey",
 ISNUMBER(SEARCH("RYE",C1892)),"Whiskey",
 ISNUMBER(SEARCH("VODKA",C1892)),"Vodka",
 ISNUMBER(SEARCH("TEQUILA",C1892)),"Tequila/Mezcal",
 ISNUMBER(SEARCH("MEZCAL",C1892)),"Tequila/Mezcal",
 ISNUMBER(SEARCH("RUM",C1892)),"Rum",
 ISNUMBER(SEARCH("BRAND",C1892)),"Brandy",
 ISNUMBER(SEARCH("COGNAC",C1892)),"Brandy",
 ISNUMBER(SEARCH("LIQUEUR",C1892)),"Liqueurs",
 ISNUMBER(SEARCH("CORDIAL",C1892)),"Liqueurs",
 ISNUMBER(SEARCH("SCHNAPP",C1892)),"Liqueurs",
 ISNUMBER(SEARCH("GIN",C1892)),"Gin",
 TRUE,"Other")</f>
        <v>Liqueurs</v>
      </c>
      <c r="E1892" s="5">
        <v>36659</v>
      </c>
      <c r="F1892" s="5">
        <v>346523.46000000596</v>
      </c>
      <c r="G1892" s="5"/>
      <c r="H1892" s="5">
        <v>5660</v>
      </c>
    </row>
    <row r="1893" spans="1:8">
      <c r="A1893" s="5">
        <v>2023</v>
      </c>
      <c r="B1893" s="6">
        <v>44986</v>
      </c>
      <c r="C1893" s="5" t="s">
        <v>10</v>
      </c>
      <c r="D1893" s="3" t="str" cm="1">
        <f t="array" ref="D1893">_xlfn.IFS(
 ISNUMBER(SEARCH("WHISK",C1893)),"Whiskey",
 ISNUMBER(SEARCH("BOURBON",C1893)),"Whiskey",
 ISNUMBER(SEARCH("SCOTCH",C1893)),"Whiskey",
 ISNUMBER(SEARCH("RYE",C1893)),"Whiskey",
 ISNUMBER(SEARCH("VODKA",C1893)),"Vodka",
 ISNUMBER(SEARCH("TEQUILA",C1893)),"Tequila/Mezcal",
 ISNUMBER(SEARCH("MEZCAL",C1893)),"Tequila/Mezcal",
 ISNUMBER(SEARCH("RUM",C1893)),"Rum",
 ISNUMBER(SEARCH("BRAND",C1893)),"Brandy",
 ISNUMBER(SEARCH("COGNAC",C1893)),"Brandy",
 ISNUMBER(SEARCH("LIQUEUR",C1893)),"Liqueurs",
 ISNUMBER(SEARCH("CORDIAL",C1893)),"Liqueurs",
 ISNUMBER(SEARCH("SCHNAPP",C1893)),"Liqueurs",
 ISNUMBER(SEARCH("GIN",C1893)),"Gin",
 TRUE,"Other")</f>
        <v>Other</v>
      </c>
      <c r="E1893" s="5">
        <v>7044</v>
      </c>
      <c r="F1893" s="5">
        <v>158972.88999999972</v>
      </c>
      <c r="G1893" s="5"/>
      <c r="H1893" s="5">
        <v>894</v>
      </c>
    </row>
    <row r="1894" spans="1:8">
      <c r="A1894" s="5">
        <v>2023</v>
      </c>
      <c r="B1894" s="6">
        <v>44986</v>
      </c>
      <c r="C1894" s="5" t="s">
        <v>11</v>
      </c>
      <c r="D1894" s="3" t="str" cm="1">
        <f t="array" ref="D1894">_xlfn.IFS(
 ISNUMBER(SEARCH("WHISK",C1894)),"Whiskey",
 ISNUMBER(SEARCH("BOURBON",C1894)),"Whiskey",
 ISNUMBER(SEARCH("SCOTCH",C1894)),"Whiskey",
 ISNUMBER(SEARCH("RYE",C1894)),"Whiskey",
 ISNUMBER(SEARCH("VODKA",C1894)),"Vodka",
 ISNUMBER(SEARCH("TEQUILA",C1894)),"Tequila/Mezcal",
 ISNUMBER(SEARCH("MEZCAL",C1894)),"Tequila/Mezcal",
 ISNUMBER(SEARCH("RUM",C1894)),"Rum",
 ISNUMBER(SEARCH("BRAND",C1894)),"Brandy",
 ISNUMBER(SEARCH("COGNAC",C1894)),"Brandy",
 ISNUMBER(SEARCH("LIQUEUR",C1894)),"Liqueurs",
 ISNUMBER(SEARCH("CORDIAL",C1894)),"Liqueurs",
 ISNUMBER(SEARCH("SCHNAPP",C1894)),"Liqueurs",
 ISNUMBER(SEARCH("GIN",C1894)),"Gin",
 TRUE,"Other")</f>
        <v>Gin</v>
      </c>
      <c r="E1894" s="5">
        <v>28138</v>
      </c>
      <c r="F1894" s="5">
        <v>247882.78000000108</v>
      </c>
      <c r="G1894" s="5"/>
      <c r="H1894" s="5">
        <v>2700</v>
      </c>
    </row>
    <row r="1895" spans="1:8">
      <c r="A1895" s="5">
        <v>2023</v>
      </c>
      <c r="B1895" s="6">
        <v>44986</v>
      </c>
      <c r="C1895" s="5" t="s">
        <v>12</v>
      </c>
      <c r="D1895" s="3" t="str" cm="1">
        <f t="array" ref="D1895">_xlfn.IFS(
 ISNUMBER(SEARCH("WHISK",C1895)),"Whiskey",
 ISNUMBER(SEARCH("BOURBON",C1895)),"Whiskey",
 ISNUMBER(SEARCH("SCOTCH",C1895)),"Whiskey",
 ISNUMBER(SEARCH("RYE",C1895)),"Whiskey",
 ISNUMBER(SEARCH("VODKA",C1895)),"Vodka",
 ISNUMBER(SEARCH("TEQUILA",C1895)),"Tequila/Mezcal",
 ISNUMBER(SEARCH("MEZCAL",C1895)),"Tequila/Mezcal",
 ISNUMBER(SEARCH("RUM",C1895)),"Rum",
 ISNUMBER(SEARCH("BRAND",C1895)),"Brandy",
 ISNUMBER(SEARCH("COGNAC",C1895)),"Brandy",
 ISNUMBER(SEARCH("LIQUEUR",C1895)),"Liqueurs",
 ISNUMBER(SEARCH("CORDIAL",C1895)),"Liqueurs",
 ISNUMBER(SEARCH("SCHNAPP",C1895)),"Liqueurs",
 ISNUMBER(SEARCH("GIN",C1895)),"Gin",
 TRUE,"Other")</f>
        <v>Vodka</v>
      </c>
      <c r="E1895" s="5">
        <v>86100</v>
      </c>
      <c r="F1895" s="5">
        <v>975712.59000003606</v>
      </c>
      <c r="G1895" s="5"/>
      <c r="H1895" s="5">
        <v>10882</v>
      </c>
    </row>
    <row r="1896" spans="1:8">
      <c r="A1896" s="5">
        <v>2023</v>
      </c>
      <c r="B1896" s="6">
        <v>44986</v>
      </c>
      <c r="C1896" s="5" t="s">
        <v>13</v>
      </c>
      <c r="D1896" s="3" t="str" cm="1">
        <f t="array" ref="D1896">_xlfn.IFS(
 ISNUMBER(SEARCH("WHISK",C1896)),"Whiskey",
 ISNUMBER(SEARCH("BOURBON",C1896)),"Whiskey",
 ISNUMBER(SEARCH("SCOTCH",C1896)),"Whiskey",
 ISNUMBER(SEARCH("RYE",C1896)),"Whiskey",
 ISNUMBER(SEARCH("VODKA",C1896)),"Vodka",
 ISNUMBER(SEARCH("TEQUILA",C1896)),"Tequila/Mezcal",
 ISNUMBER(SEARCH("MEZCAL",C1896)),"Tequila/Mezcal",
 ISNUMBER(SEARCH("RUM",C1896)),"Rum",
 ISNUMBER(SEARCH("BRAND",C1896)),"Brandy",
 ISNUMBER(SEARCH("COGNAC",C1896)),"Brandy",
 ISNUMBER(SEARCH("LIQUEUR",C1896)),"Liqueurs",
 ISNUMBER(SEARCH("CORDIAL",C1896)),"Liqueurs",
 ISNUMBER(SEARCH("SCHNAPP",C1896)),"Liqueurs",
 ISNUMBER(SEARCH("GIN",C1896)),"Gin",
 TRUE,"Other")</f>
        <v>Liqueurs</v>
      </c>
      <c r="E1896" s="5">
        <v>87289</v>
      </c>
      <c r="F1896" s="5">
        <v>606372.58000001253</v>
      </c>
      <c r="G1896" s="5"/>
      <c r="H1896" s="5">
        <v>7928</v>
      </c>
    </row>
    <row r="1897" spans="1:8">
      <c r="A1897" s="5">
        <v>2023</v>
      </c>
      <c r="B1897" s="6">
        <v>44986</v>
      </c>
      <c r="C1897" s="5" t="s">
        <v>17</v>
      </c>
      <c r="D1897" s="3" t="str" cm="1">
        <f t="array" ref="D1897">_xlfn.IFS(
 ISNUMBER(SEARCH("WHISK",C1897)),"Whiskey",
 ISNUMBER(SEARCH("BOURBON",C1897)),"Whiskey",
 ISNUMBER(SEARCH("SCOTCH",C1897)),"Whiskey",
 ISNUMBER(SEARCH("RYE",C1897)),"Whiskey",
 ISNUMBER(SEARCH("VODKA",C1897)),"Vodka",
 ISNUMBER(SEARCH("TEQUILA",C1897)),"Tequila/Mezcal",
 ISNUMBER(SEARCH("MEZCAL",C1897)),"Tequila/Mezcal",
 ISNUMBER(SEARCH("RUM",C1897)),"Rum",
 ISNUMBER(SEARCH("BRAND",C1897)),"Brandy",
 ISNUMBER(SEARCH("COGNAC",C1897)),"Brandy",
 ISNUMBER(SEARCH("LIQUEUR",C1897)),"Liqueurs",
 ISNUMBER(SEARCH("CORDIAL",C1897)),"Liqueurs",
 ISNUMBER(SEARCH("SCHNAPP",C1897)),"Liqueurs",
 ISNUMBER(SEARCH("GIN",C1897)),"Gin",
 TRUE,"Other")</f>
        <v>Whiskey</v>
      </c>
      <c r="E1897" s="5">
        <v>3623</v>
      </c>
      <c r="F1897" s="5">
        <v>107485.0400000002</v>
      </c>
      <c r="G1897" s="5"/>
      <c r="H1897" s="5">
        <v>793</v>
      </c>
    </row>
    <row r="1898" spans="1:8">
      <c r="A1898" s="5">
        <v>2023</v>
      </c>
      <c r="B1898" s="6">
        <v>44986</v>
      </c>
      <c r="C1898" s="5" t="s">
        <v>20</v>
      </c>
      <c r="D1898" s="3" t="str" cm="1">
        <f t="array" ref="D1898">_xlfn.IFS(
 ISNUMBER(SEARCH("WHISK",C1898)),"Whiskey",
 ISNUMBER(SEARCH("BOURBON",C1898)),"Whiskey",
 ISNUMBER(SEARCH("SCOTCH",C1898)),"Whiskey",
 ISNUMBER(SEARCH("RYE",C1898)),"Whiskey",
 ISNUMBER(SEARCH("VODKA",C1898)),"Vodka",
 ISNUMBER(SEARCH("TEQUILA",C1898)),"Tequila/Mezcal",
 ISNUMBER(SEARCH("MEZCAL",C1898)),"Tequila/Mezcal",
 ISNUMBER(SEARCH("RUM",C1898)),"Rum",
 ISNUMBER(SEARCH("BRAND",C1898)),"Brandy",
 ISNUMBER(SEARCH("COGNAC",C1898)),"Brandy",
 ISNUMBER(SEARCH("LIQUEUR",C1898)),"Liqueurs",
 ISNUMBER(SEARCH("CORDIAL",C1898)),"Liqueurs",
 ISNUMBER(SEARCH("SCHNAPP",C1898)),"Liqueurs",
 ISNUMBER(SEARCH("GIN",C1898)),"Gin",
 TRUE,"Other")</f>
        <v>Liqueurs</v>
      </c>
      <c r="E1898" s="5">
        <v>7253</v>
      </c>
      <c r="F1898" s="5">
        <v>151590.07000000085</v>
      </c>
      <c r="G1898" s="5"/>
      <c r="H1898" s="5">
        <v>950</v>
      </c>
    </row>
    <row r="1899" spans="1:8">
      <c r="A1899" s="5">
        <v>2023</v>
      </c>
      <c r="B1899" s="6">
        <v>44986</v>
      </c>
      <c r="C1899" s="5" t="s">
        <v>22</v>
      </c>
      <c r="D1899" s="3" t="str" cm="1">
        <f t="array" ref="D1899">_xlfn.IFS(
 ISNUMBER(SEARCH("WHISK",C1899)),"Whiskey",
 ISNUMBER(SEARCH("BOURBON",C1899)),"Whiskey",
 ISNUMBER(SEARCH("SCOTCH",C1899)),"Whiskey",
 ISNUMBER(SEARCH("RYE",C1899)),"Whiskey",
 ISNUMBER(SEARCH("VODKA",C1899)),"Vodka",
 ISNUMBER(SEARCH("TEQUILA",C1899)),"Tequila/Mezcal",
 ISNUMBER(SEARCH("MEZCAL",C1899)),"Tequila/Mezcal",
 ISNUMBER(SEARCH("RUM",C1899)),"Rum",
 ISNUMBER(SEARCH("BRAND",C1899)),"Brandy",
 ISNUMBER(SEARCH("COGNAC",C1899)),"Brandy",
 ISNUMBER(SEARCH("LIQUEUR",C1899)),"Liqueurs",
 ISNUMBER(SEARCH("CORDIAL",C1899)),"Liqueurs",
 ISNUMBER(SEARCH("SCHNAPP",C1899)),"Liqueurs",
 ISNUMBER(SEARCH("GIN",C1899)),"Gin",
 TRUE,"Other")</f>
        <v>Liqueurs</v>
      </c>
      <c r="E1899" s="5">
        <v>31096</v>
      </c>
      <c r="F1899" s="5">
        <v>628226.26999999816</v>
      </c>
      <c r="G1899" s="5"/>
      <c r="H1899" s="5">
        <v>4238</v>
      </c>
    </row>
    <row r="1900" spans="1:8">
      <c r="A1900" s="5">
        <v>2023</v>
      </c>
      <c r="B1900" s="6">
        <v>44986</v>
      </c>
      <c r="C1900" s="5" t="s">
        <v>25</v>
      </c>
      <c r="D1900" s="3" t="str" cm="1">
        <f t="array" ref="D1900">_xlfn.IFS(
 ISNUMBER(SEARCH("WHISK",C1900)),"Whiskey",
 ISNUMBER(SEARCH("BOURBON",C1900)),"Whiskey",
 ISNUMBER(SEARCH("SCOTCH",C1900)),"Whiskey",
 ISNUMBER(SEARCH("RYE",C1900)),"Whiskey",
 ISNUMBER(SEARCH("VODKA",C1900)),"Vodka",
 ISNUMBER(SEARCH("TEQUILA",C1900)),"Tequila/Mezcal",
 ISNUMBER(SEARCH("MEZCAL",C1900)),"Tequila/Mezcal",
 ISNUMBER(SEARCH("RUM",C1900)),"Rum",
 ISNUMBER(SEARCH("BRAND",C1900)),"Brandy",
 ISNUMBER(SEARCH("COGNAC",C1900)),"Brandy",
 ISNUMBER(SEARCH("LIQUEUR",C1900)),"Liqueurs",
 ISNUMBER(SEARCH("CORDIAL",C1900)),"Liqueurs",
 ISNUMBER(SEARCH("SCHNAPP",C1900)),"Liqueurs",
 ISNUMBER(SEARCH("GIN",C1900)),"Gin",
 TRUE,"Other")</f>
        <v>Rum</v>
      </c>
      <c r="E1900" s="5">
        <v>6595</v>
      </c>
      <c r="F1900" s="5">
        <v>88193.60999999971</v>
      </c>
      <c r="G1900" s="5"/>
      <c r="H1900" s="5">
        <v>1000</v>
      </c>
    </row>
    <row r="1901" spans="1:8">
      <c r="A1901" s="5">
        <v>2023</v>
      </c>
      <c r="B1901" s="6">
        <v>44986</v>
      </c>
      <c r="C1901" s="5" t="s">
        <v>26</v>
      </c>
      <c r="D1901" s="3" t="str" cm="1">
        <f t="array" ref="D1901">_xlfn.IFS(
 ISNUMBER(SEARCH("WHISK",C1901)),"Whiskey",
 ISNUMBER(SEARCH("BOURBON",C1901)),"Whiskey",
 ISNUMBER(SEARCH("SCOTCH",C1901)),"Whiskey",
 ISNUMBER(SEARCH("RYE",C1901)),"Whiskey",
 ISNUMBER(SEARCH("VODKA",C1901)),"Vodka",
 ISNUMBER(SEARCH("TEQUILA",C1901)),"Tequila/Mezcal",
 ISNUMBER(SEARCH("MEZCAL",C1901)),"Tequila/Mezcal",
 ISNUMBER(SEARCH("RUM",C1901)),"Rum",
 ISNUMBER(SEARCH("BRAND",C1901)),"Brandy",
 ISNUMBER(SEARCH("COGNAC",C1901)),"Brandy",
 ISNUMBER(SEARCH("LIQUEUR",C1901)),"Liqueurs",
 ISNUMBER(SEARCH("CORDIAL",C1901)),"Liqueurs",
 ISNUMBER(SEARCH("SCHNAPP",C1901)),"Liqueurs",
 ISNUMBER(SEARCH("GIN",C1901)),"Gin",
 TRUE,"Other")</f>
        <v>Brandy</v>
      </c>
      <c r="E1901" s="5">
        <v>44994</v>
      </c>
      <c r="F1901" s="5">
        <v>1046504.3599999949</v>
      </c>
      <c r="G1901" s="5"/>
      <c r="H1901" s="5">
        <v>4021</v>
      </c>
    </row>
    <row r="1902" spans="1:8">
      <c r="A1902" s="5">
        <v>2023</v>
      </c>
      <c r="B1902" s="6">
        <v>44986</v>
      </c>
      <c r="C1902" s="5" t="s">
        <v>60</v>
      </c>
      <c r="D1902" s="3" t="str" cm="1">
        <f t="array" ref="D1902">_xlfn.IFS(
 ISNUMBER(SEARCH("WHISK",C1902)),"Whiskey",
 ISNUMBER(SEARCH("BOURBON",C1902)),"Whiskey",
 ISNUMBER(SEARCH("SCOTCH",C1902)),"Whiskey",
 ISNUMBER(SEARCH("RYE",C1902)),"Whiskey",
 ISNUMBER(SEARCH("VODKA",C1902)),"Vodka",
 ISNUMBER(SEARCH("TEQUILA",C1902)),"Tequila/Mezcal",
 ISNUMBER(SEARCH("MEZCAL",C1902)),"Tequila/Mezcal",
 ISNUMBER(SEARCH("RUM",C1902)),"Rum",
 ISNUMBER(SEARCH("BRAND",C1902)),"Brandy",
 ISNUMBER(SEARCH("COGNAC",C1902)),"Brandy",
 ISNUMBER(SEARCH("LIQUEUR",C1902)),"Liqueurs",
 ISNUMBER(SEARCH("CORDIAL",C1902)),"Liqueurs",
 ISNUMBER(SEARCH("SCHNAPP",C1902)),"Liqueurs",
 ISNUMBER(SEARCH("GIN",C1902)),"Gin",
 TRUE,"Other")</f>
        <v>Liqueurs</v>
      </c>
      <c r="E1902" s="5">
        <v>46173</v>
      </c>
      <c r="F1902" s="5">
        <v>1081155.170000005</v>
      </c>
      <c r="G1902" s="5"/>
      <c r="H1902" s="5">
        <v>5198</v>
      </c>
    </row>
    <row r="1903" spans="1:8">
      <c r="A1903" s="5">
        <v>2023</v>
      </c>
      <c r="B1903" s="6">
        <v>44986</v>
      </c>
      <c r="C1903" s="5" t="s">
        <v>28</v>
      </c>
      <c r="D1903" s="3" t="str" cm="1">
        <f t="array" ref="D1903">_xlfn.IFS(
 ISNUMBER(SEARCH("WHISK",C1903)),"Whiskey",
 ISNUMBER(SEARCH("BOURBON",C1903)),"Whiskey",
 ISNUMBER(SEARCH("SCOTCH",C1903)),"Whiskey",
 ISNUMBER(SEARCH("RYE",C1903)),"Whiskey",
 ISNUMBER(SEARCH("VODKA",C1903)),"Vodka",
 ISNUMBER(SEARCH("TEQUILA",C1903)),"Tequila/Mezcal",
 ISNUMBER(SEARCH("MEZCAL",C1903)),"Tequila/Mezcal",
 ISNUMBER(SEARCH("RUM",C1903)),"Rum",
 ISNUMBER(SEARCH("BRAND",C1903)),"Brandy",
 ISNUMBER(SEARCH("COGNAC",C1903)),"Brandy",
 ISNUMBER(SEARCH("LIQUEUR",C1903)),"Liqueurs",
 ISNUMBER(SEARCH("CORDIAL",C1903)),"Liqueurs",
 ISNUMBER(SEARCH("SCHNAPP",C1903)),"Liqueurs",
 ISNUMBER(SEARCH("GIN",C1903)),"Gin",
 TRUE,"Other")</f>
        <v>Other</v>
      </c>
      <c r="E1903" s="5">
        <v>38495</v>
      </c>
      <c r="F1903" s="5">
        <v>289275.19000000018</v>
      </c>
      <c r="G1903" s="5"/>
      <c r="H1903" s="5">
        <v>512</v>
      </c>
    </row>
    <row r="1904" spans="1:8">
      <c r="A1904" s="5">
        <v>2023</v>
      </c>
      <c r="B1904" s="6">
        <v>44986</v>
      </c>
      <c r="C1904" s="5" t="s">
        <v>31</v>
      </c>
      <c r="D1904" s="3" t="str" cm="1">
        <f t="array" ref="D1904">_xlfn.IFS(
 ISNUMBER(SEARCH("WHISK",C1904)),"Whiskey",
 ISNUMBER(SEARCH("BOURBON",C1904)),"Whiskey",
 ISNUMBER(SEARCH("SCOTCH",C1904)),"Whiskey",
 ISNUMBER(SEARCH("RYE",C1904)),"Whiskey",
 ISNUMBER(SEARCH("VODKA",C1904)),"Vodka",
 ISNUMBER(SEARCH("TEQUILA",C1904)),"Tequila/Mezcal",
 ISNUMBER(SEARCH("MEZCAL",C1904)),"Tequila/Mezcal",
 ISNUMBER(SEARCH("RUM",C1904)),"Rum",
 ISNUMBER(SEARCH("BRAND",C1904)),"Brandy",
 ISNUMBER(SEARCH("COGNAC",C1904)),"Brandy",
 ISNUMBER(SEARCH("LIQUEUR",C1904)),"Liqueurs",
 ISNUMBER(SEARCH("CORDIAL",C1904)),"Liqueurs",
 ISNUMBER(SEARCH("SCHNAPP",C1904)),"Liqueurs",
 ISNUMBER(SEARCH("GIN",C1904)),"Gin",
 TRUE,"Other")</f>
        <v>Liqueurs</v>
      </c>
      <c r="E1904" s="5">
        <v>33637</v>
      </c>
      <c r="F1904" s="5">
        <v>588459.6699999983</v>
      </c>
      <c r="G1904" s="5"/>
      <c r="H1904" s="5">
        <v>3272</v>
      </c>
    </row>
    <row r="1905" spans="1:8">
      <c r="A1905" s="5">
        <v>2023</v>
      </c>
      <c r="B1905" s="6">
        <v>44986</v>
      </c>
      <c r="C1905" s="5" t="s">
        <v>32</v>
      </c>
      <c r="D1905" s="3" t="str" cm="1">
        <f t="array" ref="D1905">_xlfn.IFS(
 ISNUMBER(SEARCH("WHISK",C1905)),"Whiskey",
 ISNUMBER(SEARCH("BOURBON",C1905)),"Whiskey",
 ISNUMBER(SEARCH("SCOTCH",C1905)),"Whiskey",
 ISNUMBER(SEARCH("RYE",C1905)),"Whiskey",
 ISNUMBER(SEARCH("VODKA",C1905)),"Vodka",
 ISNUMBER(SEARCH("TEQUILA",C1905)),"Tequila/Mezcal",
 ISNUMBER(SEARCH("MEZCAL",C1905)),"Tequila/Mezcal",
 ISNUMBER(SEARCH("RUM",C1905)),"Rum",
 ISNUMBER(SEARCH("BRAND",C1905)),"Brandy",
 ISNUMBER(SEARCH("COGNAC",C1905)),"Brandy",
 ISNUMBER(SEARCH("LIQUEUR",C1905)),"Liqueurs",
 ISNUMBER(SEARCH("CORDIAL",C1905)),"Liqueurs",
 ISNUMBER(SEARCH("SCHNAPP",C1905)),"Liqueurs",
 ISNUMBER(SEARCH("GIN",C1905)),"Gin",
 TRUE,"Other")</f>
        <v>Vodka</v>
      </c>
      <c r="E1905" s="5">
        <v>55264</v>
      </c>
      <c r="F1905" s="5">
        <v>918487.03999998583</v>
      </c>
      <c r="G1905" s="5"/>
      <c r="H1905" s="5">
        <v>4903</v>
      </c>
    </row>
    <row r="1906" spans="1:8">
      <c r="A1906" s="5">
        <v>2023</v>
      </c>
      <c r="B1906" s="6">
        <v>44986</v>
      </c>
      <c r="C1906" s="5" t="s">
        <v>35</v>
      </c>
      <c r="D1906" s="3" t="str" cm="1">
        <f t="array" ref="D1906">_xlfn.IFS(
 ISNUMBER(SEARCH("WHISK",C1906)),"Whiskey",
 ISNUMBER(SEARCH("BOURBON",C1906)),"Whiskey",
 ISNUMBER(SEARCH("SCOTCH",C1906)),"Whiskey",
 ISNUMBER(SEARCH("RYE",C1906)),"Whiskey",
 ISNUMBER(SEARCH("VODKA",C1906)),"Vodka",
 ISNUMBER(SEARCH("TEQUILA",C1906)),"Tequila/Mezcal",
 ISNUMBER(SEARCH("MEZCAL",C1906)),"Tequila/Mezcal",
 ISNUMBER(SEARCH("RUM",C1906)),"Rum",
 ISNUMBER(SEARCH("BRAND",C1906)),"Brandy",
 ISNUMBER(SEARCH("COGNAC",C1906)),"Brandy",
 ISNUMBER(SEARCH("LIQUEUR",C1906)),"Liqueurs",
 ISNUMBER(SEARCH("CORDIAL",C1906)),"Liqueurs",
 ISNUMBER(SEARCH("SCHNAPP",C1906)),"Liqueurs",
 ISNUMBER(SEARCH("GIN",C1906)),"Gin",
 TRUE,"Other")</f>
        <v>Tequila/Mezcal</v>
      </c>
      <c r="E1906" s="5">
        <v>64431</v>
      </c>
      <c r="F1906" s="5">
        <v>871655.9699999931</v>
      </c>
      <c r="G1906" s="5"/>
      <c r="H1906" s="5">
        <v>4854</v>
      </c>
    </row>
    <row r="1907" spans="1:8">
      <c r="A1907" s="5">
        <v>2023</v>
      </c>
      <c r="B1907" s="6">
        <v>44986</v>
      </c>
      <c r="C1907" s="5" t="s">
        <v>38</v>
      </c>
      <c r="D1907" s="3" t="str" cm="1">
        <f t="array" ref="D1907">_xlfn.IFS(
 ISNUMBER(SEARCH("WHISK",C1907)),"Whiskey",
 ISNUMBER(SEARCH("BOURBON",C1907)),"Whiskey",
 ISNUMBER(SEARCH("SCOTCH",C1907)),"Whiskey",
 ISNUMBER(SEARCH("RYE",C1907)),"Whiskey",
 ISNUMBER(SEARCH("VODKA",C1907)),"Vodka",
 ISNUMBER(SEARCH("TEQUILA",C1907)),"Tequila/Mezcal",
 ISNUMBER(SEARCH("MEZCAL",C1907)),"Tequila/Mezcal",
 ISNUMBER(SEARCH("RUM",C1907)),"Rum",
 ISNUMBER(SEARCH("BRAND",C1907)),"Brandy",
 ISNUMBER(SEARCH("COGNAC",C1907)),"Brandy",
 ISNUMBER(SEARCH("LIQUEUR",C1907)),"Liqueurs",
 ISNUMBER(SEARCH("CORDIAL",C1907)),"Liqueurs",
 ISNUMBER(SEARCH("SCHNAPP",C1907)),"Liqueurs",
 ISNUMBER(SEARCH("GIN",C1907)),"Gin",
 TRUE,"Other")</f>
        <v>Whiskey</v>
      </c>
      <c r="E1907" s="5">
        <v>14827</v>
      </c>
      <c r="F1907" s="5">
        <v>408464.92999999947</v>
      </c>
      <c r="G1907" s="5"/>
      <c r="H1907" s="5">
        <v>2574</v>
      </c>
    </row>
    <row r="1908" spans="1:8">
      <c r="A1908" s="5">
        <v>2023</v>
      </c>
      <c r="B1908" s="6">
        <v>44986</v>
      </c>
      <c r="C1908" s="5" t="s">
        <v>40</v>
      </c>
      <c r="D1908" s="3" t="str" cm="1">
        <f t="array" ref="D1908">_xlfn.IFS(
 ISNUMBER(SEARCH("WHISK",C1908)),"Whiskey",
 ISNUMBER(SEARCH("BOURBON",C1908)),"Whiskey",
 ISNUMBER(SEARCH("SCOTCH",C1908)),"Whiskey",
 ISNUMBER(SEARCH("RYE",C1908)),"Whiskey",
 ISNUMBER(SEARCH("VODKA",C1908)),"Vodka",
 ISNUMBER(SEARCH("TEQUILA",C1908)),"Tequila/Mezcal",
 ISNUMBER(SEARCH("MEZCAL",C1908)),"Tequila/Mezcal",
 ISNUMBER(SEARCH("RUM",C1908)),"Rum",
 ISNUMBER(SEARCH("BRAND",C1908)),"Brandy",
 ISNUMBER(SEARCH("COGNAC",C1908)),"Brandy",
 ISNUMBER(SEARCH("LIQUEUR",C1908)),"Liqueurs",
 ISNUMBER(SEARCH("CORDIAL",C1908)),"Liqueurs",
 ISNUMBER(SEARCH("SCHNAPP",C1908)),"Liqueurs",
 ISNUMBER(SEARCH("GIN",C1908)),"Gin",
 TRUE,"Other")</f>
        <v>Whiskey</v>
      </c>
      <c r="E1908" s="5">
        <v>5867</v>
      </c>
      <c r="F1908" s="5">
        <v>302469.14000000019</v>
      </c>
      <c r="G1908" s="5"/>
      <c r="H1908" s="5">
        <v>1408</v>
      </c>
    </row>
    <row r="1909" spans="1:8">
      <c r="A1909" s="5">
        <v>2023</v>
      </c>
      <c r="B1909" s="6">
        <v>44986</v>
      </c>
      <c r="C1909" s="5" t="s">
        <v>42</v>
      </c>
      <c r="D1909" s="3" t="str" cm="1">
        <f t="array" ref="D1909">_xlfn.IFS(
 ISNUMBER(SEARCH("WHISK",C1909)),"Whiskey",
 ISNUMBER(SEARCH("BOURBON",C1909)),"Whiskey",
 ISNUMBER(SEARCH("SCOTCH",C1909)),"Whiskey",
 ISNUMBER(SEARCH("RYE",C1909)),"Whiskey",
 ISNUMBER(SEARCH("VODKA",C1909)),"Vodka",
 ISNUMBER(SEARCH("TEQUILA",C1909)),"Tequila/Mezcal",
 ISNUMBER(SEARCH("MEZCAL",C1909)),"Tequila/Mezcal",
 ISNUMBER(SEARCH("RUM",C1909)),"Rum",
 ISNUMBER(SEARCH("BRAND",C1909)),"Brandy",
 ISNUMBER(SEARCH("COGNAC",C1909)),"Brandy",
 ISNUMBER(SEARCH("LIQUEUR",C1909)),"Liqueurs",
 ISNUMBER(SEARCH("CORDIAL",C1909)),"Liqueurs",
 ISNUMBER(SEARCH("SCHNAPP",C1909)),"Liqueurs",
 ISNUMBER(SEARCH("GIN",C1909)),"Gin",
 TRUE,"Other")</f>
        <v>Rum</v>
      </c>
      <c r="E1909" s="5">
        <v>167023</v>
      </c>
      <c r="F1909" s="5">
        <v>3136264.7699999562</v>
      </c>
      <c r="G1909" s="5"/>
      <c r="H1909" s="5">
        <v>8854</v>
      </c>
    </row>
    <row r="1910" spans="1:8">
      <c r="A1910" s="5">
        <v>2023</v>
      </c>
      <c r="B1910" s="6">
        <v>44986</v>
      </c>
      <c r="C1910" s="5" t="s">
        <v>45</v>
      </c>
      <c r="D1910" s="3" t="str" cm="1">
        <f t="array" ref="D1910">_xlfn.IFS(
 ISNUMBER(SEARCH("WHISK",C1910)),"Whiskey",
 ISNUMBER(SEARCH("BOURBON",C1910)),"Whiskey",
 ISNUMBER(SEARCH("SCOTCH",C1910)),"Whiskey",
 ISNUMBER(SEARCH("RYE",C1910)),"Whiskey",
 ISNUMBER(SEARCH("VODKA",C1910)),"Vodka",
 ISNUMBER(SEARCH("TEQUILA",C1910)),"Tequila/Mezcal",
 ISNUMBER(SEARCH("MEZCAL",C1910)),"Tequila/Mezcal",
 ISNUMBER(SEARCH("RUM",C1910)),"Rum",
 ISNUMBER(SEARCH("BRAND",C1910)),"Brandy",
 ISNUMBER(SEARCH("COGNAC",C1910)),"Brandy",
 ISNUMBER(SEARCH("LIQUEUR",C1910)),"Liqueurs",
 ISNUMBER(SEARCH("CORDIAL",C1910)),"Liqueurs",
 ISNUMBER(SEARCH("SCHNAPP",C1910)),"Liqueurs",
 ISNUMBER(SEARCH("GIN",C1910)),"Gin",
 TRUE,"Other")</f>
        <v>Other</v>
      </c>
      <c r="E1910" s="5">
        <v>8257</v>
      </c>
      <c r="F1910" s="5">
        <v>245197.09000000107</v>
      </c>
      <c r="G1910" s="5"/>
      <c r="H1910" s="5">
        <v>1697</v>
      </c>
    </row>
    <row r="1911" spans="1:8">
      <c r="A1911" s="5">
        <v>2023</v>
      </c>
      <c r="B1911" s="6">
        <v>44986</v>
      </c>
      <c r="C1911" s="5" t="s">
        <v>48</v>
      </c>
      <c r="D1911" s="3" t="str" cm="1">
        <f t="array" ref="D1911">_xlfn.IFS(
 ISNUMBER(SEARCH("WHISK",C1911)),"Whiskey",
 ISNUMBER(SEARCH("BOURBON",C1911)),"Whiskey",
 ISNUMBER(SEARCH("SCOTCH",C1911)),"Whiskey",
 ISNUMBER(SEARCH("RYE",C1911)),"Whiskey",
 ISNUMBER(SEARCH("VODKA",C1911)),"Vodka",
 ISNUMBER(SEARCH("TEQUILA",C1911)),"Tequila/Mezcal",
 ISNUMBER(SEARCH("MEZCAL",C1911)),"Tequila/Mezcal",
 ISNUMBER(SEARCH("RUM",C1911)),"Rum",
 ISNUMBER(SEARCH("BRAND",C1911)),"Brandy",
 ISNUMBER(SEARCH("COGNAC",C1911)),"Brandy",
 ISNUMBER(SEARCH("LIQUEUR",C1911)),"Liqueurs",
 ISNUMBER(SEARCH("CORDIAL",C1911)),"Liqueurs",
 ISNUMBER(SEARCH("SCHNAPP",C1911)),"Liqueurs",
 ISNUMBER(SEARCH("GIN",C1911)),"Gin",
 TRUE,"Other")</f>
        <v>Whiskey</v>
      </c>
      <c r="E1911" s="5">
        <v>377784</v>
      </c>
      <c r="F1911" s="5">
        <v>2231782.0599999405</v>
      </c>
      <c r="G1911" s="5"/>
      <c r="H1911" s="5">
        <v>14050</v>
      </c>
    </row>
    <row r="1912" spans="1:8">
      <c r="A1912" s="5">
        <v>2023</v>
      </c>
      <c r="B1912" s="6">
        <v>44986</v>
      </c>
      <c r="C1912" s="5" t="s">
        <v>49</v>
      </c>
      <c r="D1912" s="3" t="str" cm="1">
        <f t="array" ref="D1912">_xlfn.IFS(
 ISNUMBER(SEARCH("WHISK",C1912)),"Whiskey",
 ISNUMBER(SEARCH("BOURBON",C1912)),"Whiskey",
 ISNUMBER(SEARCH("SCOTCH",C1912)),"Whiskey",
 ISNUMBER(SEARCH("RYE",C1912)),"Whiskey",
 ISNUMBER(SEARCH("VODKA",C1912)),"Vodka",
 ISNUMBER(SEARCH("TEQUILA",C1912)),"Tequila/Mezcal",
 ISNUMBER(SEARCH("MEZCAL",C1912)),"Tequila/Mezcal",
 ISNUMBER(SEARCH("RUM",C1912)),"Rum",
 ISNUMBER(SEARCH("BRAND",C1912)),"Brandy",
 ISNUMBER(SEARCH("COGNAC",C1912)),"Brandy",
 ISNUMBER(SEARCH("LIQUEUR",C1912)),"Liqueurs",
 ISNUMBER(SEARCH("CORDIAL",C1912)),"Liqueurs",
 ISNUMBER(SEARCH("SCHNAPP",C1912)),"Liqueurs",
 ISNUMBER(SEARCH("GIN",C1912)),"Gin",
 TRUE,"Other")</f>
        <v>Rum</v>
      </c>
      <c r="E1912" s="5">
        <v>40942</v>
      </c>
      <c r="F1912" s="5">
        <v>493209.43999999634</v>
      </c>
      <c r="G1912" s="5"/>
      <c r="H1912" s="5">
        <v>3918</v>
      </c>
    </row>
    <row r="1913" spans="1:8">
      <c r="A1913" s="5">
        <v>2023</v>
      </c>
      <c r="B1913" s="6">
        <v>44986</v>
      </c>
      <c r="C1913" s="5" t="s">
        <v>29</v>
      </c>
      <c r="D1913" s="3" t="str" cm="1">
        <f t="array" ref="D1913">_xlfn.IFS(
 ISNUMBER(SEARCH("WHISK",C1913)),"Whiskey",
 ISNUMBER(SEARCH("BOURBON",C1913)),"Whiskey",
 ISNUMBER(SEARCH("SCOTCH",C1913)),"Whiskey",
 ISNUMBER(SEARCH("RYE",C1913)),"Whiskey",
 ISNUMBER(SEARCH("VODKA",C1913)),"Vodka",
 ISNUMBER(SEARCH("TEQUILA",C1913)),"Tequila/Mezcal",
 ISNUMBER(SEARCH("MEZCAL",C1913)),"Tequila/Mezcal",
 ISNUMBER(SEARCH("RUM",C1913)),"Rum",
 ISNUMBER(SEARCH("BRAND",C1913)),"Brandy",
 ISNUMBER(SEARCH("COGNAC",C1913)),"Brandy",
 ISNUMBER(SEARCH("LIQUEUR",C1913)),"Liqueurs",
 ISNUMBER(SEARCH("CORDIAL",C1913)),"Liqueurs",
 ISNUMBER(SEARCH("SCHNAPP",C1913)),"Liqueurs",
 ISNUMBER(SEARCH("GIN",C1913)),"Gin",
 TRUE,"Other")</f>
        <v>Gin</v>
      </c>
      <c r="E1913" s="5">
        <v>16486</v>
      </c>
      <c r="F1913" s="5">
        <v>403934.83000000054</v>
      </c>
      <c r="G1913" s="5"/>
      <c r="H1913" s="5">
        <v>2006</v>
      </c>
    </row>
    <row r="1914" spans="1:8">
      <c r="A1914" s="5">
        <v>2023</v>
      </c>
      <c r="B1914" s="6">
        <v>44986</v>
      </c>
      <c r="C1914" s="5" t="s">
        <v>34</v>
      </c>
      <c r="D1914" s="3" t="str" cm="1">
        <f t="array" ref="D1914">_xlfn.IFS(
 ISNUMBER(SEARCH("WHISK",C1914)),"Whiskey",
 ISNUMBER(SEARCH("BOURBON",C1914)),"Whiskey",
 ISNUMBER(SEARCH("SCOTCH",C1914)),"Whiskey",
 ISNUMBER(SEARCH("RYE",C1914)),"Whiskey",
 ISNUMBER(SEARCH("VODKA",C1914)),"Vodka",
 ISNUMBER(SEARCH("TEQUILA",C1914)),"Tequila/Mezcal",
 ISNUMBER(SEARCH("MEZCAL",C1914)),"Tequila/Mezcal",
 ISNUMBER(SEARCH("RUM",C1914)),"Rum",
 ISNUMBER(SEARCH("BRAND",C1914)),"Brandy",
 ISNUMBER(SEARCH("COGNAC",C1914)),"Brandy",
 ISNUMBER(SEARCH("LIQUEUR",C1914)),"Liqueurs",
 ISNUMBER(SEARCH("CORDIAL",C1914)),"Liqueurs",
 ISNUMBER(SEARCH("SCHNAPP",C1914)),"Liqueurs",
 ISNUMBER(SEARCH("GIN",C1914)),"Gin",
 TRUE,"Other")</f>
        <v>Tequila/Mezcal</v>
      </c>
      <c r="E1914" s="5">
        <v>1334</v>
      </c>
      <c r="F1914" s="5">
        <v>46387.449999999975</v>
      </c>
      <c r="G1914" s="5"/>
      <c r="H1914" s="5">
        <v>280</v>
      </c>
    </row>
    <row r="1915" spans="1:8">
      <c r="A1915" s="5">
        <v>2023</v>
      </c>
      <c r="B1915" s="6">
        <v>44986</v>
      </c>
      <c r="C1915" s="5" t="s">
        <v>47</v>
      </c>
      <c r="D1915" s="3" t="str" cm="1">
        <f t="array" ref="D1915">_xlfn.IFS(
 ISNUMBER(SEARCH("WHISK",C1915)),"Whiskey",
 ISNUMBER(SEARCH("BOURBON",C1915)),"Whiskey",
 ISNUMBER(SEARCH("SCOTCH",C1915)),"Whiskey",
 ISNUMBER(SEARCH("RYE",C1915)),"Whiskey",
 ISNUMBER(SEARCH("VODKA",C1915)),"Vodka",
 ISNUMBER(SEARCH("TEQUILA",C1915)),"Tequila/Mezcal",
 ISNUMBER(SEARCH("MEZCAL",C1915)),"Tequila/Mezcal",
 ISNUMBER(SEARCH("RUM",C1915)),"Rum",
 ISNUMBER(SEARCH("BRAND",C1915)),"Brandy",
 ISNUMBER(SEARCH("COGNAC",C1915)),"Brandy",
 ISNUMBER(SEARCH("LIQUEUR",C1915)),"Liqueurs",
 ISNUMBER(SEARCH("CORDIAL",C1915)),"Liqueurs",
 ISNUMBER(SEARCH("SCHNAPP",C1915)),"Liqueurs",
 ISNUMBER(SEARCH("GIN",C1915)),"Gin",
 TRUE,"Other")</f>
        <v>Other</v>
      </c>
      <c r="E1915" s="5">
        <v>17834</v>
      </c>
      <c r="F1915" s="5">
        <v>74056.799999999901</v>
      </c>
      <c r="G1915" s="5"/>
      <c r="H1915" s="5">
        <v>710</v>
      </c>
    </row>
    <row r="1916" spans="1:8">
      <c r="A1916" s="5">
        <v>2023</v>
      </c>
      <c r="B1916" s="6">
        <v>44986</v>
      </c>
      <c r="C1916" s="5" t="s">
        <v>36</v>
      </c>
      <c r="D1916" s="3" t="str" cm="1">
        <f t="array" ref="D1916">_xlfn.IFS(
 ISNUMBER(SEARCH("WHISK",C1916)),"Whiskey",
 ISNUMBER(SEARCH("BOURBON",C1916)),"Whiskey",
 ISNUMBER(SEARCH("SCOTCH",C1916)),"Whiskey",
 ISNUMBER(SEARCH("RYE",C1916)),"Whiskey",
 ISNUMBER(SEARCH("VODKA",C1916)),"Vodka",
 ISNUMBER(SEARCH("TEQUILA",C1916)),"Tequila/Mezcal",
 ISNUMBER(SEARCH("MEZCAL",C1916)),"Tequila/Mezcal",
 ISNUMBER(SEARCH("RUM",C1916)),"Rum",
 ISNUMBER(SEARCH("BRAND",C1916)),"Brandy",
 ISNUMBER(SEARCH("COGNAC",C1916)),"Brandy",
 ISNUMBER(SEARCH("LIQUEUR",C1916)),"Liqueurs",
 ISNUMBER(SEARCH("CORDIAL",C1916)),"Liqueurs",
 ISNUMBER(SEARCH("SCHNAPP",C1916)),"Liqueurs",
 ISNUMBER(SEARCH("GIN",C1916)),"Gin",
 TRUE,"Other")</f>
        <v>Other</v>
      </c>
      <c r="E1916" s="5">
        <v>2951</v>
      </c>
      <c r="F1916" s="5">
        <v>44102.629999999983</v>
      </c>
      <c r="G1916" s="5"/>
      <c r="H1916" s="5">
        <v>386</v>
      </c>
    </row>
    <row r="1917" spans="1:8">
      <c r="A1917" s="5">
        <v>2023</v>
      </c>
      <c r="B1917" s="6">
        <v>44986</v>
      </c>
      <c r="C1917" s="5" t="s">
        <v>37</v>
      </c>
      <c r="D1917" s="3" t="str" cm="1">
        <f t="array" ref="D1917">_xlfn.IFS(
 ISNUMBER(SEARCH("WHISK",C1917)),"Whiskey",
 ISNUMBER(SEARCH("BOURBON",C1917)),"Whiskey",
 ISNUMBER(SEARCH("SCOTCH",C1917)),"Whiskey",
 ISNUMBER(SEARCH("RYE",C1917)),"Whiskey",
 ISNUMBER(SEARCH("VODKA",C1917)),"Vodka",
 ISNUMBER(SEARCH("TEQUILA",C1917)),"Tequila/Mezcal",
 ISNUMBER(SEARCH("MEZCAL",C1917)),"Tequila/Mezcal",
 ISNUMBER(SEARCH("RUM",C1917)),"Rum",
 ISNUMBER(SEARCH("BRAND",C1917)),"Brandy",
 ISNUMBER(SEARCH("COGNAC",C1917)),"Brandy",
 ISNUMBER(SEARCH("LIQUEUR",C1917)),"Liqueurs",
 ISNUMBER(SEARCH("CORDIAL",C1917)),"Liqueurs",
 ISNUMBER(SEARCH("SCHNAPP",C1917)),"Liqueurs",
 ISNUMBER(SEARCH("GIN",C1917)),"Gin",
 TRUE,"Other")</f>
        <v>Other</v>
      </c>
      <c r="E1917" s="5">
        <v>16922</v>
      </c>
      <c r="F1917" s="5">
        <v>280701.23000000301</v>
      </c>
      <c r="G1917" s="5"/>
      <c r="H1917" s="5">
        <v>3372</v>
      </c>
    </row>
    <row r="1918" spans="1:8">
      <c r="A1918" s="5">
        <v>2023</v>
      </c>
      <c r="B1918" s="6">
        <v>44986</v>
      </c>
      <c r="C1918" s="5" t="s">
        <v>39</v>
      </c>
      <c r="D1918" s="3" t="str" cm="1">
        <f t="array" ref="D1918">_xlfn.IFS(
 ISNUMBER(SEARCH("WHISK",C1918)),"Whiskey",
 ISNUMBER(SEARCH("BOURBON",C1918)),"Whiskey",
 ISNUMBER(SEARCH("SCOTCH",C1918)),"Whiskey",
 ISNUMBER(SEARCH("RYE",C1918)),"Whiskey",
 ISNUMBER(SEARCH("VODKA",C1918)),"Vodka",
 ISNUMBER(SEARCH("TEQUILA",C1918)),"Tequila/Mezcal",
 ISNUMBER(SEARCH("MEZCAL",C1918)),"Tequila/Mezcal",
 ISNUMBER(SEARCH("RUM",C1918)),"Rum",
 ISNUMBER(SEARCH("BRAND",C1918)),"Brandy",
 ISNUMBER(SEARCH("COGNAC",C1918)),"Brandy",
 ISNUMBER(SEARCH("LIQUEUR",C1918)),"Liqueurs",
 ISNUMBER(SEARCH("CORDIAL",C1918)),"Liqueurs",
 ISNUMBER(SEARCH("SCHNAPP",C1918)),"Liqueurs",
 ISNUMBER(SEARCH("GIN",C1918)),"Gin",
 TRUE,"Other")</f>
        <v>Whiskey</v>
      </c>
      <c r="E1918" s="5">
        <v>4187</v>
      </c>
      <c r="F1918" s="5">
        <v>157963.02999999994</v>
      </c>
      <c r="G1918" s="5"/>
      <c r="H1918" s="5">
        <v>550</v>
      </c>
    </row>
    <row r="1919" spans="1:8">
      <c r="A1919" s="5">
        <v>2023</v>
      </c>
      <c r="B1919" s="6">
        <v>44986</v>
      </c>
      <c r="C1919" s="5" t="s">
        <v>7</v>
      </c>
      <c r="D1919" s="3" t="str" cm="1">
        <f t="array" ref="D1919">_xlfn.IFS(
 ISNUMBER(SEARCH("WHISK",C1919)),"Whiskey",
 ISNUMBER(SEARCH("BOURBON",C1919)),"Whiskey",
 ISNUMBER(SEARCH("SCOTCH",C1919)),"Whiskey",
 ISNUMBER(SEARCH("RYE",C1919)),"Whiskey",
 ISNUMBER(SEARCH("VODKA",C1919)),"Vodka",
 ISNUMBER(SEARCH("TEQUILA",C1919)),"Tequila/Mezcal",
 ISNUMBER(SEARCH("MEZCAL",C1919)),"Tequila/Mezcal",
 ISNUMBER(SEARCH("RUM",C1919)),"Rum",
 ISNUMBER(SEARCH("BRAND",C1919)),"Brandy",
 ISNUMBER(SEARCH("COGNAC",C1919)),"Brandy",
 ISNUMBER(SEARCH("LIQUEUR",C1919)),"Liqueurs",
 ISNUMBER(SEARCH("CORDIAL",C1919)),"Liqueurs",
 ISNUMBER(SEARCH("SCHNAPP",C1919)),"Liqueurs",
 ISNUMBER(SEARCH("GIN",C1919)),"Gin",
 TRUE,"Other")</f>
        <v>Rum</v>
      </c>
      <c r="E1919" s="5">
        <v>3649</v>
      </c>
      <c r="F1919" s="5">
        <v>78658.66</v>
      </c>
      <c r="G1919" s="5"/>
      <c r="H1919" s="5">
        <v>641</v>
      </c>
    </row>
    <row r="1920" spans="1:8">
      <c r="A1920" s="5">
        <v>2023</v>
      </c>
      <c r="B1920" s="6">
        <v>44986</v>
      </c>
      <c r="C1920" s="5" t="s">
        <v>23</v>
      </c>
      <c r="D1920" s="3" t="str" cm="1">
        <f t="array" ref="D1920">_xlfn.IFS(
 ISNUMBER(SEARCH("WHISK",C1920)),"Whiskey",
 ISNUMBER(SEARCH("BOURBON",C1920)),"Whiskey",
 ISNUMBER(SEARCH("SCOTCH",C1920)),"Whiskey",
 ISNUMBER(SEARCH("RYE",C1920)),"Whiskey",
 ISNUMBER(SEARCH("VODKA",C1920)),"Vodka",
 ISNUMBER(SEARCH("TEQUILA",C1920)),"Tequila/Mezcal",
 ISNUMBER(SEARCH("MEZCAL",C1920)),"Tequila/Mezcal",
 ISNUMBER(SEARCH("RUM",C1920)),"Rum",
 ISNUMBER(SEARCH("BRAND",C1920)),"Brandy",
 ISNUMBER(SEARCH("COGNAC",C1920)),"Brandy",
 ISNUMBER(SEARCH("LIQUEUR",C1920)),"Liqueurs",
 ISNUMBER(SEARCH("CORDIAL",C1920)),"Liqueurs",
 ISNUMBER(SEARCH("SCHNAPP",C1920)),"Liqueurs",
 ISNUMBER(SEARCH("GIN",C1920)),"Gin",
 TRUE,"Other")</f>
        <v>Gin</v>
      </c>
      <c r="E1920" s="5">
        <v>2623</v>
      </c>
      <c r="F1920" s="5">
        <v>65873.129999999976</v>
      </c>
      <c r="G1920" s="5"/>
      <c r="H1920" s="5">
        <v>316</v>
      </c>
    </row>
    <row r="1921" spans="1:8">
      <c r="A1921" s="5">
        <v>2023</v>
      </c>
      <c r="B1921" s="6">
        <v>44986</v>
      </c>
      <c r="C1921" s="5" t="s">
        <v>41</v>
      </c>
      <c r="D1921" s="3" t="str" cm="1">
        <f t="array" ref="D1921">_xlfn.IFS(
 ISNUMBER(SEARCH("WHISK",C1921)),"Whiskey",
 ISNUMBER(SEARCH("BOURBON",C1921)),"Whiskey",
 ISNUMBER(SEARCH("SCOTCH",C1921)),"Whiskey",
 ISNUMBER(SEARCH("RYE",C1921)),"Whiskey",
 ISNUMBER(SEARCH("VODKA",C1921)),"Vodka",
 ISNUMBER(SEARCH("TEQUILA",C1921)),"Tequila/Mezcal",
 ISNUMBER(SEARCH("MEZCAL",C1921)),"Tequila/Mezcal",
 ISNUMBER(SEARCH("RUM",C1921)),"Rum",
 ISNUMBER(SEARCH("BRAND",C1921)),"Brandy",
 ISNUMBER(SEARCH("COGNAC",C1921)),"Brandy",
 ISNUMBER(SEARCH("LIQUEUR",C1921)),"Liqueurs",
 ISNUMBER(SEARCH("CORDIAL",C1921)),"Liqueurs",
 ISNUMBER(SEARCH("SCHNAPP",C1921)),"Liqueurs",
 ISNUMBER(SEARCH("GIN",C1921)),"Gin",
 TRUE,"Other")</f>
        <v>Other</v>
      </c>
      <c r="E1921" s="5">
        <v>9350</v>
      </c>
      <c r="F1921" s="5">
        <v>138761.41000000006</v>
      </c>
      <c r="G1921" s="5"/>
      <c r="H1921" s="5">
        <v>236</v>
      </c>
    </row>
    <row r="1922" spans="1:8">
      <c r="A1922" s="5">
        <v>2023</v>
      </c>
      <c r="B1922" s="6">
        <v>44986</v>
      </c>
      <c r="C1922" s="5" t="s">
        <v>14</v>
      </c>
      <c r="D1922" s="3" t="str" cm="1">
        <f t="array" ref="D1922">_xlfn.IFS(
 ISNUMBER(SEARCH("WHISK",C1922)),"Whiskey",
 ISNUMBER(SEARCH("BOURBON",C1922)),"Whiskey",
 ISNUMBER(SEARCH("SCOTCH",C1922)),"Whiskey",
 ISNUMBER(SEARCH("RYE",C1922)),"Whiskey",
 ISNUMBER(SEARCH("VODKA",C1922)),"Vodka",
 ISNUMBER(SEARCH("TEQUILA",C1922)),"Tequila/Mezcal",
 ISNUMBER(SEARCH("MEZCAL",C1922)),"Tequila/Mezcal",
 ISNUMBER(SEARCH("RUM",C1922)),"Rum",
 ISNUMBER(SEARCH("BRAND",C1922)),"Brandy",
 ISNUMBER(SEARCH("COGNAC",C1922)),"Brandy",
 ISNUMBER(SEARCH("LIQUEUR",C1922)),"Liqueurs",
 ISNUMBER(SEARCH("CORDIAL",C1922)),"Liqueurs",
 ISNUMBER(SEARCH("SCHNAPP",C1922)),"Liqueurs",
 ISNUMBER(SEARCH("GIN",C1922)),"Gin",
 TRUE,"Other")</f>
        <v>Gin</v>
      </c>
      <c r="E1922" s="5">
        <v>228</v>
      </c>
      <c r="F1922" s="5">
        <v>1947.12</v>
      </c>
      <c r="G1922" s="5"/>
      <c r="H1922" s="5">
        <v>39</v>
      </c>
    </row>
    <row r="1923" spans="1:8">
      <c r="A1923" s="5">
        <v>2023</v>
      </c>
      <c r="B1923" s="6">
        <v>44986</v>
      </c>
      <c r="C1923" s="5" t="s">
        <v>21</v>
      </c>
      <c r="D1923" s="3" t="str" cm="1">
        <f t="array" ref="D1923">_xlfn.IFS(
 ISNUMBER(SEARCH("WHISK",C1923)),"Whiskey",
 ISNUMBER(SEARCH("BOURBON",C1923)),"Whiskey",
 ISNUMBER(SEARCH("SCOTCH",C1923)),"Whiskey",
 ISNUMBER(SEARCH("RYE",C1923)),"Whiskey",
 ISNUMBER(SEARCH("VODKA",C1923)),"Vodka",
 ISNUMBER(SEARCH("TEQUILA",C1923)),"Tequila/Mezcal",
 ISNUMBER(SEARCH("MEZCAL",C1923)),"Tequila/Mezcal",
 ISNUMBER(SEARCH("RUM",C1923)),"Rum",
 ISNUMBER(SEARCH("BRAND",C1923)),"Brandy",
 ISNUMBER(SEARCH("COGNAC",C1923)),"Brandy",
 ISNUMBER(SEARCH("LIQUEUR",C1923)),"Liqueurs",
 ISNUMBER(SEARCH("CORDIAL",C1923)),"Liqueurs",
 ISNUMBER(SEARCH("SCHNAPP",C1923)),"Liqueurs",
 ISNUMBER(SEARCH("GIN",C1923)),"Gin",
 TRUE,"Other")</f>
        <v>Whiskey</v>
      </c>
      <c r="E1923" s="5">
        <v>861</v>
      </c>
      <c r="F1923" s="5">
        <v>17002.87</v>
      </c>
      <c r="G1923" s="5"/>
      <c r="H1923" s="5">
        <v>130</v>
      </c>
    </row>
    <row r="1924" spans="1:8">
      <c r="A1924" s="5">
        <v>2023</v>
      </c>
      <c r="B1924" s="6">
        <v>45200</v>
      </c>
      <c r="C1924" s="5" t="s">
        <v>50</v>
      </c>
      <c r="D1924" s="3" t="str" cm="1">
        <f t="array" ref="D1924">_xlfn.IFS(
 ISNUMBER(SEARCH("WHISK",C1924)),"Whiskey",
 ISNUMBER(SEARCH("BOURBON",C1924)),"Whiskey",
 ISNUMBER(SEARCH("SCOTCH",C1924)),"Whiskey",
 ISNUMBER(SEARCH("RYE",C1924)),"Whiskey",
 ISNUMBER(SEARCH("VODKA",C1924)),"Vodka",
 ISNUMBER(SEARCH("TEQUILA",C1924)),"Tequila/Mezcal",
 ISNUMBER(SEARCH("MEZCAL",C1924)),"Tequila/Mezcal",
 ISNUMBER(SEARCH("RUM",C1924)),"Rum",
 ISNUMBER(SEARCH("BRAND",C1924)),"Brandy",
 ISNUMBER(SEARCH("COGNAC",C1924)),"Brandy",
 ISNUMBER(SEARCH("LIQUEUR",C1924)),"Liqueurs",
 ISNUMBER(SEARCH("CORDIAL",C1924)),"Liqueurs",
 ISNUMBER(SEARCH("SCHNAPP",C1924)),"Liqueurs",
 ISNUMBER(SEARCH("GIN",C1924)),"Gin",
 TRUE,"Other")</f>
        <v>Tequila/Mezcal</v>
      </c>
      <c r="E1924" s="5">
        <v>94104</v>
      </c>
      <c r="F1924" s="5">
        <v>2708053.0299999989</v>
      </c>
      <c r="G1924" s="5"/>
      <c r="H1924" s="5">
        <v>10800</v>
      </c>
    </row>
    <row r="1925" spans="1:8">
      <c r="A1925" s="5">
        <v>2023</v>
      </c>
      <c r="B1925" s="6">
        <v>45200</v>
      </c>
      <c r="C1925" s="5" t="s">
        <v>11</v>
      </c>
      <c r="D1925" s="3" t="str" cm="1">
        <f t="array" ref="D1925">_xlfn.IFS(
 ISNUMBER(SEARCH("WHISK",C1925)),"Whiskey",
 ISNUMBER(SEARCH("BOURBON",C1925)),"Whiskey",
 ISNUMBER(SEARCH("SCOTCH",C1925)),"Whiskey",
 ISNUMBER(SEARCH("RYE",C1925)),"Whiskey",
 ISNUMBER(SEARCH("VODKA",C1925)),"Vodka",
 ISNUMBER(SEARCH("TEQUILA",C1925)),"Tequila/Mezcal",
 ISNUMBER(SEARCH("MEZCAL",C1925)),"Tequila/Mezcal",
 ISNUMBER(SEARCH("RUM",C1925)),"Rum",
 ISNUMBER(SEARCH("BRAND",C1925)),"Brandy",
 ISNUMBER(SEARCH("COGNAC",C1925)),"Brandy",
 ISNUMBER(SEARCH("LIQUEUR",C1925)),"Liqueurs",
 ISNUMBER(SEARCH("CORDIAL",C1925)),"Liqueurs",
 ISNUMBER(SEARCH("SCHNAPP",C1925)),"Liqueurs",
 ISNUMBER(SEARCH("GIN",C1925)),"Gin",
 TRUE,"Other")</f>
        <v>Gin</v>
      </c>
      <c r="E1925" s="5">
        <v>31566</v>
      </c>
      <c r="F1925" s="5">
        <v>296647.97000000242</v>
      </c>
      <c r="G1925" s="5"/>
      <c r="H1925" s="5">
        <v>2845</v>
      </c>
    </row>
    <row r="1926" spans="1:8">
      <c r="A1926" s="5">
        <v>2023</v>
      </c>
      <c r="B1926" s="6">
        <v>45200</v>
      </c>
      <c r="C1926" s="5" t="s">
        <v>12</v>
      </c>
      <c r="D1926" s="3" t="str" cm="1">
        <f t="array" ref="D1926">_xlfn.IFS(
 ISNUMBER(SEARCH("WHISK",C1926)),"Whiskey",
 ISNUMBER(SEARCH("BOURBON",C1926)),"Whiskey",
 ISNUMBER(SEARCH("SCOTCH",C1926)),"Whiskey",
 ISNUMBER(SEARCH("RYE",C1926)),"Whiskey",
 ISNUMBER(SEARCH("VODKA",C1926)),"Vodka",
 ISNUMBER(SEARCH("TEQUILA",C1926)),"Tequila/Mezcal",
 ISNUMBER(SEARCH("MEZCAL",C1926)),"Tequila/Mezcal",
 ISNUMBER(SEARCH("RUM",C1926)),"Rum",
 ISNUMBER(SEARCH("BRAND",C1926)),"Brandy",
 ISNUMBER(SEARCH("COGNAC",C1926)),"Brandy",
 ISNUMBER(SEARCH("LIQUEUR",C1926)),"Liqueurs",
 ISNUMBER(SEARCH("CORDIAL",C1926)),"Liqueurs",
 ISNUMBER(SEARCH("SCHNAPP",C1926)),"Liqueurs",
 ISNUMBER(SEARCH("GIN",C1926)),"Gin",
 TRUE,"Other")</f>
        <v>Vodka</v>
      </c>
      <c r="E1926" s="5">
        <v>92319</v>
      </c>
      <c r="F1926" s="5">
        <v>1049608.370000053</v>
      </c>
      <c r="G1926" s="5"/>
      <c r="H1926" s="5">
        <v>10367</v>
      </c>
    </row>
    <row r="1927" spans="1:8">
      <c r="A1927" s="5">
        <v>2023</v>
      </c>
      <c r="B1927" s="6">
        <v>45200</v>
      </c>
      <c r="C1927" s="5" t="s">
        <v>13</v>
      </c>
      <c r="D1927" s="3" t="str" cm="1">
        <f t="array" ref="D1927">_xlfn.IFS(
 ISNUMBER(SEARCH("WHISK",C1927)),"Whiskey",
 ISNUMBER(SEARCH("BOURBON",C1927)),"Whiskey",
 ISNUMBER(SEARCH("SCOTCH",C1927)),"Whiskey",
 ISNUMBER(SEARCH("RYE",C1927)),"Whiskey",
 ISNUMBER(SEARCH("VODKA",C1927)),"Vodka",
 ISNUMBER(SEARCH("TEQUILA",C1927)),"Tequila/Mezcal",
 ISNUMBER(SEARCH("MEZCAL",C1927)),"Tequila/Mezcal",
 ISNUMBER(SEARCH("RUM",C1927)),"Rum",
 ISNUMBER(SEARCH("BRAND",C1927)),"Brandy",
 ISNUMBER(SEARCH("COGNAC",C1927)),"Brandy",
 ISNUMBER(SEARCH("LIQUEUR",C1927)),"Liqueurs",
 ISNUMBER(SEARCH("CORDIAL",C1927)),"Liqueurs",
 ISNUMBER(SEARCH("SCHNAPP",C1927)),"Liqueurs",
 ISNUMBER(SEARCH("GIN",C1927)),"Gin",
 TRUE,"Other")</f>
        <v>Liqueurs</v>
      </c>
      <c r="E1927" s="5">
        <v>79194</v>
      </c>
      <c r="F1927" s="5">
        <v>635572.91000002495</v>
      </c>
      <c r="G1927" s="5"/>
      <c r="H1927" s="5">
        <v>7057</v>
      </c>
    </row>
    <row r="1928" spans="1:8">
      <c r="A1928" s="5">
        <v>2023</v>
      </c>
      <c r="B1928" s="6">
        <v>45200</v>
      </c>
      <c r="C1928" s="5" t="s">
        <v>15</v>
      </c>
      <c r="D1928" s="3" t="str" cm="1">
        <f t="array" ref="D1928">_xlfn.IFS(
 ISNUMBER(SEARCH("WHISK",C1928)),"Whiskey",
 ISNUMBER(SEARCH("BOURBON",C1928)),"Whiskey",
 ISNUMBER(SEARCH("SCOTCH",C1928)),"Whiskey",
 ISNUMBER(SEARCH("RYE",C1928)),"Whiskey",
 ISNUMBER(SEARCH("VODKA",C1928)),"Vodka",
 ISNUMBER(SEARCH("TEQUILA",C1928)),"Tequila/Mezcal",
 ISNUMBER(SEARCH("MEZCAL",C1928)),"Tequila/Mezcal",
 ISNUMBER(SEARCH("RUM",C1928)),"Rum",
 ISNUMBER(SEARCH("BRAND",C1928)),"Brandy",
 ISNUMBER(SEARCH("COGNAC",C1928)),"Brandy",
 ISNUMBER(SEARCH("LIQUEUR",C1928)),"Liqueurs",
 ISNUMBER(SEARCH("CORDIAL",C1928)),"Liqueurs",
 ISNUMBER(SEARCH("SCHNAPP",C1928)),"Liqueurs",
 ISNUMBER(SEARCH("GIN",C1928)),"Gin",
 TRUE,"Other")</f>
        <v>Vodka</v>
      </c>
      <c r="E1928" s="5">
        <v>558102</v>
      </c>
      <c r="F1928" s="5">
        <v>5810282.1300000558</v>
      </c>
      <c r="G1928" s="5"/>
      <c r="H1928" s="5">
        <v>34344</v>
      </c>
    </row>
    <row r="1929" spans="1:8">
      <c r="A1929" s="5">
        <v>2023</v>
      </c>
      <c r="B1929" s="6">
        <v>45200</v>
      </c>
      <c r="C1929" s="5" t="s">
        <v>16</v>
      </c>
      <c r="D1929" s="3" t="str" cm="1">
        <f t="array" ref="D1929">_xlfn.IFS(
 ISNUMBER(SEARCH("WHISK",C1929)),"Whiskey",
 ISNUMBER(SEARCH("BOURBON",C1929)),"Whiskey",
 ISNUMBER(SEARCH("SCOTCH",C1929)),"Whiskey",
 ISNUMBER(SEARCH("RYE",C1929)),"Whiskey",
 ISNUMBER(SEARCH("VODKA",C1929)),"Vodka",
 ISNUMBER(SEARCH("TEQUILA",C1929)),"Tequila/Mezcal",
 ISNUMBER(SEARCH("MEZCAL",C1929)),"Tequila/Mezcal",
 ISNUMBER(SEARCH("RUM",C1929)),"Rum",
 ISNUMBER(SEARCH("BRAND",C1929)),"Brandy",
 ISNUMBER(SEARCH("COGNAC",C1929)),"Brandy",
 ISNUMBER(SEARCH("LIQUEUR",C1929)),"Liqueurs",
 ISNUMBER(SEARCH("CORDIAL",C1929)),"Liqueurs",
 ISNUMBER(SEARCH("SCHNAPP",C1929)),"Liqueurs",
 ISNUMBER(SEARCH("GIN",C1929)),"Gin",
 TRUE,"Other")</f>
        <v>Whiskey</v>
      </c>
      <c r="E1929" s="5">
        <v>71054</v>
      </c>
      <c r="F1929" s="5">
        <v>938132.33999998926</v>
      </c>
      <c r="G1929" s="5"/>
      <c r="H1929" s="5">
        <v>7907</v>
      </c>
    </row>
    <row r="1930" spans="1:8">
      <c r="A1930" s="5">
        <v>2023</v>
      </c>
      <c r="B1930" s="6">
        <v>45200</v>
      </c>
      <c r="C1930" s="5" t="s">
        <v>18</v>
      </c>
      <c r="D1930" s="3" t="str" cm="1">
        <f t="array" ref="D1930">_xlfn.IFS(
 ISNUMBER(SEARCH("WHISK",C1930)),"Whiskey",
 ISNUMBER(SEARCH("BOURBON",C1930)),"Whiskey",
 ISNUMBER(SEARCH("SCOTCH",C1930)),"Whiskey",
 ISNUMBER(SEARCH("RYE",C1930)),"Whiskey",
 ISNUMBER(SEARCH("VODKA",C1930)),"Vodka",
 ISNUMBER(SEARCH("TEQUILA",C1930)),"Tequila/Mezcal",
 ISNUMBER(SEARCH("MEZCAL",C1930)),"Tequila/Mezcal",
 ISNUMBER(SEARCH("RUM",C1930)),"Rum",
 ISNUMBER(SEARCH("BRAND",C1930)),"Brandy",
 ISNUMBER(SEARCH("COGNAC",C1930)),"Brandy",
 ISNUMBER(SEARCH("LIQUEUR",C1930)),"Liqueurs",
 ISNUMBER(SEARCH("CORDIAL",C1930)),"Liqueurs",
 ISNUMBER(SEARCH("SCHNAPP",C1930)),"Liqueurs",
 ISNUMBER(SEARCH("GIN",C1930)),"Gin",
 TRUE,"Other")</f>
        <v>Whiskey</v>
      </c>
      <c r="E1930" s="5">
        <v>280733</v>
      </c>
      <c r="F1930" s="5">
        <v>4803933.8799998192</v>
      </c>
      <c r="G1930" s="5"/>
      <c r="H1930" s="5">
        <v>21273</v>
      </c>
    </row>
    <row r="1931" spans="1:8">
      <c r="A1931" s="5">
        <v>2023</v>
      </c>
      <c r="B1931" s="6">
        <v>45200</v>
      </c>
      <c r="C1931" s="5" t="s">
        <v>19</v>
      </c>
      <c r="D1931" s="3" t="str" cm="1">
        <f t="array" ref="D1931">_xlfn.IFS(
 ISNUMBER(SEARCH("WHISK",C1931)),"Whiskey",
 ISNUMBER(SEARCH("BOURBON",C1931)),"Whiskey",
 ISNUMBER(SEARCH("SCOTCH",C1931)),"Whiskey",
 ISNUMBER(SEARCH("RYE",C1931)),"Whiskey",
 ISNUMBER(SEARCH("VODKA",C1931)),"Vodka",
 ISNUMBER(SEARCH("TEQUILA",C1931)),"Tequila/Mezcal",
 ISNUMBER(SEARCH("MEZCAL",C1931)),"Tequila/Mezcal",
 ISNUMBER(SEARCH("RUM",C1931)),"Rum",
 ISNUMBER(SEARCH("BRAND",C1931)),"Brandy",
 ISNUMBER(SEARCH("COGNAC",C1931)),"Brandy",
 ISNUMBER(SEARCH("LIQUEUR",C1931)),"Liqueurs",
 ISNUMBER(SEARCH("CORDIAL",C1931)),"Liqueurs",
 ISNUMBER(SEARCH("SCHNAPP",C1931)),"Liqueurs",
 ISNUMBER(SEARCH("GIN",C1931)),"Gin",
 TRUE,"Other")</f>
        <v>Other</v>
      </c>
      <c r="E1931" s="5">
        <v>41836</v>
      </c>
      <c r="F1931" s="5">
        <v>508979.1299999833</v>
      </c>
      <c r="G1931" s="5"/>
      <c r="H1931" s="5">
        <v>5980</v>
      </c>
    </row>
    <row r="1932" spans="1:8">
      <c r="A1932" s="5">
        <v>2023</v>
      </c>
      <c r="B1932" s="6">
        <v>45200</v>
      </c>
      <c r="C1932" s="5" t="s">
        <v>24</v>
      </c>
      <c r="D1932" s="3" t="str" cm="1">
        <f t="array" ref="D1932">_xlfn.IFS(
 ISNUMBER(SEARCH("WHISK",C1932)),"Whiskey",
 ISNUMBER(SEARCH("BOURBON",C1932)),"Whiskey",
 ISNUMBER(SEARCH("SCOTCH",C1932)),"Whiskey",
 ISNUMBER(SEARCH("RYE",C1932)),"Whiskey",
 ISNUMBER(SEARCH("VODKA",C1932)),"Vodka",
 ISNUMBER(SEARCH("TEQUILA",C1932)),"Tequila/Mezcal",
 ISNUMBER(SEARCH("MEZCAL",C1932)),"Tequila/Mezcal",
 ISNUMBER(SEARCH("RUM",C1932)),"Rum",
 ISNUMBER(SEARCH("BRAND",C1932)),"Brandy",
 ISNUMBER(SEARCH("COGNAC",C1932)),"Brandy",
 ISNUMBER(SEARCH("LIQUEUR",C1932)),"Liqueurs",
 ISNUMBER(SEARCH("CORDIAL",C1932)),"Liqueurs",
 ISNUMBER(SEARCH("SCHNAPP",C1932)),"Liqueurs",
 ISNUMBER(SEARCH("GIN",C1932)),"Gin",
 TRUE,"Other")</f>
        <v>Rum</v>
      </c>
      <c r="E1932" s="5">
        <v>39204</v>
      </c>
      <c r="F1932" s="5">
        <v>608426.57999999926</v>
      </c>
      <c r="G1932" s="5"/>
      <c r="H1932" s="5">
        <v>3818</v>
      </c>
    </row>
    <row r="1933" spans="1:8">
      <c r="A1933" s="5">
        <v>2023</v>
      </c>
      <c r="B1933" s="6">
        <v>45200</v>
      </c>
      <c r="C1933" s="5" t="s">
        <v>26</v>
      </c>
      <c r="D1933" s="3" t="str" cm="1">
        <f t="array" ref="D1933">_xlfn.IFS(
 ISNUMBER(SEARCH("WHISK",C1933)),"Whiskey",
 ISNUMBER(SEARCH("BOURBON",C1933)),"Whiskey",
 ISNUMBER(SEARCH("SCOTCH",C1933)),"Whiskey",
 ISNUMBER(SEARCH("RYE",C1933)),"Whiskey",
 ISNUMBER(SEARCH("VODKA",C1933)),"Vodka",
 ISNUMBER(SEARCH("TEQUILA",C1933)),"Tequila/Mezcal",
 ISNUMBER(SEARCH("MEZCAL",C1933)),"Tequila/Mezcal",
 ISNUMBER(SEARCH("RUM",C1933)),"Rum",
 ISNUMBER(SEARCH("BRAND",C1933)),"Brandy",
 ISNUMBER(SEARCH("COGNAC",C1933)),"Brandy",
 ISNUMBER(SEARCH("LIQUEUR",C1933)),"Liqueurs",
 ISNUMBER(SEARCH("CORDIAL",C1933)),"Liqueurs",
 ISNUMBER(SEARCH("SCHNAPP",C1933)),"Liqueurs",
 ISNUMBER(SEARCH("GIN",C1933)),"Gin",
 TRUE,"Other")</f>
        <v>Brandy</v>
      </c>
      <c r="E1933" s="5">
        <v>39772</v>
      </c>
      <c r="F1933" s="5">
        <v>919571.50999999081</v>
      </c>
      <c r="G1933" s="5"/>
      <c r="H1933" s="5">
        <v>3661</v>
      </c>
    </row>
    <row r="1934" spans="1:8">
      <c r="A1934" s="5">
        <v>2023</v>
      </c>
      <c r="B1934" s="6">
        <v>45200</v>
      </c>
      <c r="C1934" s="5" t="s">
        <v>60</v>
      </c>
      <c r="D1934" s="3" t="str" cm="1">
        <f t="array" ref="D1934">_xlfn.IFS(
 ISNUMBER(SEARCH("WHISK",C1934)),"Whiskey",
 ISNUMBER(SEARCH("BOURBON",C1934)),"Whiskey",
 ISNUMBER(SEARCH("SCOTCH",C1934)),"Whiskey",
 ISNUMBER(SEARCH("RYE",C1934)),"Whiskey",
 ISNUMBER(SEARCH("VODKA",C1934)),"Vodka",
 ISNUMBER(SEARCH("TEQUILA",C1934)),"Tequila/Mezcal",
 ISNUMBER(SEARCH("MEZCAL",C1934)),"Tequila/Mezcal",
 ISNUMBER(SEARCH("RUM",C1934)),"Rum",
 ISNUMBER(SEARCH("BRAND",C1934)),"Brandy",
 ISNUMBER(SEARCH("COGNAC",C1934)),"Brandy",
 ISNUMBER(SEARCH("LIQUEUR",C1934)),"Liqueurs",
 ISNUMBER(SEARCH("CORDIAL",C1934)),"Liqueurs",
 ISNUMBER(SEARCH("SCHNAPP",C1934)),"Liqueurs",
 ISNUMBER(SEARCH("GIN",C1934)),"Gin",
 TRUE,"Other")</f>
        <v>Liqueurs</v>
      </c>
      <c r="E1934" s="5">
        <v>47203</v>
      </c>
      <c r="F1934" s="5">
        <v>1117940.0300000063</v>
      </c>
      <c r="G1934" s="5"/>
      <c r="H1934" s="5">
        <v>4928</v>
      </c>
    </row>
    <row r="1935" spans="1:8">
      <c r="A1935" s="5">
        <v>2023</v>
      </c>
      <c r="B1935" s="6">
        <v>45200</v>
      </c>
      <c r="C1935" s="5" t="s">
        <v>31</v>
      </c>
      <c r="D1935" s="3" t="str" cm="1">
        <f t="array" ref="D1935">_xlfn.IFS(
 ISNUMBER(SEARCH("WHISK",C1935)),"Whiskey",
 ISNUMBER(SEARCH("BOURBON",C1935)),"Whiskey",
 ISNUMBER(SEARCH("SCOTCH",C1935)),"Whiskey",
 ISNUMBER(SEARCH("RYE",C1935)),"Whiskey",
 ISNUMBER(SEARCH("VODKA",C1935)),"Vodka",
 ISNUMBER(SEARCH("TEQUILA",C1935)),"Tequila/Mezcal",
 ISNUMBER(SEARCH("MEZCAL",C1935)),"Tequila/Mezcal",
 ISNUMBER(SEARCH("RUM",C1935)),"Rum",
 ISNUMBER(SEARCH("BRAND",C1935)),"Brandy",
 ISNUMBER(SEARCH("COGNAC",C1935)),"Brandy",
 ISNUMBER(SEARCH("LIQUEUR",C1935)),"Liqueurs",
 ISNUMBER(SEARCH("CORDIAL",C1935)),"Liqueurs",
 ISNUMBER(SEARCH("SCHNAPP",C1935)),"Liqueurs",
 ISNUMBER(SEARCH("GIN",C1935)),"Gin",
 TRUE,"Other")</f>
        <v>Liqueurs</v>
      </c>
      <c r="E1935" s="5">
        <v>27884</v>
      </c>
      <c r="F1935" s="5">
        <v>489931.9700000005</v>
      </c>
      <c r="G1935" s="5"/>
      <c r="H1935" s="5">
        <v>2832</v>
      </c>
    </row>
    <row r="1936" spans="1:8">
      <c r="A1936" s="5">
        <v>2023</v>
      </c>
      <c r="B1936" s="6">
        <v>45200</v>
      </c>
      <c r="C1936" s="5" t="s">
        <v>35</v>
      </c>
      <c r="D1936" s="3" t="str" cm="1">
        <f t="array" ref="D1936">_xlfn.IFS(
 ISNUMBER(SEARCH("WHISK",C1936)),"Whiskey",
 ISNUMBER(SEARCH("BOURBON",C1936)),"Whiskey",
 ISNUMBER(SEARCH("SCOTCH",C1936)),"Whiskey",
 ISNUMBER(SEARCH("RYE",C1936)),"Whiskey",
 ISNUMBER(SEARCH("VODKA",C1936)),"Vodka",
 ISNUMBER(SEARCH("TEQUILA",C1936)),"Tequila/Mezcal",
 ISNUMBER(SEARCH("MEZCAL",C1936)),"Tequila/Mezcal",
 ISNUMBER(SEARCH("RUM",C1936)),"Rum",
 ISNUMBER(SEARCH("BRAND",C1936)),"Brandy",
 ISNUMBER(SEARCH("COGNAC",C1936)),"Brandy",
 ISNUMBER(SEARCH("LIQUEUR",C1936)),"Liqueurs",
 ISNUMBER(SEARCH("CORDIAL",C1936)),"Liqueurs",
 ISNUMBER(SEARCH("SCHNAPP",C1936)),"Liqueurs",
 ISNUMBER(SEARCH("GIN",C1936)),"Gin",
 TRUE,"Other")</f>
        <v>Tequila/Mezcal</v>
      </c>
      <c r="E1936" s="5">
        <v>72159</v>
      </c>
      <c r="F1936" s="5">
        <v>999972.88999999163</v>
      </c>
      <c r="G1936" s="5"/>
      <c r="H1936" s="5">
        <v>4711</v>
      </c>
    </row>
    <row r="1937" spans="1:8">
      <c r="A1937" s="5">
        <v>2023</v>
      </c>
      <c r="B1937" s="6">
        <v>45200</v>
      </c>
      <c r="C1937" s="5" t="s">
        <v>37</v>
      </c>
      <c r="D1937" s="3" t="str" cm="1">
        <f t="array" ref="D1937">_xlfn.IFS(
 ISNUMBER(SEARCH("WHISK",C1937)),"Whiskey",
 ISNUMBER(SEARCH("BOURBON",C1937)),"Whiskey",
 ISNUMBER(SEARCH("SCOTCH",C1937)),"Whiskey",
 ISNUMBER(SEARCH("RYE",C1937)),"Whiskey",
 ISNUMBER(SEARCH("VODKA",C1937)),"Vodka",
 ISNUMBER(SEARCH("TEQUILA",C1937)),"Tequila/Mezcal",
 ISNUMBER(SEARCH("MEZCAL",C1937)),"Tequila/Mezcal",
 ISNUMBER(SEARCH("RUM",C1937)),"Rum",
 ISNUMBER(SEARCH("BRAND",C1937)),"Brandy",
 ISNUMBER(SEARCH("COGNAC",C1937)),"Brandy",
 ISNUMBER(SEARCH("LIQUEUR",C1937)),"Liqueurs",
 ISNUMBER(SEARCH("CORDIAL",C1937)),"Liqueurs",
 ISNUMBER(SEARCH("SCHNAPP",C1937)),"Liqueurs",
 ISNUMBER(SEARCH("GIN",C1937)),"Gin",
 TRUE,"Other")</f>
        <v>Other</v>
      </c>
      <c r="E1937" s="5">
        <v>19069</v>
      </c>
      <c r="F1937" s="5">
        <v>319361.14000000211</v>
      </c>
      <c r="G1937" s="5"/>
      <c r="H1937" s="5">
        <v>3628</v>
      </c>
    </row>
    <row r="1938" spans="1:8">
      <c r="A1938" s="5">
        <v>2023</v>
      </c>
      <c r="B1938" s="6">
        <v>45200</v>
      </c>
      <c r="C1938" s="5" t="s">
        <v>42</v>
      </c>
      <c r="D1938" s="3" t="str" cm="1">
        <f t="array" ref="D1938">_xlfn.IFS(
 ISNUMBER(SEARCH("WHISK",C1938)),"Whiskey",
 ISNUMBER(SEARCH("BOURBON",C1938)),"Whiskey",
 ISNUMBER(SEARCH("SCOTCH",C1938)),"Whiskey",
 ISNUMBER(SEARCH("RYE",C1938)),"Whiskey",
 ISNUMBER(SEARCH("VODKA",C1938)),"Vodka",
 ISNUMBER(SEARCH("TEQUILA",C1938)),"Tequila/Mezcal",
 ISNUMBER(SEARCH("MEZCAL",C1938)),"Tequila/Mezcal",
 ISNUMBER(SEARCH("RUM",C1938)),"Rum",
 ISNUMBER(SEARCH("BRAND",C1938)),"Brandy",
 ISNUMBER(SEARCH("COGNAC",C1938)),"Brandy",
 ISNUMBER(SEARCH("LIQUEUR",C1938)),"Liqueurs",
 ISNUMBER(SEARCH("CORDIAL",C1938)),"Liqueurs",
 ISNUMBER(SEARCH("SCHNAPP",C1938)),"Liqueurs",
 ISNUMBER(SEARCH("GIN",C1938)),"Gin",
 TRUE,"Other")</f>
        <v>Rum</v>
      </c>
      <c r="E1938" s="5">
        <v>116375</v>
      </c>
      <c r="F1938" s="5">
        <v>1632293.889999904</v>
      </c>
      <c r="G1938" s="5"/>
      <c r="H1938" s="5">
        <v>8200</v>
      </c>
    </row>
    <row r="1939" spans="1:8">
      <c r="A1939" s="5">
        <v>2023</v>
      </c>
      <c r="B1939" s="6">
        <v>45200</v>
      </c>
      <c r="C1939" s="5" t="s">
        <v>43</v>
      </c>
      <c r="D1939" s="3" t="str" cm="1">
        <f t="array" ref="D1939">_xlfn.IFS(
 ISNUMBER(SEARCH("WHISK",C1939)),"Whiskey",
 ISNUMBER(SEARCH("BOURBON",C1939)),"Whiskey",
 ISNUMBER(SEARCH("SCOTCH",C1939)),"Whiskey",
 ISNUMBER(SEARCH("RYE",C1939)),"Whiskey",
 ISNUMBER(SEARCH("VODKA",C1939)),"Vodka",
 ISNUMBER(SEARCH("TEQUILA",C1939)),"Tequila/Mezcal",
 ISNUMBER(SEARCH("MEZCAL",C1939)),"Tequila/Mezcal",
 ISNUMBER(SEARCH("RUM",C1939)),"Rum",
 ISNUMBER(SEARCH("BRAND",C1939)),"Brandy",
 ISNUMBER(SEARCH("COGNAC",C1939)),"Brandy",
 ISNUMBER(SEARCH("LIQUEUR",C1939)),"Liqueurs",
 ISNUMBER(SEARCH("CORDIAL",C1939)),"Liqueurs",
 ISNUMBER(SEARCH("SCHNAPP",C1939)),"Liqueurs",
 ISNUMBER(SEARCH("GIN",C1939)),"Gin",
 TRUE,"Other")</f>
        <v>Whiskey</v>
      </c>
      <c r="E1939" s="5">
        <v>157214</v>
      </c>
      <c r="F1939" s="5">
        <v>3591459.0100000221</v>
      </c>
      <c r="G1939" s="5"/>
      <c r="H1939" s="5">
        <v>16705</v>
      </c>
    </row>
    <row r="1940" spans="1:8">
      <c r="A1940" s="5">
        <v>2023</v>
      </c>
      <c r="B1940" s="6">
        <v>45200</v>
      </c>
      <c r="C1940" s="5" t="s">
        <v>45</v>
      </c>
      <c r="D1940" s="3" t="str" cm="1">
        <f t="array" ref="D1940">_xlfn.IFS(
 ISNUMBER(SEARCH("WHISK",C1940)),"Whiskey",
 ISNUMBER(SEARCH("BOURBON",C1940)),"Whiskey",
 ISNUMBER(SEARCH("SCOTCH",C1940)),"Whiskey",
 ISNUMBER(SEARCH("RYE",C1940)),"Whiskey",
 ISNUMBER(SEARCH("VODKA",C1940)),"Vodka",
 ISNUMBER(SEARCH("TEQUILA",C1940)),"Tequila/Mezcal",
 ISNUMBER(SEARCH("MEZCAL",C1940)),"Tequila/Mezcal",
 ISNUMBER(SEARCH("RUM",C1940)),"Rum",
 ISNUMBER(SEARCH("BRAND",C1940)),"Brandy",
 ISNUMBER(SEARCH("COGNAC",C1940)),"Brandy",
 ISNUMBER(SEARCH("LIQUEUR",C1940)),"Liqueurs",
 ISNUMBER(SEARCH("CORDIAL",C1940)),"Liqueurs",
 ISNUMBER(SEARCH("SCHNAPP",C1940)),"Liqueurs",
 ISNUMBER(SEARCH("GIN",C1940)),"Gin",
 TRUE,"Other")</f>
        <v>Other</v>
      </c>
      <c r="E1940" s="5">
        <v>81521</v>
      </c>
      <c r="F1940" s="5">
        <v>2142694.9699999359</v>
      </c>
      <c r="G1940" s="5"/>
      <c r="H1940" s="5">
        <v>9648</v>
      </c>
    </row>
    <row r="1941" spans="1:8">
      <c r="A1941" s="5">
        <v>2023</v>
      </c>
      <c r="B1941" s="6">
        <v>45200</v>
      </c>
      <c r="C1941" s="5" t="s">
        <v>46</v>
      </c>
      <c r="D1941" s="3" t="str" cm="1">
        <f t="array" ref="D1941">_xlfn.IFS(
 ISNUMBER(SEARCH("WHISK",C1941)),"Whiskey",
 ISNUMBER(SEARCH("BOURBON",C1941)),"Whiskey",
 ISNUMBER(SEARCH("SCOTCH",C1941)),"Whiskey",
 ISNUMBER(SEARCH("RYE",C1941)),"Whiskey",
 ISNUMBER(SEARCH("VODKA",C1941)),"Vodka",
 ISNUMBER(SEARCH("TEQUILA",C1941)),"Tequila/Mezcal",
 ISNUMBER(SEARCH("MEZCAL",C1941)),"Tequila/Mezcal",
 ISNUMBER(SEARCH("RUM",C1941)),"Rum",
 ISNUMBER(SEARCH("BRAND",C1941)),"Brandy",
 ISNUMBER(SEARCH("COGNAC",C1941)),"Brandy",
 ISNUMBER(SEARCH("LIQUEUR",C1941)),"Liqueurs",
 ISNUMBER(SEARCH("CORDIAL",C1941)),"Liqueurs",
 ISNUMBER(SEARCH("SCHNAPP",C1941)),"Liqueurs",
 ISNUMBER(SEARCH("GIN",C1941)),"Gin",
 TRUE,"Other")</f>
        <v>Whiskey</v>
      </c>
      <c r="E1941" s="5">
        <v>59357</v>
      </c>
      <c r="F1941" s="5">
        <v>1360843.3099999931</v>
      </c>
      <c r="G1941" s="5"/>
      <c r="H1941" s="5">
        <v>6166</v>
      </c>
    </row>
    <row r="1942" spans="1:8">
      <c r="A1942" s="5">
        <v>2023</v>
      </c>
      <c r="B1942" s="6">
        <v>45200</v>
      </c>
      <c r="C1942" s="5" t="s">
        <v>48</v>
      </c>
      <c r="D1942" s="3" t="str" cm="1">
        <f t="array" ref="D1942">_xlfn.IFS(
 ISNUMBER(SEARCH("WHISK",C1942)),"Whiskey",
 ISNUMBER(SEARCH("BOURBON",C1942)),"Whiskey",
 ISNUMBER(SEARCH("SCOTCH",C1942)),"Whiskey",
 ISNUMBER(SEARCH("RYE",C1942)),"Whiskey",
 ISNUMBER(SEARCH("VODKA",C1942)),"Vodka",
 ISNUMBER(SEARCH("TEQUILA",C1942)),"Tequila/Mezcal",
 ISNUMBER(SEARCH("MEZCAL",C1942)),"Tequila/Mezcal",
 ISNUMBER(SEARCH("RUM",C1942)),"Rum",
 ISNUMBER(SEARCH("BRAND",C1942)),"Brandy",
 ISNUMBER(SEARCH("COGNAC",C1942)),"Brandy",
 ISNUMBER(SEARCH("LIQUEUR",C1942)),"Liqueurs",
 ISNUMBER(SEARCH("CORDIAL",C1942)),"Liqueurs",
 ISNUMBER(SEARCH("SCHNAPP",C1942)),"Liqueurs",
 ISNUMBER(SEARCH("GIN",C1942)),"Gin",
 TRUE,"Other")</f>
        <v>Whiskey</v>
      </c>
      <c r="E1942" s="5">
        <v>386075</v>
      </c>
      <c r="F1942" s="5">
        <v>2409649.209999938</v>
      </c>
      <c r="G1942" s="5"/>
      <c r="H1942" s="5">
        <v>14174</v>
      </c>
    </row>
    <row r="1943" spans="1:8">
      <c r="A1943" s="5">
        <v>2023</v>
      </c>
      <c r="B1943" s="6">
        <v>45200</v>
      </c>
      <c r="C1943" s="5" t="s">
        <v>49</v>
      </c>
      <c r="D1943" s="3" t="str" cm="1">
        <f t="array" ref="D1943">_xlfn.IFS(
 ISNUMBER(SEARCH("WHISK",C1943)),"Whiskey",
 ISNUMBER(SEARCH("BOURBON",C1943)),"Whiskey",
 ISNUMBER(SEARCH("SCOTCH",C1943)),"Whiskey",
 ISNUMBER(SEARCH("RYE",C1943)),"Whiskey",
 ISNUMBER(SEARCH("VODKA",C1943)),"Vodka",
 ISNUMBER(SEARCH("TEQUILA",C1943)),"Tequila/Mezcal",
 ISNUMBER(SEARCH("MEZCAL",C1943)),"Tequila/Mezcal",
 ISNUMBER(SEARCH("RUM",C1943)),"Rum",
 ISNUMBER(SEARCH("BRAND",C1943)),"Brandy",
 ISNUMBER(SEARCH("COGNAC",C1943)),"Brandy",
 ISNUMBER(SEARCH("LIQUEUR",C1943)),"Liqueurs",
 ISNUMBER(SEARCH("CORDIAL",C1943)),"Liqueurs",
 ISNUMBER(SEARCH("SCHNAPP",C1943)),"Liqueurs",
 ISNUMBER(SEARCH("GIN",C1943)),"Gin",
 TRUE,"Other")</f>
        <v>Rum</v>
      </c>
      <c r="E1943" s="5">
        <v>36707</v>
      </c>
      <c r="F1943" s="5">
        <v>449777.32999999664</v>
      </c>
      <c r="G1943" s="5"/>
      <c r="H1943" s="5">
        <v>3468</v>
      </c>
    </row>
    <row r="1944" spans="1:8">
      <c r="A1944" s="5">
        <v>2023</v>
      </c>
      <c r="B1944" s="6">
        <v>45200</v>
      </c>
      <c r="C1944" s="5" t="s">
        <v>59</v>
      </c>
      <c r="D1944" s="3" t="str" cm="1">
        <f t="array" ref="D1944">_xlfn.IFS(
 ISNUMBER(SEARCH("WHISK",C1944)),"Whiskey",
 ISNUMBER(SEARCH("BOURBON",C1944)),"Whiskey",
 ISNUMBER(SEARCH("SCOTCH",C1944)),"Whiskey",
 ISNUMBER(SEARCH("RYE",C1944)),"Whiskey",
 ISNUMBER(SEARCH("VODKA",C1944)),"Vodka",
 ISNUMBER(SEARCH("TEQUILA",C1944)),"Tequila/Mezcal",
 ISNUMBER(SEARCH("MEZCAL",C1944)),"Tequila/Mezcal",
 ISNUMBER(SEARCH("RUM",C1944)),"Rum",
 ISNUMBER(SEARCH("BRAND",C1944)),"Brandy",
 ISNUMBER(SEARCH("COGNAC",C1944)),"Brandy",
 ISNUMBER(SEARCH("LIQUEUR",C1944)),"Liqueurs",
 ISNUMBER(SEARCH("CORDIAL",C1944)),"Liqueurs",
 ISNUMBER(SEARCH("SCHNAPP",C1944)),"Liqueurs",
 ISNUMBER(SEARCH("GIN",C1944)),"Gin",
 TRUE,"Other")</f>
        <v>Liqueurs</v>
      </c>
      <c r="E1944" s="5">
        <v>33142</v>
      </c>
      <c r="F1944" s="5">
        <v>352212.75000000611</v>
      </c>
      <c r="G1944" s="5"/>
      <c r="H1944" s="5">
        <v>5118</v>
      </c>
    </row>
    <row r="1945" spans="1:8">
      <c r="A1945" s="5">
        <v>2023</v>
      </c>
      <c r="B1945" s="6">
        <v>45200</v>
      </c>
      <c r="C1945" s="5" t="s">
        <v>7</v>
      </c>
      <c r="D1945" s="3" t="str" cm="1">
        <f t="array" ref="D1945">_xlfn.IFS(
 ISNUMBER(SEARCH("WHISK",C1945)),"Whiskey",
 ISNUMBER(SEARCH("BOURBON",C1945)),"Whiskey",
 ISNUMBER(SEARCH("SCOTCH",C1945)),"Whiskey",
 ISNUMBER(SEARCH("RYE",C1945)),"Whiskey",
 ISNUMBER(SEARCH("VODKA",C1945)),"Vodka",
 ISNUMBER(SEARCH("TEQUILA",C1945)),"Tequila/Mezcal",
 ISNUMBER(SEARCH("MEZCAL",C1945)),"Tequila/Mezcal",
 ISNUMBER(SEARCH("RUM",C1945)),"Rum",
 ISNUMBER(SEARCH("BRAND",C1945)),"Brandy",
 ISNUMBER(SEARCH("COGNAC",C1945)),"Brandy",
 ISNUMBER(SEARCH("LIQUEUR",C1945)),"Liqueurs",
 ISNUMBER(SEARCH("CORDIAL",C1945)),"Liqueurs",
 ISNUMBER(SEARCH("SCHNAPP",C1945)),"Liqueurs",
 ISNUMBER(SEARCH("GIN",C1945)),"Gin",
 TRUE,"Other")</f>
        <v>Rum</v>
      </c>
      <c r="E1945" s="5">
        <v>4069</v>
      </c>
      <c r="F1945" s="5">
        <v>89913.350000000049</v>
      </c>
      <c r="G1945" s="5"/>
      <c r="H1945" s="5">
        <v>603</v>
      </c>
    </row>
    <row r="1946" spans="1:8">
      <c r="A1946" s="5">
        <v>2023</v>
      </c>
      <c r="B1946" s="6">
        <v>45200</v>
      </c>
      <c r="C1946" s="5" t="s">
        <v>8</v>
      </c>
      <c r="D1946" s="3" t="str" cm="1">
        <f t="array" ref="D1946">_xlfn.IFS(
 ISNUMBER(SEARCH("WHISK",C1946)),"Whiskey",
 ISNUMBER(SEARCH("BOURBON",C1946)),"Whiskey",
 ISNUMBER(SEARCH("SCOTCH",C1946)),"Whiskey",
 ISNUMBER(SEARCH("RYE",C1946)),"Whiskey",
 ISNUMBER(SEARCH("VODKA",C1946)),"Vodka",
 ISNUMBER(SEARCH("TEQUILA",C1946)),"Tequila/Mezcal",
 ISNUMBER(SEARCH("MEZCAL",C1946)),"Tequila/Mezcal",
 ISNUMBER(SEARCH("RUM",C1946)),"Rum",
 ISNUMBER(SEARCH("BRAND",C1946)),"Brandy",
 ISNUMBER(SEARCH("COGNAC",C1946)),"Brandy",
 ISNUMBER(SEARCH("LIQUEUR",C1946)),"Liqueurs",
 ISNUMBER(SEARCH("CORDIAL",C1946)),"Liqueurs",
 ISNUMBER(SEARCH("SCHNAPP",C1946)),"Liqueurs",
 ISNUMBER(SEARCH("GIN",C1946)),"Gin",
 TRUE,"Other")</f>
        <v>Brandy</v>
      </c>
      <c r="E1946" s="5">
        <v>59696</v>
      </c>
      <c r="F1946" s="5">
        <v>391226.76000000222</v>
      </c>
      <c r="G1946" s="5"/>
      <c r="H1946" s="5">
        <v>4800</v>
      </c>
    </row>
    <row r="1947" spans="1:8">
      <c r="A1947" s="5">
        <v>2023</v>
      </c>
      <c r="B1947" s="6">
        <v>45200</v>
      </c>
      <c r="C1947" s="5" t="s">
        <v>20</v>
      </c>
      <c r="D1947" s="3" t="str" cm="1">
        <f t="array" ref="D1947">_xlfn.IFS(
 ISNUMBER(SEARCH("WHISK",C1947)),"Whiskey",
 ISNUMBER(SEARCH("BOURBON",C1947)),"Whiskey",
 ISNUMBER(SEARCH("SCOTCH",C1947)),"Whiskey",
 ISNUMBER(SEARCH("RYE",C1947)),"Whiskey",
 ISNUMBER(SEARCH("VODKA",C1947)),"Vodka",
 ISNUMBER(SEARCH("TEQUILA",C1947)),"Tequila/Mezcal",
 ISNUMBER(SEARCH("MEZCAL",C1947)),"Tequila/Mezcal",
 ISNUMBER(SEARCH("RUM",C1947)),"Rum",
 ISNUMBER(SEARCH("BRAND",C1947)),"Brandy",
 ISNUMBER(SEARCH("COGNAC",C1947)),"Brandy",
 ISNUMBER(SEARCH("LIQUEUR",C1947)),"Liqueurs",
 ISNUMBER(SEARCH("CORDIAL",C1947)),"Liqueurs",
 ISNUMBER(SEARCH("SCHNAPP",C1947)),"Liqueurs",
 ISNUMBER(SEARCH("GIN",C1947)),"Gin",
 TRUE,"Other")</f>
        <v>Liqueurs</v>
      </c>
      <c r="E1947" s="5">
        <v>11170</v>
      </c>
      <c r="F1947" s="5">
        <v>251063.23000000085</v>
      </c>
      <c r="G1947" s="5"/>
      <c r="H1947" s="5">
        <v>959</v>
      </c>
    </row>
    <row r="1948" spans="1:8">
      <c r="A1948" s="5">
        <v>2023</v>
      </c>
      <c r="B1948" s="6">
        <v>45200</v>
      </c>
      <c r="C1948" s="5" t="s">
        <v>29</v>
      </c>
      <c r="D1948" s="3" t="str" cm="1">
        <f t="array" ref="D1948">_xlfn.IFS(
 ISNUMBER(SEARCH("WHISK",C1948)),"Whiskey",
 ISNUMBER(SEARCH("BOURBON",C1948)),"Whiskey",
 ISNUMBER(SEARCH("SCOTCH",C1948)),"Whiskey",
 ISNUMBER(SEARCH("RYE",C1948)),"Whiskey",
 ISNUMBER(SEARCH("VODKA",C1948)),"Vodka",
 ISNUMBER(SEARCH("TEQUILA",C1948)),"Tequila/Mezcal",
 ISNUMBER(SEARCH("MEZCAL",C1948)),"Tequila/Mezcal",
 ISNUMBER(SEARCH("RUM",C1948)),"Rum",
 ISNUMBER(SEARCH("BRAND",C1948)),"Brandy",
 ISNUMBER(SEARCH("COGNAC",C1948)),"Brandy",
 ISNUMBER(SEARCH("LIQUEUR",C1948)),"Liqueurs",
 ISNUMBER(SEARCH("CORDIAL",C1948)),"Liqueurs",
 ISNUMBER(SEARCH("SCHNAPP",C1948)),"Liqueurs",
 ISNUMBER(SEARCH("GIN",C1948)),"Gin",
 TRUE,"Other")</f>
        <v>Gin</v>
      </c>
      <c r="E1948" s="5">
        <v>17660</v>
      </c>
      <c r="F1948" s="5">
        <v>460858.67000000016</v>
      </c>
      <c r="G1948" s="5"/>
      <c r="H1948" s="5">
        <v>1816</v>
      </c>
    </row>
    <row r="1949" spans="1:8">
      <c r="A1949" s="5">
        <v>2023</v>
      </c>
      <c r="B1949" s="6">
        <v>45200</v>
      </c>
      <c r="C1949" s="5" t="s">
        <v>32</v>
      </c>
      <c r="D1949" s="3" t="str" cm="1">
        <f t="array" ref="D1949">_xlfn.IFS(
 ISNUMBER(SEARCH("WHISK",C1949)),"Whiskey",
 ISNUMBER(SEARCH("BOURBON",C1949)),"Whiskey",
 ISNUMBER(SEARCH("SCOTCH",C1949)),"Whiskey",
 ISNUMBER(SEARCH("RYE",C1949)),"Whiskey",
 ISNUMBER(SEARCH("VODKA",C1949)),"Vodka",
 ISNUMBER(SEARCH("TEQUILA",C1949)),"Tequila/Mezcal",
 ISNUMBER(SEARCH("MEZCAL",C1949)),"Tequila/Mezcal",
 ISNUMBER(SEARCH("RUM",C1949)),"Rum",
 ISNUMBER(SEARCH("BRAND",C1949)),"Brandy",
 ISNUMBER(SEARCH("COGNAC",C1949)),"Brandy",
 ISNUMBER(SEARCH("LIQUEUR",C1949)),"Liqueurs",
 ISNUMBER(SEARCH("CORDIAL",C1949)),"Liqueurs",
 ISNUMBER(SEARCH("SCHNAPP",C1949)),"Liqueurs",
 ISNUMBER(SEARCH("GIN",C1949)),"Gin",
 TRUE,"Other")</f>
        <v>Vodka</v>
      </c>
      <c r="E1949" s="5">
        <v>62201</v>
      </c>
      <c r="F1949" s="5">
        <v>1023049.3299999895</v>
      </c>
      <c r="G1949" s="5"/>
      <c r="H1949" s="5">
        <v>4809</v>
      </c>
    </row>
    <row r="1950" spans="1:8">
      <c r="A1950" s="5">
        <v>2023</v>
      </c>
      <c r="B1950" s="6">
        <v>45200</v>
      </c>
      <c r="C1950" s="5" t="s">
        <v>33</v>
      </c>
      <c r="D1950" s="3" t="str" cm="1">
        <f t="array" ref="D1950">_xlfn.IFS(
 ISNUMBER(SEARCH("WHISK",C1950)),"Whiskey",
 ISNUMBER(SEARCH("BOURBON",C1950)),"Whiskey",
 ISNUMBER(SEARCH("SCOTCH",C1950)),"Whiskey",
 ISNUMBER(SEARCH("RYE",C1950)),"Whiskey",
 ISNUMBER(SEARCH("VODKA",C1950)),"Vodka",
 ISNUMBER(SEARCH("TEQUILA",C1950)),"Tequila/Mezcal",
 ISNUMBER(SEARCH("MEZCAL",C1950)),"Tequila/Mezcal",
 ISNUMBER(SEARCH("RUM",C1950)),"Rum",
 ISNUMBER(SEARCH("BRAND",C1950)),"Brandy",
 ISNUMBER(SEARCH("COGNAC",C1950)),"Brandy",
 ISNUMBER(SEARCH("LIQUEUR",C1950)),"Liqueurs",
 ISNUMBER(SEARCH("CORDIAL",C1950)),"Liqueurs",
 ISNUMBER(SEARCH("SCHNAPP",C1950)),"Liqueurs",
 ISNUMBER(SEARCH("GIN",C1950)),"Gin",
 TRUE,"Other")</f>
        <v>Whiskey</v>
      </c>
      <c r="E1950" s="5">
        <v>32622</v>
      </c>
      <c r="F1950" s="5">
        <v>894274.8999999899</v>
      </c>
      <c r="G1950" s="5"/>
      <c r="H1950" s="5">
        <v>2640</v>
      </c>
    </row>
    <row r="1951" spans="1:8">
      <c r="A1951" s="5">
        <v>2023</v>
      </c>
      <c r="B1951" s="6">
        <v>45200</v>
      </c>
      <c r="C1951" s="5" t="s">
        <v>38</v>
      </c>
      <c r="D1951" s="3" t="str" cm="1">
        <f t="array" ref="D1951">_xlfn.IFS(
 ISNUMBER(SEARCH("WHISK",C1951)),"Whiskey",
 ISNUMBER(SEARCH("BOURBON",C1951)),"Whiskey",
 ISNUMBER(SEARCH("SCOTCH",C1951)),"Whiskey",
 ISNUMBER(SEARCH("RYE",C1951)),"Whiskey",
 ISNUMBER(SEARCH("VODKA",C1951)),"Vodka",
 ISNUMBER(SEARCH("TEQUILA",C1951)),"Tequila/Mezcal",
 ISNUMBER(SEARCH("MEZCAL",C1951)),"Tequila/Mezcal",
 ISNUMBER(SEARCH("RUM",C1951)),"Rum",
 ISNUMBER(SEARCH("BRAND",C1951)),"Brandy",
 ISNUMBER(SEARCH("COGNAC",C1951)),"Brandy",
 ISNUMBER(SEARCH("LIQUEUR",C1951)),"Liqueurs",
 ISNUMBER(SEARCH("CORDIAL",C1951)),"Liqueurs",
 ISNUMBER(SEARCH("SCHNAPP",C1951)),"Liqueurs",
 ISNUMBER(SEARCH("GIN",C1951)),"Gin",
 TRUE,"Other")</f>
        <v>Whiskey</v>
      </c>
      <c r="E1951" s="5">
        <v>16218</v>
      </c>
      <c r="F1951" s="5">
        <v>503717.81999999925</v>
      </c>
      <c r="G1951" s="5"/>
      <c r="H1951" s="5">
        <v>2625</v>
      </c>
    </row>
    <row r="1952" spans="1:8">
      <c r="A1952" s="5">
        <v>2023</v>
      </c>
      <c r="B1952" s="6">
        <v>45200</v>
      </c>
      <c r="C1952" s="5" t="s">
        <v>39</v>
      </c>
      <c r="D1952" s="3" t="str" cm="1">
        <f t="array" ref="D1952">_xlfn.IFS(
 ISNUMBER(SEARCH("WHISK",C1952)),"Whiskey",
 ISNUMBER(SEARCH("BOURBON",C1952)),"Whiskey",
 ISNUMBER(SEARCH("SCOTCH",C1952)),"Whiskey",
 ISNUMBER(SEARCH("RYE",C1952)),"Whiskey",
 ISNUMBER(SEARCH("VODKA",C1952)),"Vodka",
 ISNUMBER(SEARCH("TEQUILA",C1952)),"Tequila/Mezcal",
 ISNUMBER(SEARCH("MEZCAL",C1952)),"Tequila/Mezcal",
 ISNUMBER(SEARCH("RUM",C1952)),"Rum",
 ISNUMBER(SEARCH("BRAND",C1952)),"Brandy",
 ISNUMBER(SEARCH("COGNAC",C1952)),"Brandy",
 ISNUMBER(SEARCH("LIQUEUR",C1952)),"Liqueurs",
 ISNUMBER(SEARCH("CORDIAL",C1952)),"Liqueurs",
 ISNUMBER(SEARCH("SCHNAPP",C1952)),"Liqueurs",
 ISNUMBER(SEARCH("GIN",C1952)),"Gin",
 TRUE,"Other")</f>
        <v>Whiskey</v>
      </c>
      <c r="E1952" s="5">
        <v>5802</v>
      </c>
      <c r="F1952" s="5">
        <v>233871.3</v>
      </c>
      <c r="G1952" s="5"/>
      <c r="H1952" s="5">
        <v>867</v>
      </c>
    </row>
    <row r="1953" spans="1:8">
      <c r="A1953" s="5">
        <v>2023</v>
      </c>
      <c r="B1953" s="6">
        <v>45200</v>
      </c>
      <c r="C1953" s="5" t="s">
        <v>40</v>
      </c>
      <c r="D1953" s="3" t="str" cm="1">
        <f t="array" ref="D1953">_xlfn.IFS(
 ISNUMBER(SEARCH("WHISK",C1953)),"Whiskey",
 ISNUMBER(SEARCH("BOURBON",C1953)),"Whiskey",
 ISNUMBER(SEARCH("SCOTCH",C1953)),"Whiskey",
 ISNUMBER(SEARCH("RYE",C1953)),"Whiskey",
 ISNUMBER(SEARCH("VODKA",C1953)),"Vodka",
 ISNUMBER(SEARCH("TEQUILA",C1953)),"Tequila/Mezcal",
 ISNUMBER(SEARCH("MEZCAL",C1953)),"Tequila/Mezcal",
 ISNUMBER(SEARCH("RUM",C1953)),"Rum",
 ISNUMBER(SEARCH("BRAND",C1953)),"Brandy",
 ISNUMBER(SEARCH("COGNAC",C1953)),"Brandy",
 ISNUMBER(SEARCH("LIQUEUR",C1953)),"Liqueurs",
 ISNUMBER(SEARCH("CORDIAL",C1953)),"Liqueurs",
 ISNUMBER(SEARCH("SCHNAPP",C1953)),"Liqueurs",
 ISNUMBER(SEARCH("GIN",C1953)),"Gin",
 TRUE,"Other")</f>
        <v>Whiskey</v>
      </c>
      <c r="E1953" s="5">
        <v>8991</v>
      </c>
      <c r="F1953" s="5">
        <v>498811.0299999984</v>
      </c>
      <c r="G1953" s="5"/>
      <c r="H1953" s="5">
        <v>1518</v>
      </c>
    </row>
    <row r="1954" spans="1:8">
      <c r="A1954" s="5">
        <v>2023</v>
      </c>
      <c r="B1954" s="6">
        <v>45200</v>
      </c>
      <c r="C1954" s="5" t="s">
        <v>44</v>
      </c>
      <c r="D1954" s="3" t="str" cm="1">
        <f t="array" ref="D1954">_xlfn.IFS(
 ISNUMBER(SEARCH("WHISK",C1954)),"Whiskey",
 ISNUMBER(SEARCH("BOURBON",C1954)),"Whiskey",
 ISNUMBER(SEARCH("SCOTCH",C1954)),"Whiskey",
 ISNUMBER(SEARCH("RYE",C1954)),"Whiskey",
 ISNUMBER(SEARCH("VODKA",C1954)),"Vodka",
 ISNUMBER(SEARCH("TEQUILA",C1954)),"Tequila/Mezcal",
 ISNUMBER(SEARCH("MEZCAL",C1954)),"Tequila/Mezcal",
 ISNUMBER(SEARCH("RUM",C1954)),"Rum",
 ISNUMBER(SEARCH("BRAND",C1954)),"Brandy",
 ISNUMBER(SEARCH("COGNAC",C1954)),"Brandy",
 ISNUMBER(SEARCH("LIQUEUR",C1954)),"Liqueurs",
 ISNUMBER(SEARCH("CORDIAL",C1954)),"Liqueurs",
 ISNUMBER(SEARCH("SCHNAPP",C1954)),"Liqueurs",
 ISNUMBER(SEARCH("GIN",C1954)),"Gin",
 TRUE,"Other")</f>
        <v>Whiskey</v>
      </c>
      <c r="E1954" s="5">
        <v>13005</v>
      </c>
      <c r="F1954" s="5">
        <v>426936.16000000114</v>
      </c>
      <c r="G1954" s="5"/>
      <c r="H1954" s="5">
        <v>1719</v>
      </c>
    </row>
    <row r="1955" spans="1:8">
      <c r="A1955" s="5">
        <v>2023</v>
      </c>
      <c r="B1955" s="6">
        <v>45200</v>
      </c>
      <c r="C1955" s="5" t="s">
        <v>22</v>
      </c>
      <c r="D1955" s="3" t="str" cm="1">
        <f t="array" ref="D1955">_xlfn.IFS(
 ISNUMBER(SEARCH("WHISK",C1955)),"Whiskey",
 ISNUMBER(SEARCH("BOURBON",C1955)),"Whiskey",
 ISNUMBER(SEARCH("SCOTCH",C1955)),"Whiskey",
 ISNUMBER(SEARCH("RYE",C1955)),"Whiskey",
 ISNUMBER(SEARCH("VODKA",C1955)),"Vodka",
 ISNUMBER(SEARCH("TEQUILA",C1955)),"Tequila/Mezcal",
 ISNUMBER(SEARCH("MEZCAL",C1955)),"Tequila/Mezcal",
 ISNUMBER(SEARCH("RUM",C1955)),"Rum",
 ISNUMBER(SEARCH("BRAND",C1955)),"Brandy",
 ISNUMBER(SEARCH("COGNAC",C1955)),"Brandy",
 ISNUMBER(SEARCH("LIQUEUR",C1955)),"Liqueurs",
 ISNUMBER(SEARCH("CORDIAL",C1955)),"Liqueurs",
 ISNUMBER(SEARCH("SCHNAPP",C1955)),"Liqueurs",
 ISNUMBER(SEARCH("GIN",C1955)),"Gin",
 TRUE,"Other")</f>
        <v>Liqueurs</v>
      </c>
      <c r="E1955" s="5">
        <v>48654</v>
      </c>
      <c r="F1955" s="5">
        <v>1009272.9399999959</v>
      </c>
      <c r="G1955" s="5"/>
      <c r="H1955" s="5">
        <v>4083</v>
      </c>
    </row>
    <row r="1956" spans="1:8">
      <c r="A1956" s="5">
        <v>2023</v>
      </c>
      <c r="B1956" s="6">
        <v>45200</v>
      </c>
      <c r="C1956" s="5" t="s">
        <v>30</v>
      </c>
      <c r="D1956" s="3" t="str" cm="1">
        <f t="array" ref="D1956">_xlfn.IFS(
 ISNUMBER(SEARCH("WHISK",C1956)),"Whiskey",
 ISNUMBER(SEARCH("BOURBON",C1956)),"Whiskey",
 ISNUMBER(SEARCH("SCOTCH",C1956)),"Whiskey",
 ISNUMBER(SEARCH("RYE",C1956)),"Whiskey",
 ISNUMBER(SEARCH("VODKA",C1956)),"Vodka",
 ISNUMBER(SEARCH("TEQUILA",C1956)),"Tequila/Mezcal",
 ISNUMBER(SEARCH("MEZCAL",C1956)),"Tequila/Mezcal",
 ISNUMBER(SEARCH("RUM",C1956)),"Rum",
 ISNUMBER(SEARCH("BRAND",C1956)),"Brandy",
 ISNUMBER(SEARCH("COGNAC",C1956)),"Brandy",
 ISNUMBER(SEARCH("LIQUEUR",C1956)),"Liqueurs",
 ISNUMBER(SEARCH("CORDIAL",C1956)),"Liqueurs",
 ISNUMBER(SEARCH("SCHNAPP",C1956)),"Liqueurs",
 ISNUMBER(SEARCH("GIN",C1956)),"Gin",
 TRUE,"Other")</f>
        <v>Vodka</v>
      </c>
      <c r="E1956" s="5">
        <v>24461</v>
      </c>
      <c r="F1956" s="5">
        <v>407166.66000000056</v>
      </c>
      <c r="G1956" s="5"/>
      <c r="H1956" s="5">
        <v>2309</v>
      </c>
    </row>
    <row r="1957" spans="1:8">
      <c r="A1957" s="5">
        <v>2023</v>
      </c>
      <c r="B1957" s="6">
        <v>45200</v>
      </c>
      <c r="C1957" s="5" t="s">
        <v>10</v>
      </c>
      <c r="D1957" s="3" t="str" cm="1">
        <f t="array" ref="D1957">_xlfn.IFS(
 ISNUMBER(SEARCH("WHISK",C1957)),"Whiskey",
 ISNUMBER(SEARCH("BOURBON",C1957)),"Whiskey",
 ISNUMBER(SEARCH("SCOTCH",C1957)),"Whiskey",
 ISNUMBER(SEARCH("RYE",C1957)),"Whiskey",
 ISNUMBER(SEARCH("VODKA",C1957)),"Vodka",
 ISNUMBER(SEARCH("TEQUILA",C1957)),"Tequila/Mezcal",
 ISNUMBER(SEARCH("MEZCAL",C1957)),"Tequila/Mezcal",
 ISNUMBER(SEARCH("RUM",C1957)),"Rum",
 ISNUMBER(SEARCH("BRAND",C1957)),"Brandy",
 ISNUMBER(SEARCH("COGNAC",C1957)),"Brandy",
 ISNUMBER(SEARCH("LIQUEUR",C1957)),"Liqueurs",
 ISNUMBER(SEARCH("CORDIAL",C1957)),"Liqueurs",
 ISNUMBER(SEARCH("SCHNAPP",C1957)),"Liqueurs",
 ISNUMBER(SEARCH("GIN",C1957)),"Gin",
 TRUE,"Other")</f>
        <v>Other</v>
      </c>
      <c r="E1957" s="5">
        <v>9284</v>
      </c>
      <c r="F1957" s="5">
        <v>219232.33999999997</v>
      </c>
      <c r="G1957" s="5"/>
      <c r="H1957" s="5">
        <v>784</v>
      </c>
    </row>
    <row r="1958" spans="1:8">
      <c r="A1958" s="5">
        <v>2023</v>
      </c>
      <c r="B1958" s="6">
        <v>45200</v>
      </c>
      <c r="C1958" s="5" t="s">
        <v>17</v>
      </c>
      <c r="D1958" s="3" t="str" cm="1">
        <f t="array" ref="D1958">_xlfn.IFS(
 ISNUMBER(SEARCH("WHISK",C1958)),"Whiskey",
 ISNUMBER(SEARCH("BOURBON",C1958)),"Whiskey",
 ISNUMBER(SEARCH("SCOTCH",C1958)),"Whiskey",
 ISNUMBER(SEARCH("RYE",C1958)),"Whiskey",
 ISNUMBER(SEARCH("VODKA",C1958)),"Vodka",
 ISNUMBER(SEARCH("TEQUILA",C1958)),"Tequila/Mezcal",
 ISNUMBER(SEARCH("MEZCAL",C1958)),"Tequila/Mezcal",
 ISNUMBER(SEARCH("RUM",C1958)),"Rum",
 ISNUMBER(SEARCH("BRAND",C1958)),"Brandy",
 ISNUMBER(SEARCH("COGNAC",C1958)),"Brandy",
 ISNUMBER(SEARCH("LIQUEUR",C1958)),"Liqueurs",
 ISNUMBER(SEARCH("CORDIAL",C1958)),"Liqueurs",
 ISNUMBER(SEARCH("SCHNAPP",C1958)),"Liqueurs",
 ISNUMBER(SEARCH("GIN",C1958)),"Gin",
 TRUE,"Other")</f>
        <v>Whiskey</v>
      </c>
      <c r="E1958" s="5">
        <v>2750</v>
      </c>
      <c r="F1958" s="5">
        <v>74344.880000000034</v>
      </c>
      <c r="G1958" s="5"/>
      <c r="H1958" s="5">
        <v>533</v>
      </c>
    </row>
    <row r="1959" spans="1:8">
      <c r="A1959" s="5">
        <v>2023</v>
      </c>
      <c r="B1959" s="6">
        <v>45200</v>
      </c>
      <c r="C1959" s="5" t="s">
        <v>25</v>
      </c>
      <c r="D1959" s="3" t="str" cm="1">
        <f t="array" ref="D1959">_xlfn.IFS(
 ISNUMBER(SEARCH("WHISK",C1959)),"Whiskey",
 ISNUMBER(SEARCH("BOURBON",C1959)),"Whiskey",
 ISNUMBER(SEARCH("SCOTCH",C1959)),"Whiskey",
 ISNUMBER(SEARCH("RYE",C1959)),"Whiskey",
 ISNUMBER(SEARCH("VODKA",C1959)),"Vodka",
 ISNUMBER(SEARCH("TEQUILA",C1959)),"Tequila/Mezcal",
 ISNUMBER(SEARCH("MEZCAL",C1959)),"Tequila/Mezcal",
 ISNUMBER(SEARCH("RUM",C1959)),"Rum",
 ISNUMBER(SEARCH("BRAND",C1959)),"Brandy",
 ISNUMBER(SEARCH("COGNAC",C1959)),"Brandy",
 ISNUMBER(SEARCH("LIQUEUR",C1959)),"Liqueurs",
 ISNUMBER(SEARCH("CORDIAL",C1959)),"Liqueurs",
 ISNUMBER(SEARCH("SCHNAPP",C1959)),"Liqueurs",
 ISNUMBER(SEARCH("GIN",C1959)),"Gin",
 TRUE,"Other")</f>
        <v>Rum</v>
      </c>
      <c r="E1959" s="5">
        <v>5706</v>
      </c>
      <c r="F1959" s="5">
        <v>79923.379999999845</v>
      </c>
      <c r="G1959" s="5"/>
      <c r="H1959" s="5">
        <v>844</v>
      </c>
    </row>
    <row r="1960" spans="1:8">
      <c r="A1960" s="5">
        <v>2023</v>
      </c>
      <c r="B1960" s="6">
        <v>45200</v>
      </c>
      <c r="C1960" s="5" t="s">
        <v>36</v>
      </c>
      <c r="D1960" s="3" t="str" cm="1">
        <f t="array" ref="D1960">_xlfn.IFS(
 ISNUMBER(SEARCH("WHISK",C1960)),"Whiskey",
 ISNUMBER(SEARCH("BOURBON",C1960)),"Whiskey",
 ISNUMBER(SEARCH("SCOTCH",C1960)),"Whiskey",
 ISNUMBER(SEARCH("RYE",C1960)),"Whiskey",
 ISNUMBER(SEARCH("VODKA",C1960)),"Vodka",
 ISNUMBER(SEARCH("TEQUILA",C1960)),"Tequila/Mezcal",
 ISNUMBER(SEARCH("MEZCAL",C1960)),"Tequila/Mezcal",
 ISNUMBER(SEARCH("RUM",C1960)),"Rum",
 ISNUMBER(SEARCH("BRAND",C1960)),"Brandy",
 ISNUMBER(SEARCH("COGNAC",C1960)),"Brandy",
 ISNUMBER(SEARCH("LIQUEUR",C1960)),"Liqueurs",
 ISNUMBER(SEARCH("CORDIAL",C1960)),"Liqueurs",
 ISNUMBER(SEARCH("SCHNAPP",C1960)),"Liqueurs",
 ISNUMBER(SEARCH("GIN",C1960)),"Gin",
 TRUE,"Other")</f>
        <v>Other</v>
      </c>
      <c r="E1960" s="5">
        <v>4383</v>
      </c>
      <c r="F1960" s="5">
        <v>62879.650000000023</v>
      </c>
      <c r="G1960" s="5"/>
      <c r="H1960" s="5">
        <v>507</v>
      </c>
    </row>
    <row r="1961" spans="1:8">
      <c r="A1961" s="5">
        <v>2023</v>
      </c>
      <c r="B1961" s="6">
        <v>45200</v>
      </c>
      <c r="C1961" s="5" t="s">
        <v>47</v>
      </c>
      <c r="D1961" s="3" t="str" cm="1">
        <f t="array" ref="D1961">_xlfn.IFS(
 ISNUMBER(SEARCH("WHISK",C1961)),"Whiskey",
 ISNUMBER(SEARCH("BOURBON",C1961)),"Whiskey",
 ISNUMBER(SEARCH("SCOTCH",C1961)),"Whiskey",
 ISNUMBER(SEARCH("RYE",C1961)),"Whiskey",
 ISNUMBER(SEARCH("VODKA",C1961)),"Vodka",
 ISNUMBER(SEARCH("TEQUILA",C1961)),"Tequila/Mezcal",
 ISNUMBER(SEARCH("MEZCAL",C1961)),"Tequila/Mezcal",
 ISNUMBER(SEARCH("RUM",C1961)),"Rum",
 ISNUMBER(SEARCH("BRAND",C1961)),"Brandy",
 ISNUMBER(SEARCH("COGNAC",C1961)),"Brandy",
 ISNUMBER(SEARCH("LIQUEUR",C1961)),"Liqueurs",
 ISNUMBER(SEARCH("CORDIAL",C1961)),"Liqueurs",
 ISNUMBER(SEARCH("SCHNAPP",C1961)),"Liqueurs",
 ISNUMBER(SEARCH("GIN",C1961)),"Gin",
 TRUE,"Other")</f>
        <v>Other</v>
      </c>
      <c r="E1961" s="5">
        <v>16792</v>
      </c>
      <c r="F1961" s="5">
        <v>66391.12000000001</v>
      </c>
      <c r="G1961" s="5"/>
      <c r="H1961" s="5">
        <v>611</v>
      </c>
    </row>
    <row r="1962" spans="1:8">
      <c r="A1962" s="5">
        <v>2023</v>
      </c>
      <c r="B1962" s="6">
        <v>45200</v>
      </c>
      <c r="C1962" s="5" t="s">
        <v>41</v>
      </c>
      <c r="D1962" s="3" t="str" cm="1">
        <f t="array" ref="D1962">_xlfn.IFS(
 ISNUMBER(SEARCH("WHISK",C1962)),"Whiskey",
 ISNUMBER(SEARCH("BOURBON",C1962)),"Whiskey",
 ISNUMBER(SEARCH("SCOTCH",C1962)),"Whiskey",
 ISNUMBER(SEARCH("RYE",C1962)),"Whiskey",
 ISNUMBER(SEARCH("VODKA",C1962)),"Vodka",
 ISNUMBER(SEARCH("TEQUILA",C1962)),"Tequila/Mezcal",
 ISNUMBER(SEARCH("MEZCAL",C1962)),"Tequila/Mezcal",
 ISNUMBER(SEARCH("RUM",C1962)),"Rum",
 ISNUMBER(SEARCH("BRAND",C1962)),"Brandy",
 ISNUMBER(SEARCH("COGNAC",C1962)),"Brandy",
 ISNUMBER(SEARCH("LIQUEUR",C1962)),"Liqueurs",
 ISNUMBER(SEARCH("CORDIAL",C1962)),"Liqueurs",
 ISNUMBER(SEARCH("SCHNAPP",C1962)),"Liqueurs",
 ISNUMBER(SEARCH("GIN",C1962)),"Gin",
 TRUE,"Other")</f>
        <v>Other</v>
      </c>
      <c r="E1962" s="5">
        <v>10311</v>
      </c>
      <c r="F1962" s="5">
        <v>123829.12000000023</v>
      </c>
      <c r="G1962" s="5"/>
      <c r="H1962" s="5">
        <v>214</v>
      </c>
    </row>
    <row r="1963" spans="1:8">
      <c r="A1963" s="5">
        <v>2023</v>
      </c>
      <c r="B1963" s="6">
        <v>45200</v>
      </c>
      <c r="C1963" s="5" t="s">
        <v>21</v>
      </c>
      <c r="D1963" s="3" t="str" cm="1">
        <f t="array" ref="D1963">_xlfn.IFS(
 ISNUMBER(SEARCH("WHISK",C1963)),"Whiskey",
 ISNUMBER(SEARCH("BOURBON",C1963)),"Whiskey",
 ISNUMBER(SEARCH("SCOTCH",C1963)),"Whiskey",
 ISNUMBER(SEARCH("RYE",C1963)),"Whiskey",
 ISNUMBER(SEARCH("VODKA",C1963)),"Vodka",
 ISNUMBER(SEARCH("TEQUILA",C1963)),"Tequila/Mezcal",
 ISNUMBER(SEARCH("MEZCAL",C1963)),"Tequila/Mezcal",
 ISNUMBER(SEARCH("RUM",C1963)),"Rum",
 ISNUMBER(SEARCH("BRAND",C1963)),"Brandy",
 ISNUMBER(SEARCH("COGNAC",C1963)),"Brandy",
 ISNUMBER(SEARCH("LIQUEUR",C1963)),"Liqueurs",
 ISNUMBER(SEARCH("CORDIAL",C1963)),"Liqueurs",
 ISNUMBER(SEARCH("SCHNAPP",C1963)),"Liqueurs",
 ISNUMBER(SEARCH("GIN",C1963)),"Gin",
 TRUE,"Other")</f>
        <v>Whiskey</v>
      </c>
      <c r="E1963" s="5">
        <v>756</v>
      </c>
      <c r="F1963" s="5">
        <v>18249.59</v>
      </c>
      <c r="G1963" s="5"/>
      <c r="H1963" s="5">
        <v>119</v>
      </c>
    </row>
    <row r="1964" spans="1:8">
      <c r="A1964" s="5">
        <v>2023</v>
      </c>
      <c r="B1964" s="6">
        <v>45200</v>
      </c>
      <c r="C1964" s="5" t="s">
        <v>23</v>
      </c>
      <c r="D1964" s="3" t="str" cm="1">
        <f t="array" ref="D1964">_xlfn.IFS(
 ISNUMBER(SEARCH("WHISK",C1964)),"Whiskey",
 ISNUMBER(SEARCH("BOURBON",C1964)),"Whiskey",
 ISNUMBER(SEARCH("SCOTCH",C1964)),"Whiskey",
 ISNUMBER(SEARCH("RYE",C1964)),"Whiskey",
 ISNUMBER(SEARCH("VODKA",C1964)),"Vodka",
 ISNUMBER(SEARCH("TEQUILA",C1964)),"Tequila/Mezcal",
 ISNUMBER(SEARCH("MEZCAL",C1964)),"Tequila/Mezcal",
 ISNUMBER(SEARCH("RUM",C1964)),"Rum",
 ISNUMBER(SEARCH("BRAND",C1964)),"Brandy",
 ISNUMBER(SEARCH("COGNAC",C1964)),"Brandy",
 ISNUMBER(SEARCH("LIQUEUR",C1964)),"Liqueurs",
 ISNUMBER(SEARCH("CORDIAL",C1964)),"Liqueurs",
 ISNUMBER(SEARCH("SCHNAPP",C1964)),"Liqueurs",
 ISNUMBER(SEARCH("GIN",C1964)),"Gin",
 TRUE,"Other")</f>
        <v>Gin</v>
      </c>
      <c r="E1964" s="5">
        <v>4321</v>
      </c>
      <c r="F1964" s="5">
        <v>110390.03</v>
      </c>
      <c r="G1964" s="5"/>
      <c r="H1964" s="5">
        <v>381</v>
      </c>
    </row>
    <row r="1965" spans="1:8">
      <c r="A1965" s="5">
        <v>2023</v>
      </c>
      <c r="B1965" s="6">
        <v>45200</v>
      </c>
      <c r="C1965" s="5" t="s">
        <v>28</v>
      </c>
      <c r="D1965" s="3" t="str" cm="1">
        <f t="array" ref="D1965">_xlfn.IFS(
 ISNUMBER(SEARCH("WHISK",C1965)),"Whiskey",
 ISNUMBER(SEARCH("BOURBON",C1965)),"Whiskey",
 ISNUMBER(SEARCH("SCOTCH",C1965)),"Whiskey",
 ISNUMBER(SEARCH("RYE",C1965)),"Whiskey",
 ISNUMBER(SEARCH("VODKA",C1965)),"Vodka",
 ISNUMBER(SEARCH("TEQUILA",C1965)),"Tequila/Mezcal",
 ISNUMBER(SEARCH("MEZCAL",C1965)),"Tequila/Mezcal",
 ISNUMBER(SEARCH("RUM",C1965)),"Rum",
 ISNUMBER(SEARCH("BRAND",C1965)),"Brandy",
 ISNUMBER(SEARCH("COGNAC",C1965)),"Brandy",
 ISNUMBER(SEARCH("LIQUEUR",C1965)),"Liqueurs",
 ISNUMBER(SEARCH("CORDIAL",C1965)),"Liqueurs",
 ISNUMBER(SEARCH("SCHNAPP",C1965)),"Liqueurs",
 ISNUMBER(SEARCH("GIN",C1965)),"Gin",
 TRUE,"Other")</f>
        <v>Other</v>
      </c>
      <c r="E1965" s="5">
        <v>16875</v>
      </c>
      <c r="F1965" s="5">
        <v>141612.60999999975</v>
      </c>
      <c r="G1965" s="5"/>
      <c r="H1965" s="5">
        <v>607</v>
      </c>
    </row>
    <row r="1966" spans="1:8">
      <c r="A1966" s="5">
        <v>2023</v>
      </c>
      <c r="B1966" s="6">
        <v>45200</v>
      </c>
      <c r="C1966" s="5" t="s">
        <v>34</v>
      </c>
      <c r="D1966" s="3" t="str" cm="1">
        <f t="array" ref="D1966">_xlfn.IFS(
 ISNUMBER(SEARCH("WHISK",C1966)),"Whiskey",
 ISNUMBER(SEARCH("BOURBON",C1966)),"Whiskey",
 ISNUMBER(SEARCH("SCOTCH",C1966)),"Whiskey",
 ISNUMBER(SEARCH("RYE",C1966)),"Whiskey",
 ISNUMBER(SEARCH("VODKA",C1966)),"Vodka",
 ISNUMBER(SEARCH("TEQUILA",C1966)),"Tequila/Mezcal",
 ISNUMBER(SEARCH("MEZCAL",C1966)),"Tequila/Mezcal",
 ISNUMBER(SEARCH("RUM",C1966)),"Rum",
 ISNUMBER(SEARCH("BRAND",C1966)),"Brandy",
 ISNUMBER(SEARCH("COGNAC",C1966)),"Brandy",
 ISNUMBER(SEARCH("LIQUEUR",C1966)),"Liqueurs",
 ISNUMBER(SEARCH("CORDIAL",C1966)),"Liqueurs",
 ISNUMBER(SEARCH("SCHNAPP",C1966)),"Liqueurs",
 ISNUMBER(SEARCH("GIN",C1966)),"Gin",
 TRUE,"Other")</f>
        <v>Tequila/Mezcal</v>
      </c>
      <c r="E1966" s="5">
        <v>1357</v>
      </c>
      <c r="F1966" s="5">
        <v>47619.219999999979</v>
      </c>
      <c r="G1966" s="5"/>
      <c r="H1966" s="5">
        <v>265</v>
      </c>
    </row>
    <row r="1967" spans="1:8">
      <c r="A1967" s="5">
        <v>2023</v>
      </c>
      <c r="B1967" s="6">
        <v>45200</v>
      </c>
      <c r="C1967" s="5" t="s">
        <v>14</v>
      </c>
      <c r="D1967" s="3" t="str" cm="1">
        <f t="array" ref="D1967">_xlfn.IFS(
 ISNUMBER(SEARCH("WHISK",C1967)),"Whiskey",
 ISNUMBER(SEARCH("BOURBON",C1967)),"Whiskey",
 ISNUMBER(SEARCH("SCOTCH",C1967)),"Whiskey",
 ISNUMBER(SEARCH("RYE",C1967)),"Whiskey",
 ISNUMBER(SEARCH("VODKA",C1967)),"Vodka",
 ISNUMBER(SEARCH("TEQUILA",C1967)),"Tequila/Mezcal",
 ISNUMBER(SEARCH("MEZCAL",C1967)),"Tequila/Mezcal",
 ISNUMBER(SEARCH("RUM",C1967)),"Rum",
 ISNUMBER(SEARCH("BRAND",C1967)),"Brandy",
 ISNUMBER(SEARCH("COGNAC",C1967)),"Brandy",
 ISNUMBER(SEARCH("LIQUEUR",C1967)),"Liqueurs",
 ISNUMBER(SEARCH("CORDIAL",C1967)),"Liqueurs",
 ISNUMBER(SEARCH("SCHNAPP",C1967)),"Liqueurs",
 ISNUMBER(SEARCH("GIN",C1967)),"Gin",
 TRUE,"Other")</f>
        <v>Gin</v>
      </c>
      <c r="E1967" s="5">
        <v>211</v>
      </c>
      <c r="F1967" s="5">
        <v>1780.4599999999998</v>
      </c>
      <c r="G1967" s="5"/>
      <c r="H1967" s="5">
        <v>42</v>
      </c>
    </row>
    <row r="1968" spans="1:8">
      <c r="A1968" s="5">
        <v>2023</v>
      </c>
      <c r="B1968" s="6">
        <v>45231</v>
      </c>
      <c r="C1968" s="5" t="s">
        <v>15</v>
      </c>
      <c r="D1968" s="3" t="str" cm="1">
        <f t="array" ref="D1968">_xlfn.IFS(
 ISNUMBER(SEARCH("WHISK",C1968)),"Whiskey",
 ISNUMBER(SEARCH("BOURBON",C1968)),"Whiskey",
 ISNUMBER(SEARCH("SCOTCH",C1968)),"Whiskey",
 ISNUMBER(SEARCH("RYE",C1968)),"Whiskey",
 ISNUMBER(SEARCH("VODKA",C1968)),"Vodka",
 ISNUMBER(SEARCH("TEQUILA",C1968)),"Tequila/Mezcal",
 ISNUMBER(SEARCH("MEZCAL",C1968)),"Tequila/Mezcal",
 ISNUMBER(SEARCH("RUM",C1968)),"Rum",
 ISNUMBER(SEARCH("BRAND",C1968)),"Brandy",
 ISNUMBER(SEARCH("COGNAC",C1968)),"Brandy",
 ISNUMBER(SEARCH("LIQUEUR",C1968)),"Liqueurs",
 ISNUMBER(SEARCH("CORDIAL",C1968)),"Liqueurs",
 ISNUMBER(SEARCH("SCHNAPP",C1968)),"Liqueurs",
 ISNUMBER(SEARCH("GIN",C1968)),"Gin",
 TRUE,"Other")</f>
        <v>Vodka</v>
      </c>
      <c r="E1968" s="5">
        <v>560047</v>
      </c>
      <c r="F1968" s="5">
        <v>6139910.6999999927</v>
      </c>
      <c r="G1968" s="5"/>
      <c r="H1968" s="5">
        <v>33644</v>
      </c>
    </row>
    <row r="1969" spans="1:8">
      <c r="A1969" s="5">
        <v>2023</v>
      </c>
      <c r="B1969" s="6">
        <v>45231</v>
      </c>
      <c r="C1969" s="5" t="s">
        <v>42</v>
      </c>
      <c r="D1969" s="3" t="str" cm="1">
        <f t="array" ref="D1969">_xlfn.IFS(
 ISNUMBER(SEARCH("WHISK",C1969)),"Whiskey",
 ISNUMBER(SEARCH("BOURBON",C1969)),"Whiskey",
 ISNUMBER(SEARCH("SCOTCH",C1969)),"Whiskey",
 ISNUMBER(SEARCH("RYE",C1969)),"Whiskey",
 ISNUMBER(SEARCH("VODKA",C1969)),"Vodka",
 ISNUMBER(SEARCH("TEQUILA",C1969)),"Tequila/Mezcal",
 ISNUMBER(SEARCH("MEZCAL",C1969)),"Tequila/Mezcal",
 ISNUMBER(SEARCH("RUM",C1969)),"Rum",
 ISNUMBER(SEARCH("BRAND",C1969)),"Brandy",
 ISNUMBER(SEARCH("COGNAC",C1969)),"Brandy",
 ISNUMBER(SEARCH("LIQUEUR",C1969)),"Liqueurs",
 ISNUMBER(SEARCH("CORDIAL",C1969)),"Liqueurs",
 ISNUMBER(SEARCH("SCHNAPP",C1969)),"Liqueurs",
 ISNUMBER(SEARCH("GIN",C1969)),"Gin",
 TRUE,"Other")</f>
        <v>Rum</v>
      </c>
      <c r="E1969" s="5">
        <v>174165</v>
      </c>
      <c r="F1969" s="5">
        <v>3445332.7299998528</v>
      </c>
      <c r="G1969" s="5"/>
      <c r="H1969" s="5">
        <v>8799</v>
      </c>
    </row>
    <row r="1970" spans="1:8">
      <c r="A1970" s="5">
        <v>2023</v>
      </c>
      <c r="B1970" s="6">
        <v>45231</v>
      </c>
      <c r="C1970" s="5" t="s">
        <v>50</v>
      </c>
      <c r="D1970" s="3" t="str" cm="1">
        <f t="array" ref="D1970">_xlfn.IFS(
 ISNUMBER(SEARCH("WHISK",C1970)),"Whiskey",
 ISNUMBER(SEARCH("BOURBON",C1970)),"Whiskey",
 ISNUMBER(SEARCH("SCOTCH",C1970)),"Whiskey",
 ISNUMBER(SEARCH("RYE",C1970)),"Whiskey",
 ISNUMBER(SEARCH("VODKA",C1970)),"Vodka",
 ISNUMBER(SEARCH("TEQUILA",C1970)),"Tequila/Mezcal",
 ISNUMBER(SEARCH("MEZCAL",C1970)),"Tequila/Mezcal",
 ISNUMBER(SEARCH("RUM",C1970)),"Rum",
 ISNUMBER(SEARCH("BRAND",C1970)),"Brandy",
 ISNUMBER(SEARCH("COGNAC",C1970)),"Brandy",
 ISNUMBER(SEARCH("LIQUEUR",C1970)),"Liqueurs",
 ISNUMBER(SEARCH("CORDIAL",C1970)),"Liqueurs",
 ISNUMBER(SEARCH("SCHNAPP",C1970)),"Liqueurs",
 ISNUMBER(SEARCH("GIN",C1970)),"Gin",
 TRUE,"Other")</f>
        <v>Tequila/Mezcal</v>
      </c>
      <c r="E1970" s="5">
        <v>86306</v>
      </c>
      <c r="F1970" s="5">
        <v>2509653.3299999502</v>
      </c>
      <c r="G1970" s="5"/>
      <c r="H1970" s="5">
        <v>10691</v>
      </c>
    </row>
    <row r="1971" spans="1:8">
      <c r="A1971" s="5">
        <v>2023</v>
      </c>
      <c r="B1971" s="6">
        <v>45231</v>
      </c>
      <c r="C1971" s="5" t="s">
        <v>8</v>
      </c>
      <c r="D1971" s="3" t="str" cm="1">
        <f t="array" ref="D1971">_xlfn.IFS(
 ISNUMBER(SEARCH("WHISK",C1971)),"Whiskey",
 ISNUMBER(SEARCH("BOURBON",C1971)),"Whiskey",
 ISNUMBER(SEARCH("SCOTCH",C1971)),"Whiskey",
 ISNUMBER(SEARCH("RYE",C1971)),"Whiskey",
 ISNUMBER(SEARCH("VODKA",C1971)),"Vodka",
 ISNUMBER(SEARCH("TEQUILA",C1971)),"Tequila/Mezcal",
 ISNUMBER(SEARCH("MEZCAL",C1971)),"Tequila/Mezcal",
 ISNUMBER(SEARCH("RUM",C1971)),"Rum",
 ISNUMBER(SEARCH("BRAND",C1971)),"Brandy",
 ISNUMBER(SEARCH("COGNAC",C1971)),"Brandy",
 ISNUMBER(SEARCH("LIQUEUR",C1971)),"Liqueurs",
 ISNUMBER(SEARCH("CORDIAL",C1971)),"Liqueurs",
 ISNUMBER(SEARCH("SCHNAPP",C1971)),"Liqueurs",
 ISNUMBER(SEARCH("GIN",C1971)),"Gin",
 TRUE,"Other")</f>
        <v>Brandy</v>
      </c>
      <c r="E1971" s="5">
        <v>65479</v>
      </c>
      <c r="F1971" s="5">
        <v>438799.43000000354</v>
      </c>
      <c r="G1971" s="5"/>
      <c r="H1971" s="5">
        <v>5348</v>
      </c>
    </row>
    <row r="1972" spans="1:8">
      <c r="A1972" s="5">
        <v>2023</v>
      </c>
      <c r="B1972" s="6">
        <v>45231</v>
      </c>
      <c r="C1972" s="5" t="s">
        <v>59</v>
      </c>
      <c r="D1972" s="3" t="str" cm="1">
        <f t="array" ref="D1972">_xlfn.IFS(
 ISNUMBER(SEARCH("WHISK",C1972)),"Whiskey",
 ISNUMBER(SEARCH("BOURBON",C1972)),"Whiskey",
 ISNUMBER(SEARCH("SCOTCH",C1972)),"Whiskey",
 ISNUMBER(SEARCH("RYE",C1972)),"Whiskey",
 ISNUMBER(SEARCH("VODKA",C1972)),"Vodka",
 ISNUMBER(SEARCH("TEQUILA",C1972)),"Tequila/Mezcal",
 ISNUMBER(SEARCH("MEZCAL",C1972)),"Tequila/Mezcal",
 ISNUMBER(SEARCH("RUM",C1972)),"Rum",
 ISNUMBER(SEARCH("BRAND",C1972)),"Brandy",
 ISNUMBER(SEARCH("COGNAC",C1972)),"Brandy",
 ISNUMBER(SEARCH("LIQUEUR",C1972)),"Liqueurs",
 ISNUMBER(SEARCH("CORDIAL",C1972)),"Liqueurs",
 ISNUMBER(SEARCH("SCHNAPP",C1972)),"Liqueurs",
 ISNUMBER(SEARCH("GIN",C1972)),"Gin",
 TRUE,"Other")</f>
        <v>Liqueurs</v>
      </c>
      <c r="E1972" s="5">
        <v>34145</v>
      </c>
      <c r="F1972" s="5">
        <v>387905.24000001093</v>
      </c>
      <c r="G1972" s="5"/>
      <c r="H1972" s="5">
        <v>5447</v>
      </c>
    </row>
    <row r="1973" spans="1:8">
      <c r="A1973" s="5">
        <v>2023</v>
      </c>
      <c r="B1973" s="6">
        <v>45231</v>
      </c>
      <c r="C1973" s="5" t="s">
        <v>11</v>
      </c>
      <c r="D1973" s="3" t="str" cm="1">
        <f t="array" ref="D1973">_xlfn.IFS(
 ISNUMBER(SEARCH("WHISK",C1973)),"Whiskey",
 ISNUMBER(SEARCH("BOURBON",C1973)),"Whiskey",
 ISNUMBER(SEARCH("SCOTCH",C1973)),"Whiskey",
 ISNUMBER(SEARCH("RYE",C1973)),"Whiskey",
 ISNUMBER(SEARCH("VODKA",C1973)),"Vodka",
 ISNUMBER(SEARCH("TEQUILA",C1973)),"Tequila/Mezcal",
 ISNUMBER(SEARCH("MEZCAL",C1973)),"Tequila/Mezcal",
 ISNUMBER(SEARCH("RUM",C1973)),"Rum",
 ISNUMBER(SEARCH("BRAND",C1973)),"Brandy",
 ISNUMBER(SEARCH("COGNAC",C1973)),"Brandy",
 ISNUMBER(SEARCH("LIQUEUR",C1973)),"Liqueurs",
 ISNUMBER(SEARCH("CORDIAL",C1973)),"Liqueurs",
 ISNUMBER(SEARCH("SCHNAPP",C1973)),"Liqueurs",
 ISNUMBER(SEARCH("GIN",C1973)),"Gin",
 TRUE,"Other")</f>
        <v>Gin</v>
      </c>
      <c r="E1973" s="5">
        <v>29191</v>
      </c>
      <c r="F1973" s="5">
        <v>271880.61000000092</v>
      </c>
      <c r="G1973" s="5"/>
      <c r="H1973" s="5">
        <v>2653</v>
      </c>
    </row>
    <row r="1974" spans="1:8">
      <c r="A1974" s="5">
        <v>2023</v>
      </c>
      <c r="B1974" s="6">
        <v>45231</v>
      </c>
      <c r="C1974" s="5" t="s">
        <v>12</v>
      </c>
      <c r="D1974" s="3" t="str" cm="1">
        <f t="array" ref="D1974">_xlfn.IFS(
 ISNUMBER(SEARCH("WHISK",C1974)),"Whiskey",
 ISNUMBER(SEARCH("BOURBON",C1974)),"Whiskey",
 ISNUMBER(SEARCH("SCOTCH",C1974)),"Whiskey",
 ISNUMBER(SEARCH("RYE",C1974)),"Whiskey",
 ISNUMBER(SEARCH("VODKA",C1974)),"Vodka",
 ISNUMBER(SEARCH("TEQUILA",C1974)),"Tequila/Mezcal",
 ISNUMBER(SEARCH("MEZCAL",C1974)),"Tequila/Mezcal",
 ISNUMBER(SEARCH("RUM",C1974)),"Rum",
 ISNUMBER(SEARCH("BRAND",C1974)),"Brandy",
 ISNUMBER(SEARCH("COGNAC",C1974)),"Brandy",
 ISNUMBER(SEARCH("LIQUEUR",C1974)),"Liqueurs",
 ISNUMBER(SEARCH("CORDIAL",C1974)),"Liqueurs",
 ISNUMBER(SEARCH("SCHNAPP",C1974)),"Liqueurs",
 ISNUMBER(SEARCH("GIN",C1974)),"Gin",
 TRUE,"Other")</f>
        <v>Vodka</v>
      </c>
      <c r="E1974" s="5">
        <v>79114</v>
      </c>
      <c r="F1974" s="5">
        <v>894647.580000035</v>
      </c>
      <c r="G1974" s="5"/>
      <c r="H1974" s="5">
        <v>9770</v>
      </c>
    </row>
    <row r="1975" spans="1:8">
      <c r="A1975" s="5">
        <v>2023</v>
      </c>
      <c r="B1975" s="6">
        <v>45231</v>
      </c>
      <c r="C1975" s="5" t="s">
        <v>13</v>
      </c>
      <c r="D1975" s="3" t="str" cm="1">
        <f t="array" ref="D1975">_xlfn.IFS(
 ISNUMBER(SEARCH("WHISK",C1975)),"Whiskey",
 ISNUMBER(SEARCH("BOURBON",C1975)),"Whiskey",
 ISNUMBER(SEARCH("SCOTCH",C1975)),"Whiskey",
 ISNUMBER(SEARCH("RYE",C1975)),"Whiskey",
 ISNUMBER(SEARCH("VODKA",C1975)),"Vodka",
 ISNUMBER(SEARCH("TEQUILA",C1975)),"Tequila/Mezcal",
 ISNUMBER(SEARCH("MEZCAL",C1975)),"Tequila/Mezcal",
 ISNUMBER(SEARCH("RUM",C1975)),"Rum",
 ISNUMBER(SEARCH("BRAND",C1975)),"Brandy",
 ISNUMBER(SEARCH("COGNAC",C1975)),"Brandy",
 ISNUMBER(SEARCH("LIQUEUR",C1975)),"Liqueurs",
 ISNUMBER(SEARCH("CORDIAL",C1975)),"Liqueurs",
 ISNUMBER(SEARCH("SCHNAPP",C1975)),"Liqueurs",
 ISNUMBER(SEARCH("GIN",C1975)),"Gin",
 TRUE,"Other")</f>
        <v>Liqueurs</v>
      </c>
      <c r="E1975" s="5">
        <v>83000</v>
      </c>
      <c r="F1975" s="5">
        <v>655486.38000002725</v>
      </c>
      <c r="G1975" s="5"/>
      <c r="H1975" s="5">
        <v>7396</v>
      </c>
    </row>
    <row r="1976" spans="1:8">
      <c r="A1976" s="5">
        <v>2023</v>
      </c>
      <c r="B1976" s="6">
        <v>45231</v>
      </c>
      <c r="C1976" s="5" t="s">
        <v>16</v>
      </c>
      <c r="D1976" s="3" t="str" cm="1">
        <f t="array" ref="D1976">_xlfn.IFS(
 ISNUMBER(SEARCH("WHISK",C1976)),"Whiskey",
 ISNUMBER(SEARCH("BOURBON",C1976)),"Whiskey",
 ISNUMBER(SEARCH("SCOTCH",C1976)),"Whiskey",
 ISNUMBER(SEARCH("RYE",C1976)),"Whiskey",
 ISNUMBER(SEARCH("VODKA",C1976)),"Vodka",
 ISNUMBER(SEARCH("TEQUILA",C1976)),"Tequila/Mezcal",
 ISNUMBER(SEARCH("MEZCAL",C1976)),"Tequila/Mezcal",
 ISNUMBER(SEARCH("RUM",C1976)),"Rum",
 ISNUMBER(SEARCH("BRAND",C1976)),"Brandy",
 ISNUMBER(SEARCH("COGNAC",C1976)),"Brandy",
 ISNUMBER(SEARCH("LIQUEUR",C1976)),"Liqueurs",
 ISNUMBER(SEARCH("CORDIAL",C1976)),"Liqueurs",
 ISNUMBER(SEARCH("SCHNAPP",C1976)),"Liqueurs",
 ISNUMBER(SEARCH("GIN",C1976)),"Gin",
 TRUE,"Other")</f>
        <v>Whiskey</v>
      </c>
      <c r="E1976" s="5">
        <v>70878</v>
      </c>
      <c r="F1976" s="5">
        <v>932821.44999998843</v>
      </c>
      <c r="G1976" s="5"/>
      <c r="H1976" s="5">
        <v>8178</v>
      </c>
    </row>
    <row r="1977" spans="1:8">
      <c r="A1977" s="5">
        <v>2023</v>
      </c>
      <c r="B1977" s="6">
        <v>45231</v>
      </c>
      <c r="C1977" s="5" t="s">
        <v>18</v>
      </c>
      <c r="D1977" s="3" t="str" cm="1">
        <f t="array" ref="D1977">_xlfn.IFS(
 ISNUMBER(SEARCH("WHISK",C1977)),"Whiskey",
 ISNUMBER(SEARCH("BOURBON",C1977)),"Whiskey",
 ISNUMBER(SEARCH("SCOTCH",C1977)),"Whiskey",
 ISNUMBER(SEARCH("RYE",C1977)),"Whiskey",
 ISNUMBER(SEARCH("VODKA",C1977)),"Vodka",
 ISNUMBER(SEARCH("TEQUILA",C1977)),"Tequila/Mezcal",
 ISNUMBER(SEARCH("MEZCAL",C1977)),"Tequila/Mezcal",
 ISNUMBER(SEARCH("RUM",C1977)),"Rum",
 ISNUMBER(SEARCH("BRAND",C1977)),"Brandy",
 ISNUMBER(SEARCH("COGNAC",C1977)),"Brandy",
 ISNUMBER(SEARCH("LIQUEUR",C1977)),"Liqueurs",
 ISNUMBER(SEARCH("CORDIAL",C1977)),"Liqueurs",
 ISNUMBER(SEARCH("SCHNAPP",C1977)),"Liqueurs",
 ISNUMBER(SEARCH("GIN",C1977)),"Gin",
 TRUE,"Other")</f>
        <v>Whiskey</v>
      </c>
      <c r="E1977" s="5">
        <v>229106</v>
      </c>
      <c r="F1977" s="5">
        <v>3697561.2199997799</v>
      </c>
      <c r="G1977" s="5"/>
      <c r="H1977" s="5">
        <v>20971</v>
      </c>
    </row>
    <row r="1978" spans="1:8">
      <c r="A1978" s="5">
        <v>2023</v>
      </c>
      <c r="B1978" s="6">
        <v>45231</v>
      </c>
      <c r="C1978" s="5" t="s">
        <v>26</v>
      </c>
      <c r="D1978" s="3" t="str" cm="1">
        <f t="array" ref="D1978">_xlfn.IFS(
 ISNUMBER(SEARCH("WHISK",C1978)),"Whiskey",
 ISNUMBER(SEARCH("BOURBON",C1978)),"Whiskey",
 ISNUMBER(SEARCH("SCOTCH",C1978)),"Whiskey",
 ISNUMBER(SEARCH("RYE",C1978)),"Whiskey",
 ISNUMBER(SEARCH("VODKA",C1978)),"Vodka",
 ISNUMBER(SEARCH("TEQUILA",C1978)),"Tequila/Mezcal",
 ISNUMBER(SEARCH("MEZCAL",C1978)),"Tequila/Mezcal",
 ISNUMBER(SEARCH("RUM",C1978)),"Rum",
 ISNUMBER(SEARCH("BRAND",C1978)),"Brandy",
 ISNUMBER(SEARCH("COGNAC",C1978)),"Brandy",
 ISNUMBER(SEARCH("LIQUEUR",C1978)),"Liqueurs",
 ISNUMBER(SEARCH("CORDIAL",C1978)),"Liqueurs",
 ISNUMBER(SEARCH("SCHNAPP",C1978)),"Liqueurs",
 ISNUMBER(SEARCH("GIN",C1978)),"Gin",
 TRUE,"Other")</f>
        <v>Brandy</v>
      </c>
      <c r="E1978" s="5">
        <v>40383</v>
      </c>
      <c r="F1978" s="5">
        <v>968056.66999998933</v>
      </c>
      <c r="G1978" s="5"/>
      <c r="H1978" s="5">
        <v>3877</v>
      </c>
    </row>
    <row r="1979" spans="1:8">
      <c r="A1979" s="5">
        <v>2023</v>
      </c>
      <c r="B1979" s="6">
        <v>45231</v>
      </c>
      <c r="C1979" s="5" t="s">
        <v>32</v>
      </c>
      <c r="D1979" s="3" t="str" cm="1">
        <f t="array" ref="D1979">_xlfn.IFS(
 ISNUMBER(SEARCH("WHISK",C1979)),"Whiskey",
 ISNUMBER(SEARCH("BOURBON",C1979)),"Whiskey",
 ISNUMBER(SEARCH("SCOTCH",C1979)),"Whiskey",
 ISNUMBER(SEARCH("RYE",C1979)),"Whiskey",
 ISNUMBER(SEARCH("VODKA",C1979)),"Vodka",
 ISNUMBER(SEARCH("TEQUILA",C1979)),"Tequila/Mezcal",
 ISNUMBER(SEARCH("MEZCAL",C1979)),"Tequila/Mezcal",
 ISNUMBER(SEARCH("RUM",C1979)),"Rum",
 ISNUMBER(SEARCH("BRAND",C1979)),"Brandy",
 ISNUMBER(SEARCH("COGNAC",C1979)),"Brandy",
 ISNUMBER(SEARCH("LIQUEUR",C1979)),"Liqueurs",
 ISNUMBER(SEARCH("CORDIAL",C1979)),"Liqueurs",
 ISNUMBER(SEARCH("SCHNAPP",C1979)),"Liqueurs",
 ISNUMBER(SEARCH("GIN",C1979)),"Gin",
 TRUE,"Other")</f>
        <v>Vodka</v>
      </c>
      <c r="E1979" s="5">
        <v>55360</v>
      </c>
      <c r="F1979" s="5">
        <v>921195.92999998818</v>
      </c>
      <c r="G1979" s="5"/>
      <c r="H1979" s="5">
        <v>4566</v>
      </c>
    </row>
    <row r="1980" spans="1:8">
      <c r="A1980" s="5">
        <v>2023</v>
      </c>
      <c r="B1980" s="6">
        <v>45231</v>
      </c>
      <c r="C1980" s="5" t="s">
        <v>43</v>
      </c>
      <c r="D1980" s="3" t="str" cm="1">
        <f t="array" ref="D1980">_xlfn.IFS(
 ISNUMBER(SEARCH("WHISK",C1980)),"Whiskey",
 ISNUMBER(SEARCH("BOURBON",C1980)),"Whiskey",
 ISNUMBER(SEARCH("SCOTCH",C1980)),"Whiskey",
 ISNUMBER(SEARCH("RYE",C1980)),"Whiskey",
 ISNUMBER(SEARCH("VODKA",C1980)),"Vodka",
 ISNUMBER(SEARCH("TEQUILA",C1980)),"Tequila/Mezcal",
 ISNUMBER(SEARCH("MEZCAL",C1980)),"Tequila/Mezcal",
 ISNUMBER(SEARCH("RUM",C1980)),"Rum",
 ISNUMBER(SEARCH("BRAND",C1980)),"Brandy",
 ISNUMBER(SEARCH("COGNAC",C1980)),"Brandy",
 ISNUMBER(SEARCH("LIQUEUR",C1980)),"Liqueurs",
 ISNUMBER(SEARCH("CORDIAL",C1980)),"Liqueurs",
 ISNUMBER(SEARCH("SCHNAPP",C1980)),"Liqueurs",
 ISNUMBER(SEARCH("GIN",C1980)),"Gin",
 TRUE,"Other")</f>
        <v>Whiskey</v>
      </c>
      <c r="E1980" s="5">
        <v>143305</v>
      </c>
      <c r="F1980" s="5">
        <v>3242222.9599999865</v>
      </c>
      <c r="G1980" s="5"/>
      <c r="H1980" s="5">
        <v>17638</v>
      </c>
    </row>
    <row r="1981" spans="1:8">
      <c r="A1981" s="5">
        <v>2023</v>
      </c>
      <c r="B1981" s="6">
        <v>45231</v>
      </c>
      <c r="C1981" s="5" t="s">
        <v>46</v>
      </c>
      <c r="D1981" s="3" t="str" cm="1">
        <f t="array" ref="D1981">_xlfn.IFS(
 ISNUMBER(SEARCH("WHISK",C1981)),"Whiskey",
 ISNUMBER(SEARCH("BOURBON",C1981)),"Whiskey",
 ISNUMBER(SEARCH("SCOTCH",C1981)),"Whiskey",
 ISNUMBER(SEARCH("RYE",C1981)),"Whiskey",
 ISNUMBER(SEARCH("VODKA",C1981)),"Vodka",
 ISNUMBER(SEARCH("TEQUILA",C1981)),"Tequila/Mezcal",
 ISNUMBER(SEARCH("MEZCAL",C1981)),"Tequila/Mezcal",
 ISNUMBER(SEARCH("RUM",C1981)),"Rum",
 ISNUMBER(SEARCH("BRAND",C1981)),"Brandy",
 ISNUMBER(SEARCH("COGNAC",C1981)),"Brandy",
 ISNUMBER(SEARCH("LIQUEUR",C1981)),"Liqueurs",
 ISNUMBER(SEARCH("CORDIAL",C1981)),"Liqueurs",
 ISNUMBER(SEARCH("SCHNAPP",C1981)),"Liqueurs",
 ISNUMBER(SEARCH("GIN",C1981)),"Gin",
 TRUE,"Other")</f>
        <v>Whiskey</v>
      </c>
      <c r="E1981" s="5">
        <v>57782</v>
      </c>
      <c r="F1981" s="5">
        <v>1264800.7399999774</v>
      </c>
      <c r="G1981" s="5"/>
      <c r="H1981" s="5">
        <v>6869</v>
      </c>
    </row>
    <row r="1982" spans="1:8">
      <c r="A1982" s="5">
        <v>2023</v>
      </c>
      <c r="B1982" s="6">
        <v>45231</v>
      </c>
      <c r="C1982" s="5" t="s">
        <v>48</v>
      </c>
      <c r="D1982" s="3" t="str" cm="1">
        <f t="array" ref="D1982">_xlfn.IFS(
 ISNUMBER(SEARCH("WHISK",C1982)),"Whiskey",
 ISNUMBER(SEARCH("BOURBON",C1982)),"Whiskey",
 ISNUMBER(SEARCH("SCOTCH",C1982)),"Whiskey",
 ISNUMBER(SEARCH("RYE",C1982)),"Whiskey",
 ISNUMBER(SEARCH("VODKA",C1982)),"Vodka",
 ISNUMBER(SEARCH("TEQUILA",C1982)),"Tequila/Mezcal",
 ISNUMBER(SEARCH("MEZCAL",C1982)),"Tequila/Mezcal",
 ISNUMBER(SEARCH("RUM",C1982)),"Rum",
 ISNUMBER(SEARCH("BRAND",C1982)),"Brandy",
 ISNUMBER(SEARCH("COGNAC",C1982)),"Brandy",
 ISNUMBER(SEARCH("LIQUEUR",C1982)),"Liqueurs",
 ISNUMBER(SEARCH("CORDIAL",C1982)),"Liqueurs",
 ISNUMBER(SEARCH("SCHNAPP",C1982)),"Liqueurs",
 ISNUMBER(SEARCH("GIN",C1982)),"Gin",
 TRUE,"Other")</f>
        <v>Whiskey</v>
      </c>
      <c r="E1982" s="5">
        <v>392682</v>
      </c>
      <c r="F1982" s="5">
        <v>2330214.0699999547</v>
      </c>
      <c r="G1982" s="5"/>
      <c r="H1982" s="5">
        <v>14390</v>
      </c>
    </row>
    <row r="1983" spans="1:8">
      <c r="A1983" s="5">
        <v>2023</v>
      </c>
      <c r="B1983" s="6">
        <v>45231</v>
      </c>
      <c r="C1983" s="5" t="s">
        <v>24</v>
      </c>
      <c r="D1983" s="3" t="str" cm="1">
        <f t="array" ref="D1983">_xlfn.IFS(
 ISNUMBER(SEARCH("WHISK",C1983)),"Whiskey",
 ISNUMBER(SEARCH("BOURBON",C1983)),"Whiskey",
 ISNUMBER(SEARCH("SCOTCH",C1983)),"Whiskey",
 ISNUMBER(SEARCH("RYE",C1983)),"Whiskey",
 ISNUMBER(SEARCH("VODKA",C1983)),"Vodka",
 ISNUMBER(SEARCH("TEQUILA",C1983)),"Tequila/Mezcal",
 ISNUMBER(SEARCH("MEZCAL",C1983)),"Tequila/Mezcal",
 ISNUMBER(SEARCH("RUM",C1983)),"Rum",
 ISNUMBER(SEARCH("BRAND",C1983)),"Brandy",
 ISNUMBER(SEARCH("COGNAC",C1983)),"Brandy",
 ISNUMBER(SEARCH("LIQUEUR",C1983)),"Liqueurs",
 ISNUMBER(SEARCH("CORDIAL",C1983)),"Liqueurs",
 ISNUMBER(SEARCH("SCHNAPP",C1983)),"Liqueurs",
 ISNUMBER(SEARCH("GIN",C1983)),"Gin",
 TRUE,"Other")</f>
        <v>Rum</v>
      </c>
      <c r="E1983" s="5">
        <v>36365</v>
      </c>
      <c r="F1983" s="5">
        <v>560387.35000000033</v>
      </c>
      <c r="G1983" s="5"/>
      <c r="H1983" s="5">
        <v>4040</v>
      </c>
    </row>
    <row r="1984" spans="1:8">
      <c r="A1984" s="5">
        <v>2023</v>
      </c>
      <c r="B1984" s="6">
        <v>45231</v>
      </c>
      <c r="C1984" s="5" t="s">
        <v>31</v>
      </c>
      <c r="D1984" s="3" t="str" cm="1">
        <f t="array" ref="D1984">_xlfn.IFS(
 ISNUMBER(SEARCH("WHISK",C1984)),"Whiskey",
 ISNUMBER(SEARCH("BOURBON",C1984)),"Whiskey",
 ISNUMBER(SEARCH("SCOTCH",C1984)),"Whiskey",
 ISNUMBER(SEARCH("RYE",C1984)),"Whiskey",
 ISNUMBER(SEARCH("VODKA",C1984)),"Vodka",
 ISNUMBER(SEARCH("TEQUILA",C1984)),"Tequila/Mezcal",
 ISNUMBER(SEARCH("MEZCAL",C1984)),"Tequila/Mezcal",
 ISNUMBER(SEARCH("RUM",C1984)),"Rum",
 ISNUMBER(SEARCH("BRAND",C1984)),"Brandy",
 ISNUMBER(SEARCH("COGNAC",C1984)),"Brandy",
 ISNUMBER(SEARCH("LIQUEUR",C1984)),"Liqueurs",
 ISNUMBER(SEARCH("CORDIAL",C1984)),"Liqueurs",
 ISNUMBER(SEARCH("SCHNAPP",C1984)),"Liqueurs",
 ISNUMBER(SEARCH("GIN",C1984)),"Gin",
 TRUE,"Other")</f>
        <v>Liqueurs</v>
      </c>
      <c r="E1984" s="5">
        <v>28516</v>
      </c>
      <c r="F1984" s="5">
        <v>497186.8000000008</v>
      </c>
      <c r="G1984" s="5"/>
      <c r="H1984" s="5">
        <v>2805</v>
      </c>
    </row>
    <row r="1985" spans="1:8">
      <c r="A1985" s="5">
        <v>2023</v>
      </c>
      <c r="B1985" s="6">
        <v>45231</v>
      </c>
      <c r="C1985" s="5" t="s">
        <v>45</v>
      </c>
      <c r="D1985" s="3" t="str" cm="1">
        <f t="array" ref="D1985">_xlfn.IFS(
 ISNUMBER(SEARCH("WHISK",C1985)),"Whiskey",
 ISNUMBER(SEARCH("BOURBON",C1985)),"Whiskey",
 ISNUMBER(SEARCH("SCOTCH",C1985)),"Whiskey",
 ISNUMBER(SEARCH("RYE",C1985)),"Whiskey",
 ISNUMBER(SEARCH("VODKA",C1985)),"Vodka",
 ISNUMBER(SEARCH("TEQUILA",C1985)),"Tequila/Mezcal",
 ISNUMBER(SEARCH("MEZCAL",C1985)),"Tequila/Mezcal",
 ISNUMBER(SEARCH("RUM",C1985)),"Rum",
 ISNUMBER(SEARCH("BRAND",C1985)),"Brandy",
 ISNUMBER(SEARCH("COGNAC",C1985)),"Brandy",
 ISNUMBER(SEARCH("LIQUEUR",C1985)),"Liqueurs",
 ISNUMBER(SEARCH("CORDIAL",C1985)),"Liqueurs",
 ISNUMBER(SEARCH("SCHNAPP",C1985)),"Liqueurs",
 ISNUMBER(SEARCH("GIN",C1985)),"Gin",
 TRUE,"Other")</f>
        <v>Other</v>
      </c>
      <c r="E1985" s="5">
        <v>48994</v>
      </c>
      <c r="F1985" s="5">
        <v>1292484.9799999839</v>
      </c>
      <c r="G1985" s="5"/>
      <c r="H1985" s="5">
        <v>7144</v>
      </c>
    </row>
    <row r="1986" spans="1:8">
      <c r="A1986" s="5">
        <v>2023</v>
      </c>
      <c r="B1986" s="6">
        <v>45231</v>
      </c>
      <c r="C1986" s="5" t="s">
        <v>19</v>
      </c>
      <c r="D1986" s="3" t="str" cm="1">
        <f t="array" ref="D1986">_xlfn.IFS(
 ISNUMBER(SEARCH("WHISK",C1986)),"Whiskey",
 ISNUMBER(SEARCH("BOURBON",C1986)),"Whiskey",
 ISNUMBER(SEARCH("SCOTCH",C1986)),"Whiskey",
 ISNUMBER(SEARCH("RYE",C1986)),"Whiskey",
 ISNUMBER(SEARCH("VODKA",C1986)),"Vodka",
 ISNUMBER(SEARCH("TEQUILA",C1986)),"Tequila/Mezcal",
 ISNUMBER(SEARCH("MEZCAL",C1986)),"Tequila/Mezcal",
 ISNUMBER(SEARCH("RUM",C1986)),"Rum",
 ISNUMBER(SEARCH("BRAND",C1986)),"Brandy",
 ISNUMBER(SEARCH("COGNAC",C1986)),"Brandy",
 ISNUMBER(SEARCH("LIQUEUR",C1986)),"Liqueurs",
 ISNUMBER(SEARCH("CORDIAL",C1986)),"Liqueurs",
 ISNUMBER(SEARCH("SCHNAPP",C1986)),"Liqueurs",
 ISNUMBER(SEARCH("GIN",C1986)),"Gin",
 TRUE,"Other")</f>
        <v>Other</v>
      </c>
      <c r="E1986" s="5">
        <v>38032</v>
      </c>
      <c r="F1986" s="5">
        <v>474881.04999998363</v>
      </c>
      <c r="G1986" s="5"/>
      <c r="H1986" s="5">
        <v>5613</v>
      </c>
    </row>
    <row r="1987" spans="1:8">
      <c r="A1987" s="5">
        <v>2023</v>
      </c>
      <c r="B1987" s="6">
        <v>45231</v>
      </c>
      <c r="C1987" s="5" t="s">
        <v>20</v>
      </c>
      <c r="D1987" s="3" t="str" cm="1">
        <f t="array" ref="D1987">_xlfn.IFS(
 ISNUMBER(SEARCH("WHISK",C1987)),"Whiskey",
 ISNUMBER(SEARCH("BOURBON",C1987)),"Whiskey",
 ISNUMBER(SEARCH("SCOTCH",C1987)),"Whiskey",
 ISNUMBER(SEARCH("RYE",C1987)),"Whiskey",
 ISNUMBER(SEARCH("VODKA",C1987)),"Vodka",
 ISNUMBER(SEARCH("TEQUILA",C1987)),"Tequila/Mezcal",
 ISNUMBER(SEARCH("MEZCAL",C1987)),"Tequila/Mezcal",
 ISNUMBER(SEARCH("RUM",C1987)),"Rum",
 ISNUMBER(SEARCH("BRAND",C1987)),"Brandy",
 ISNUMBER(SEARCH("COGNAC",C1987)),"Brandy",
 ISNUMBER(SEARCH("LIQUEUR",C1987)),"Liqueurs",
 ISNUMBER(SEARCH("CORDIAL",C1987)),"Liqueurs",
 ISNUMBER(SEARCH("SCHNAPP",C1987)),"Liqueurs",
 ISNUMBER(SEARCH("GIN",C1987)),"Gin",
 TRUE,"Other")</f>
        <v>Liqueurs</v>
      </c>
      <c r="E1987" s="5">
        <v>10887</v>
      </c>
      <c r="F1987" s="5">
        <v>239699.3600000013</v>
      </c>
      <c r="G1987" s="5"/>
      <c r="H1987" s="5">
        <v>1200</v>
      </c>
    </row>
    <row r="1988" spans="1:8">
      <c r="A1988" s="5">
        <v>2023</v>
      </c>
      <c r="B1988" s="6">
        <v>45231</v>
      </c>
      <c r="C1988" s="5" t="s">
        <v>22</v>
      </c>
      <c r="D1988" s="3" t="str" cm="1">
        <f t="array" ref="D1988">_xlfn.IFS(
 ISNUMBER(SEARCH("WHISK",C1988)),"Whiskey",
 ISNUMBER(SEARCH("BOURBON",C1988)),"Whiskey",
 ISNUMBER(SEARCH("SCOTCH",C1988)),"Whiskey",
 ISNUMBER(SEARCH("RYE",C1988)),"Whiskey",
 ISNUMBER(SEARCH("VODKA",C1988)),"Vodka",
 ISNUMBER(SEARCH("TEQUILA",C1988)),"Tequila/Mezcal",
 ISNUMBER(SEARCH("MEZCAL",C1988)),"Tequila/Mezcal",
 ISNUMBER(SEARCH("RUM",C1988)),"Rum",
 ISNUMBER(SEARCH("BRAND",C1988)),"Brandy",
 ISNUMBER(SEARCH("COGNAC",C1988)),"Brandy",
 ISNUMBER(SEARCH("LIQUEUR",C1988)),"Liqueurs",
 ISNUMBER(SEARCH("CORDIAL",C1988)),"Liqueurs",
 ISNUMBER(SEARCH("SCHNAPP",C1988)),"Liqueurs",
 ISNUMBER(SEARCH("GIN",C1988)),"Gin",
 TRUE,"Other")</f>
        <v>Liqueurs</v>
      </c>
      <c r="E1988" s="5">
        <v>51389</v>
      </c>
      <c r="F1988" s="5">
        <v>1052182.2999999919</v>
      </c>
      <c r="G1988" s="5"/>
      <c r="H1988" s="5">
        <v>5122</v>
      </c>
    </row>
    <row r="1989" spans="1:8">
      <c r="A1989" s="5">
        <v>2023</v>
      </c>
      <c r="B1989" s="6">
        <v>45231</v>
      </c>
      <c r="C1989" s="5" t="s">
        <v>23</v>
      </c>
      <c r="D1989" s="3" t="str" cm="1">
        <f t="array" ref="D1989">_xlfn.IFS(
 ISNUMBER(SEARCH("WHISK",C1989)),"Whiskey",
 ISNUMBER(SEARCH("BOURBON",C1989)),"Whiskey",
 ISNUMBER(SEARCH("SCOTCH",C1989)),"Whiskey",
 ISNUMBER(SEARCH("RYE",C1989)),"Whiskey",
 ISNUMBER(SEARCH("VODKA",C1989)),"Vodka",
 ISNUMBER(SEARCH("TEQUILA",C1989)),"Tequila/Mezcal",
 ISNUMBER(SEARCH("MEZCAL",C1989)),"Tequila/Mezcal",
 ISNUMBER(SEARCH("RUM",C1989)),"Rum",
 ISNUMBER(SEARCH("BRAND",C1989)),"Brandy",
 ISNUMBER(SEARCH("COGNAC",C1989)),"Brandy",
 ISNUMBER(SEARCH("LIQUEUR",C1989)),"Liqueurs",
 ISNUMBER(SEARCH("CORDIAL",C1989)),"Liqueurs",
 ISNUMBER(SEARCH("SCHNAPP",C1989)),"Liqueurs",
 ISNUMBER(SEARCH("GIN",C1989)),"Gin",
 TRUE,"Other")</f>
        <v>Gin</v>
      </c>
      <c r="E1989" s="5">
        <v>3014</v>
      </c>
      <c r="F1989" s="5">
        <v>76574.840000000026</v>
      </c>
      <c r="G1989" s="5"/>
      <c r="H1989" s="5">
        <v>385</v>
      </c>
    </row>
    <row r="1990" spans="1:8">
      <c r="A1990" s="5">
        <v>2023</v>
      </c>
      <c r="B1990" s="6">
        <v>45231</v>
      </c>
      <c r="C1990" s="5" t="s">
        <v>60</v>
      </c>
      <c r="D1990" s="3" t="str" cm="1">
        <f t="array" ref="D1990">_xlfn.IFS(
 ISNUMBER(SEARCH("WHISK",C1990)),"Whiskey",
 ISNUMBER(SEARCH("BOURBON",C1990)),"Whiskey",
 ISNUMBER(SEARCH("SCOTCH",C1990)),"Whiskey",
 ISNUMBER(SEARCH("RYE",C1990)),"Whiskey",
 ISNUMBER(SEARCH("VODKA",C1990)),"Vodka",
 ISNUMBER(SEARCH("TEQUILA",C1990)),"Tequila/Mezcal",
 ISNUMBER(SEARCH("MEZCAL",C1990)),"Tequila/Mezcal",
 ISNUMBER(SEARCH("RUM",C1990)),"Rum",
 ISNUMBER(SEARCH("BRAND",C1990)),"Brandy",
 ISNUMBER(SEARCH("COGNAC",C1990)),"Brandy",
 ISNUMBER(SEARCH("LIQUEUR",C1990)),"Liqueurs",
 ISNUMBER(SEARCH("CORDIAL",C1990)),"Liqueurs",
 ISNUMBER(SEARCH("SCHNAPP",C1990)),"Liqueurs",
 ISNUMBER(SEARCH("GIN",C1990)),"Gin",
 TRUE,"Other")</f>
        <v>Liqueurs</v>
      </c>
      <c r="E1990" s="5">
        <v>48464</v>
      </c>
      <c r="F1990" s="5">
        <v>1147351.0600000028</v>
      </c>
      <c r="G1990" s="5"/>
      <c r="H1990" s="5">
        <v>5407</v>
      </c>
    </row>
    <row r="1991" spans="1:8">
      <c r="A1991" s="5">
        <v>2023</v>
      </c>
      <c r="B1991" s="6">
        <v>45231</v>
      </c>
      <c r="C1991" s="5" t="s">
        <v>28</v>
      </c>
      <c r="D1991" s="3" t="str" cm="1">
        <f t="array" ref="D1991">_xlfn.IFS(
 ISNUMBER(SEARCH("WHISK",C1991)),"Whiskey",
 ISNUMBER(SEARCH("BOURBON",C1991)),"Whiskey",
 ISNUMBER(SEARCH("SCOTCH",C1991)),"Whiskey",
 ISNUMBER(SEARCH("RYE",C1991)),"Whiskey",
 ISNUMBER(SEARCH("VODKA",C1991)),"Vodka",
 ISNUMBER(SEARCH("TEQUILA",C1991)),"Tequila/Mezcal",
 ISNUMBER(SEARCH("MEZCAL",C1991)),"Tequila/Mezcal",
 ISNUMBER(SEARCH("RUM",C1991)),"Rum",
 ISNUMBER(SEARCH("BRAND",C1991)),"Brandy",
 ISNUMBER(SEARCH("COGNAC",C1991)),"Brandy",
 ISNUMBER(SEARCH("LIQUEUR",C1991)),"Liqueurs",
 ISNUMBER(SEARCH("CORDIAL",C1991)),"Liqueurs",
 ISNUMBER(SEARCH("SCHNAPP",C1991)),"Liqueurs",
 ISNUMBER(SEARCH("GIN",C1991)),"Gin",
 TRUE,"Other")</f>
        <v>Other</v>
      </c>
      <c r="E1991" s="5">
        <v>28198</v>
      </c>
      <c r="F1991" s="5">
        <v>214602.1500000002</v>
      </c>
      <c r="G1991" s="5"/>
      <c r="H1991" s="5">
        <v>637</v>
      </c>
    </row>
    <row r="1992" spans="1:8">
      <c r="A1992" s="5">
        <v>2023</v>
      </c>
      <c r="B1992" s="6">
        <v>45231</v>
      </c>
      <c r="C1992" s="5" t="s">
        <v>29</v>
      </c>
      <c r="D1992" s="3" t="str" cm="1">
        <f t="array" ref="D1992">_xlfn.IFS(
 ISNUMBER(SEARCH("WHISK",C1992)),"Whiskey",
 ISNUMBER(SEARCH("BOURBON",C1992)),"Whiskey",
 ISNUMBER(SEARCH("SCOTCH",C1992)),"Whiskey",
 ISNUMBER(SEARCH("RYE",C1992)),"Whiskey",
 ISNUMBER(SEARCH("VODKA",C1992)),"Vodka",
 ISNUMBER(SEARCH("TEQUILA",C1992)),"Tequila/Mezcal",
 ISNUMBER(SEARCH("MEZCAL",C1992)),"Tequila/Mezcal",
 ISNUMBER(SEARCH("RUM",C1992)),"Rum",
 ISNUMBER(SEARCH("BRAND",C1992)),"Brandy",
 ISNUMBER(SEARCH("COGNAC",C1992)),"Brandy",
 ISNUMBER(SEARCH("LIQUEUR",C1992)),"Liqueurs",
 ISNUMBER(SEARCH("CORDIAL",C1992)),"Liqueurs",
 ISNUMBER(SEARCH("SCHNAPP",C1992)),"Liqueurs",
 ISNUMBER(SEARCH("GIN",C1992)),"Gin",
 TRUE,"Other")</f>
        <v>Gin</v>
      </c>
      <c r="E1992" s="5">
        <v>14337</v>
      </c>
      <c r="F1992" s="5">
        <v>363093.38000000018</v>
      </c>
      <c r="G1992" s="5"/>
      <c r="H1992" s="5">
        <v>1843</v>
      </c>
    </row>
    <row r="1993" spans="1:8">
      <c r="A1993" s="5">
        <v>2023</v>
      </c>
      <c r="B1993" s="6">
        <v>45231</v>
      </c>
      <c r="C1993" s="5" t="s">
        <v>30</v>
      </c>
      <c r="D1993" s="3" t="str" cm="1">
        <f t="array" ref="D1993">_xlfn.IFS(
 ISNUMBER(SEARCH("WHISK",C1993)),"Whiskey",
 ISNUMBER(SEARCH("BOURBON",C1993)),"Whiskey",
 ISNUMBER(SEARCH("SCOTCH",C1993)),"Whiskey",
 ISNUMBER(SEARCH("RYE",C1993)),"Whiskey",
 ISNUMBER(SEARCH("VODKA",C1993)),"Vodka",
 ISNUMBER(SEARCH("TEQUILA",C1993)),"Tequila/Mezcal",
 ISNUMBER(SEARCH("MEZCAL",C1993)),"Tequila/Mezcal",
 ISNUMBER(SEARCH("RUM",C1993)),"Rum",
 ISNUMBER(SEARCH("BRAND",C1993)),"Brandy",
 ISNUMBER(SEARCH("COGNAC",C1993)),"Brandy",
 ISNUMBER(SEARCH("LIQUEUR",C1993)),"Liqueurs",
 ISNUMBER(SEARCH("CORDIAL",C1993)),"Liqueurs",
 ISNUMBER(SEARCH("SCHNAPP",C1993)),"Liqueurs",
 ISNUMBER(SEARCH("GIN",C1993)),"Gin",
 TRUE,"Other")</f>
        <v>Vodka</v>
      </c>
      <c r="E1993" s="5">
        <v>18149</v>
      </c>
      <c r="F1993" s="5">
        <v>312609.45000000147</v>
      </c>
      <c r="G1993" s="5"/>
      <c r="H1993" s="5">
        <v>2197</v>
      </c>
    </row>
    <row r="1994" spans="1:8">
      <c r="A1994" s="5">
        <v>2023</v>
      </c>
      <c r="B1994" s="6">
        <v>45231</v>
      </c>
      <c r="C1994" s="5" t="s">
        <v>33</v>
      </c>
      <c r="D1994" s="3" t="str" cm="1">
        <f t="array" ref="D1994">_xlfn.IFS(
 ISNUMBER(SEARCH("WHISK",C1994)),"Whiskey",
 ISNUMBER(SEARCH("BOURBON",C1994)),"Whiskey",
 ISNUMBER(SEARCH("SCOTCH",C1994)),"Whiskey",
 ISNUMBER(SEARCH("RYE",C1994)),"Whiskey",
 ISNUMBER(SEARCH("VODKA",C1994)),"Vodka",
 ISNUMBER(SEARCH("TEQUILA",C1994)),"Tequila/Mezcal",
 ISNUMBER(SEARCH("MEZCAL",C1994)),"Tequila/Mezcal",
 ISNUMBER(SEARCH("RUM",C1994)),"Rum",
 ISNUMBER(SEARCH("BRAND",C1994)),"Brandy",
 ISNUMBER(SEARCH("COGNAC",C1994)),"Brandy",
 ISNUMBER(SEARCH("LIQUEUR",C1994)),"Liqueurs",
 ISNUMBER(SEARCH("CORDIAL",C1994)),"Liqueurs",
 ISNUMBER(SEARCH("SCHNAPP",C1994)),"Liqueurs",
 ISNUMBER(SEARCH("GIN",C1994)),"Gin",
 TRUE,"Other")</f>
        <v>Whiskey</v>
      </c>
      <c r="E1994" s="5">
        <v>27095</v>
      </c>
      <c r="F1994" s="5">
        <v>761034.98999998975</v>
      </c>
      <c r="G1994" s="5"/>
      <c r="H1994" s="5">
        <v>3007</v>
      </c>
    </row>
    <row r="1995" spans="1:8">
      <c r="A1995" s="5">
        <v>2023</v>
      </c>
      <c r="B1995" s="6">
        <v>45231</v>
      </c>
      <c r="C1995" s="5" t="s">
        <v>34</v>
      </c>
      <c r="D1995" s="3" t="str" cm="1">
        <f t="array" ref="D1995">_xlfn.IFS(
 ISNUMBER(SEARCH("WHISK",C1995)),"Whiskey",
 ISNUMBER(SEARCH("BOURBON",C1995)),"Whiskey",
 ISNUMBER(SEARCH("SCOTCH",C1995)),"Whiskey",
 ISNUMBER(SEARCH("RYE",C1995)),"Whiskey",
 ISNUMBER(SEARCH("VODKA",C1995)),"Vodka",
 ISNUMBER(SEARCH("TEQUILA",C1995)),"Tequila/Mezcal",
 ISNUMBER(SEARCH("MEZCAL",C1995)),"Tequila/Mezcal",
 ISNUMBER(SEARCH("RUM",C1995)),"Rum",
 ISNUMBER(SEARCH("BRAND",C1995)),"Brandy",
 ISNUMBER(SEARCH("COGNAC",C1995)),"Brandy",
 ISNUMBER(SEARCH("LIQUEUR",C1995)),"Liqueurs",
 ISNUMBER(SEARCH("CORDIAL",C1995)),"Liqueurs",
 ISNUMBER(SEARCH("SCHNAPP",C1995)),"Liqueurs",
 ISNUMBER(SEARCH("GIN",C1995)),"Gin",
 TRUE,"Other")</f>
        <v>Tequila/Mezcal</v>
      </c>
      <c r="E1995" s="5">
        <v>1258</v>
      </c>
      <c r="F1995" s="5">
        <v>40653.549999999981</v>
      </c>
      <c r="G1995" s="5"/>
      <c r="H1995" s="5">
        <v>251</v>
      </c>
    </row>
    <row r="1996" spans="1:8">
      <c r="A1996" s="5">
        <v>2023</v>
      </c>
      <c r="B1996" s="6">
        <v>45231</v>
      </c>
      <c r="C1996" s="5" t="s">
        <v>35</v>
      </c>
      <c r="D1996" s="3" t="str" cm="1">
        <f t="array" ref="D1996">_xlfn.IFS(
 ISNUMBER(SEARCH("WHISK",C1996)),"Whiskey",
 ISNUMBER(SEARCH("BOURBON",C1996)),"Whiskey",
 ISNUMBER(SEARCH("SCOTCH",C1996)),"Whiskey",
 ISNUMBER(SEARCH("RYE",C1996)),"Whiskey",
 ISNUMBER(SEARCH("VODKA",C1996)),"Vodka",
 ISNUMBER(SEARCH("TEQUILA",C1996)),"Tequila/Mezcal",
 ISNUMBER(SEARCH("MEZCAL",C1996)),"Tequila/Mezcal",
 ISNUMBER(SEARCH("RUM",C1996)),"Rum",
 ISNUMBER(SEARCH("BRAND",C1996)),"Brandy",
 ISNUMBER(SEARCH("COGNAC",C1996)),"Brandy",
 ISNUMBER(SEARCH("LIQUEUR",C1996)),"Liqueurs",
 ISNUMBER(SEARCH("CORDIAL",C1996)),"Liqueurs",
 ISNUMBER(SEARCH("SCHNAPP",C1996)),"Liqueurs",
 ISNUMBER(SEARCH("GIN",C1996)),"Gin",
 TRUE,"Other")</f>
        <v>Tequila/Mezcal</v>
      </c>
      <c r="E1996" s="5">
        <v>56861</v>
      </c>
      <c r="F1996" s="5">
        <v>796633.32999999414</v>
      </c>
      <c r="G1996" s="5"/>
      <c r="H1996" s="5">
        <v>4448</v>
      </c>
    </row>
    <row r="1997" spans="1:8">
      <c r="A1997" s="5">
        <v>2023</v>
      </c>
      <c r="B1997" s="6">
        <v>45231</v>
      </c>
      <c r="C1997" s="5" t="s">
        <v>37</v>
      </c>
      <c r="D1997" s="3" t="str" cm="1">
        <f t="array" ref="D1997">_xlfn.IFS(
 ISNUMBER(SEARCH("WHISK",C1997)),"Whiskey",
 ISNUMBER(SEARCH("BOURBON",C1997)),"Whiskey",
 ISNUMBER(SEARCH("SCOTCH",C1997)),"Whiskey",
 ISNUMBER(SEARCH("RYE",C1997)),"Whiskey",
 ISNUMBER(SEARCH("VODKA",C1997)),"Vodka",
 ISNUMBER(SEARCH("TEQUILA",C1997)),"Tequila/Mezcal",
 ISNUMBER(SEARCH("MEZCAL",C1997)),"Tequila/Mezcal",
 ISNUMBER(SEARCH("RUM",C1997)),"Rum",
 ISNUMBER(SEARCH("BRAND",C1997)),"Brandy",
 ISNUMBER(SEARCH("COGNAC",C1997)),"Brandy",
 ISNUMBER(SEARCH("LIQUEUR",C1997)),"Liqueurs",
 ISNUMBER(SEARCH("CORDIAL",C1997)),"Liqueurs",
 ISNUMBER(SEARCH("SCHNAPP",C1997)),"Liqueurs",
 ISNUMBER(SEARCH("GIN",C1997)),"Gin",
 TRUE,"Other")</f>
        <v>Other</v>
      </c>
      <c r="E1997" s="5">
        <v>18447</v>
      </c>
      <c r="F1997" s="5">
        <v>308047.53000000224</v>
      </c>
      <c r="G1997" s="5"/>
      <c r="H1997" s="5">
        <v>3506</v>
      </c>
    </row>
    <row r="1998" spans="1:8">
      <c r="A1998" s="5">
        <v>2023</v>
      </c>
      <c r="B1998" s="6">
        <v>45231</v>
      </c>
      <c r="C1998" s="5" t="s">
        <v>38</v>
      </c>
      <c r="D1998" s="3" t="str" cm="1">
        <f t="array" ref="D1998">_xlfn.IFS(
 ISNUMBER(SEARCH("WHISK",C1998)),"Whiskey",
 ISNUMBER(SEARCH("BOURBON",C1998)),"Whiskey",
 ISNUMBER(SEARCH("SCOTCH",C1998)),"Whiskey",
 ISNUMBER(SEARCH("RYE",C1998)),"Whiskey",
 ISNUMBER(SEARCH("VODKA",C1998)),"Vodka",
 ISNUMBER(SEARCH("TEQUILA",C1998)),"Tequila/Mezcal",
 ISNUMBER(SEARCH("MEZCAL",C1998)),"Tequila/Mezcal",
 ISNUMBER(SEARCH("RUM",C1998)),"Rum",
 ISNUMBER(SEARCH("BRAND",C1998)),"Brandy",
 ISNUMBER(SEARCH("COGNAC",C1998)),"Brandy",
 ISNUMBER(SEARCH("LIQUEUR",C1998)),"Liqueurs",
 ISNUMBER(SEARCH("CORDIAL",C1998)),"Liqueurs",
 ISNUMBER(SEARCH("SCHNAPP",C1998)),"Liqueurs",
 ISNUMBER(SEARCH("GIN",C1998)),"Gin",
 TRUE,"Other")</f>
        <v>Whiskey</v>
      </c>
      <c r="E1998" s="5">
        <v>16781</v>
      </c>
      <c r="F1998" s="5">
        <v>527677.50999999908</v>
      </c>
      <c r="G1998" s="5"/>
      <c r="H1998" s="5">
        <v>2790</v>
      </c>
    </row>
    <row r="1999" spans="1:8">
      <c r="A1999" s="5">
        <v>2023</v>
      </c>
      <c r="B1999" s="6">
        <v>45231</v>
      </c>
      <c r="C1999" s="5" t="s">
        <v>39</v>
      </c>
      <c r="D1999" s="3" t="str" cm="1">
        <f t="array" ref="D1999">_xlfn.IFS(
 ISNUMBER(SEARCH("WHISK",C1999)),"Whiskey",
 ISNUMBER(SEARCH("BOURBON",C1999)),"Whiskey",
 ISNUMBER(SEARCH("SCOTCH",C1999)),"Whiskey",
 ISNUMBER(SEARCH("RYE",C1999)),"Whiskey",
 ISNUMBER(SEARCH("VODKA",C1999)),"Vodka",
 ISNUMBER(SEARCH("TEQUILA",C1999)),"Tequila/Mezcal",
 ISNUMBER(SEARCH("MEZCAL",C1999)),"Tequila/Mezcal",
 ISNUMBER(SEARCH("RUM",C1999)),"Rum",
 ISNUMBER(SEARCH("BRAND",C1999)),"Brandy",
 ISNUMBER(SEARCH("COGNAC",C1999)),"Brandy",
 ISNUMBER(SEARCH("LIQUEUR",C1999)),"Liqueurs",
 ISNUMBER(SEARCH("CORDIAL",C1999)),"Liqueurs",
 ISNUMBER(SEARCH("SCHNAPP",C1999)),"Liqueurs",
 ISNUMBER(SEARCH("GIN",C1999)),"Gin",
 TRUE,"Other")</f>
        <v>Whiskey</v>
      </c>
      <c r="E1999" s="5">
        <v>9141</v>
      </c>
      <c r="F1999" s="5">
        <v>436675.99999999994</v>
      </c>
      <c r="G1999" s="5"/>
      <c r="H1999" s="5">
        <v>844</v>
      </c>
    </row>
    <row r="2000" spans="1:8">
      <c r="A2000" s="5">
        <v>2023</v>
      </c>
      <c r="B2000" s="6">
        <v>45231</v>
      </c>
      <c r="C2000" s="5" t="s">
        <v>41</v>
      </c>
      <c r="D2000" s="3" t="str" cm="1">
        <f t="array" ref="D2000">_xlfn.IFS(
 ISNUMBER(SEARCH("WHISK",C2000)),"Whiskey",
 ISNUMBER(SEARCH("BOURBON",C2000)),"Whiskey",
 ISNUMBER(SEARCH("SCOTCH",C2000)),"Whiskey",
 ISNUMBER(SEARCH("RYE",C2000)),"Whiskey",
 ISNUMBER(SEARCH("VODKA",C2000)),"Vodka",
 ISNUMBER(SEARCH("TEQUILA",C2000)),"Tequila/Mezcal",
 ISNUMBER(SEARCH("MEZCAL",C2000)),"Tequila/Mezcal",
 ISNUMBER(SEARCH("RUM",C2000)),"Rum",
 ISNUMBER(SEARCH("BRAND",C2000)),"Brandy",
 ISNUMBER(SEARCH("COGNAC",C2000)),"Brandy",
 ISNUMBER(SEARCH("LIQUEUR",C2000)),"Liqueurs",
 ISNUMBER(SEARCH("CORDIAL",C2000)),"Liqueurs",
 ISNUMBER(SEARCH("SCHNAPP",C2000)),"Liqueurs",
 ISNUMBER(SEARCH("GIN",C2000)),"Gin",
 TRUE,"Other")</f>
        <v>Other</v>
      </c>
      <c r="E2000" s="5">
        <v>5726</v>
      </c>
      <c r="F2000" s="5">
        <v>73378.14999999998</v>
      </c>
      <c r="G2000" s="5"/>
      <c r="H2000" s="5">
        <v>215</v>
      </c>
    </row>
    <row r="2001" spans="1:8">
      <c r="A2001" s="5">
        <v>2023</v>
      </c>
      <c r="B2001" s="6">
        <v>45231</v>
      </c>
      <c r="C2001" s="5" t="s">
        <v>44</v>
      </c>
      <c r="D2001" s="3" t="str" cm="1">
        <f t="array" ref="D2001">_xlfn.IFS(
 ISNUMBER(SEARCH("WHISK",C2001)),"Whiskey",
 ISNUMBER(SEARCH("BOURBON",C2001)),"Whiskey",
 ISNUMBER(SEARCH("SCOTCH",C2001)),"Whiskey",
 ISNUMBER(SEARCH("RYE",C2001)),"Whiskey",
 ISNUMBER(SEARCH("VODKA",C2001)),"Vodka",
 ISNUMBER(SEARCH("TEQUILA",C2001)),"Tequila/Mezcal",
 ISNUMBER(SEARCH("MEZCAL",C2001)),"Tequila/Mezcal",
 ISNUMBER(SEARCH("RUM",C2001)),"Rum",
 ISNUMBER(SEARCH("BRAND",C2001)),"Brandy",
 ISNUMBER(SEARCH("COGNAC",C2001)),"Brandy",
 ISNUMBER(SEARCH("LIQUEUR",C2001)),"Liqueurs",
 ISNUMBER(SEARCH("CORDIAL",C2001)),"Liqueurs",
 ISNUMBER(SEARCH("SCHNAPP",C2001)),"Liqueurs",
 ISNUMBER(SEARCH("GIN",C2001)),"Gin",
 TRUE,"Other")</f>
        <v>Whiskey</v>
      </c>
      <c r="E2001" s="5">
        <v>11715</v>
      </c>
      <c r="F2001" s="5">
        <v>466604.74000000319</v>
      </c>
      <c r="G2001" s="5"/>
      <c r="H2001" s="5">
        <v>2058</v>
      </c>
    </row>
    <row r="2002" spans="1:8">
      <c r="A2002" s="5">
        <v>2023</v>
      </c>
      <c r="B2002" s="6">
        <v>45231</v>
      </c>
      <c r="C2002" s="5" t="s">
        <v>49</v>
      </c>
      <c r="D2002" s="3" t="str" cm="1">
        <f t="array" ref="D2002">_xlfn.IFS(
 ISNUMBER(SEARCH("WHISK",C2002)),"Whiskey",
 ISNUMBER(SEARCH("BOURBON",C2002)),"Whiskey",
 ISNUMBER(SEARCH("SCOTCH",C2002)),"Whiskey",
 ISNUMBER(SEARCH("RYE",C2002)),"Whiskey",
 ISNUMBER(SEARCH("VODKA",C2002)),"Vodka",
 ISNUMBER(SEARCH("TEQUILA",C2002)),"Tequila/Mezcal",
 ISNUMBER(SEARCH("MEZCAL",C2002)),"Tequila/Mezcal",
 ISNUMBER(SEARCH("RUM",C2002)),"Rum",
 ISNUMBER(SEARCH("BRAND",C2002)),"Brandy",
 ISNUMBER(SEARCH("COGNAC",C2002)),"Brandy",
 ISNUMBER(SEARCH("LIQUEUR",C2002)),"Liqueurs",
 ISNUMBER(SEARCH("CORDIAL",C2002)),"Liqueurs",
 ISNUMBER(SEARCH("SCHNAPP",C2002)),"Liqueurs",
 ISNUMBER(SEARCH("GIN",C2002)),"Gin",
 TRUE,"Other")</f>
        <v>Rum</v>
      </c>
      <c r="E2002" s="5">
        <v>38450</v>
      </c>
      <c r="F2002" s="5">
        <v>460907.80999999691</v>
      </c>
      <c r="G2002" s="5"/>
      <c r="H2002" s="5">
        <v>3524</v>
      </c>
    </row>
    <row r="2003" spans="1:8">
      <c r="A2003" s="5">
        <v>2023</v>
      </c>
      <c r="B2003" s="6">
        <v>45231</v>
      </c>
      <c r="C2003" s="5" t="s">
        <v>40</v>
      </c>
      <c r="D2003" s="3" t="str" cm="1">
        <f t="array" ref="D2003">_xlfn.IFS(
 ISNUMBER(SEARCH("WHISK",C2003)),"Whiskey",
 ISNUMBER(SEARCH("BOURBON",C2003)),"Whiskey",
 ISNUMBER(SEARCH("SCOTCH",C2003)),"Whiskey",
 ISNUMBER(SEARCH("RYE",C2003)),"Whiskey",
 ISNUMBER(SEARCH("VODKA",C2003)),"Vodka",
 ISNUMBER(SEARCH("TEQUILA",C2003)),"Tequila/Mezcal",
 ISNUMBER(SEARCH("MEZCAL",C2003)),"Tequila/Mezcal",
 ISNUMBER(SEARCH("RUM",C2003)),"Rum",
 ISNUMBER(SEARCH("BRAND",C2003)),"Brandy",
 ISNUMBER(SEARCH("COGNAC",C2003)),"Brandy",
 ISNUMBER(SEARCH("LIQUEUR",C2003)),"Liqueurs",
 ISNUMBER(SEARCH("CORDIAL",C2003)),"Liqueurs",
 ISNUMBER(SEARCH("SCHNAPP",C2003)),"Liqueurs",
 ISNUMBER(SEARCH("GIN",C2003)),"Gin",
 TRUE,"Other")</f>
        <v>Whiskey</v>
      </c>
      <c r="E2003" s="5">
        <v>8623</v>
      </c>
      <c r="F2003" s="5">
        <v>508161.4199999976</v>
      </c>
      <c r="G2003" s="5"/>
      <c r="H2003" s="5">
        <v>1929</v>
      </c>
    </row>
    <row r="2004" spans="1:8">
      <c r="A2004" s="5">
        <v>2023</v>
      </c>
      <c r="B2004" s="6">
        <v>45231</v>
      </c>
      <c r="C2004" s="5" t="s">
        <v>47</v>
      </c>
      <c r="D2004" s="3" t="str" cm="1">
        <f t="array" ref="D2004">_xlfn.IFS(
 ISNUMBER(SEARCH("WHISK",C2004)),"Whiskey",
 ISNUMBER(SEARCH("BOURBON",C2004)),"Whiskey",
 ISNUMBER(SEARCH("SCOTCH",C2004)),"Whiskey",
 ISNUMBER(SEARCH("RYE",C2004)),"Whiskey",
 ISNUMBER(SEARCH("VODKA",C2004)),"Vodka",
 ISNUMBER(SEARCH("TEQUILA",C2004)),"Tequila/Mezcal",
 ISNUMBER(SEARCH("MEZCAL",C2004)),"Tequila/Mezcal",
 ISNUMBER(SEARCH("RUM",C2004)),"Rum",
 ISNUMBER(SEARCH("BRAND",C2004)),"Brandy",
 ISNUMBER(SEARCH("COGNAC",C2004)),"Brandy",
 ISNUMBER(SEARCH("LIQUEUR",C2004)),"Liqueurs",
 ISNUMBER(SEARCH("CORDIAL",C2004)),"Liqueurs",
 ISNUMBER(SEARCH("SCHNAPP",C2004)),"Liqueurs",
 ISNUMBER(SEARCH("GIN",C2004)),"Gin",
 TRUE,"Other")</f>
        <v>Other</v>
      </c>
      <c r="E2004" s="5">
        <v>15651</v>
      </c>
      <c r="F2004" s="5">
        <v>64903.780000000013</v>
      </c>
      <c r="G2004" s="5"/>
      <c r="H2004" s="5">
        <v>651</v>
      </c>
    </row>
    <row r="2005" spans="1:8">
      <c r="A2005" s="5">
        <v>2023</v>
      </c>
      <c r="B2005" s="6">
        <v>45231</v>
      </c>
      <c r="C2005" s="5" t="s">
        <v>10</v>
      </c>
      <c r="D2005" s="3" t="str" cm="1">
        <f t="array" ref="D2005">_xlfn.IFS(
 ISNUMBER(SEARCH("WHISK",C2005)),"Whiskey",
 ISNUMBER(SEARCH("BOURBON",C2005)),"Whiskey",
 ISNUMBER(SEARCH("SCOTCH",C2005)),"Whiskey",
 ISNUMBER(SEARCH("RYE",C2005)),"Whiskey",
 ISNUMBER(SEARCH("VODKA",C2005)),"Vodka",
 ISNUMBER(SEARCH("TEQUILA",C2005)),"Tequila/Mezcal",
 ISNUMBER(SEARCH("MEZCAL",C2005)),"Tequila/Mezcal",
 ISNUMBER(SEARCH("RUM",C2005)),"Rum",
 ISNUMBER(SEARCH("BRAND",C2005)),"Brandy",
 ISNUMBER(SEARCH("COGNAC",C2005)),"Brandy",
 ISNUMBER(SEARCH("LIQUEUR",C2005)),"Liqueurs",
 ISNUMBER(SEARCH("CORDIAL",C2005)),"Liqueurs",
 ISNUMBER(SEARCH("SCHNAPP",C2005)),"Liqueurs",
 ISNUMBER(SEARCH("GIN",C2005)),"Gin",
 TRUE,"Other")</f>
        <v>Other</v>
      </c>
      <c r="E2005" s="5">
        <v>7450</v>
      </c>
      <c r="F2005" s="5">
        <v>163009.92999999973</v>
      </c>
      <c r="G2005" s="5"/>
      <c r="H2005" s="5">
        <v>888</v>
      </c>
    </row>
    <row r="2006" spans="1:8">
      <c r="A2006" s="5">
        <v>2023</v>
      </c>
      <c r="B2006" s="6">
        <v>45231</v>
      </c>
      <c r="C2006" s="5" t="s">
        <v>17</v>
      </c>
      <c r="D2006" s="3" t="str" cm="1">
        <f t="array" ref="D2006">_xlfn.IFS(
 ISNUMBER(SEARCH("WHISK",C2006)),"Whiskey",
 ISNUMBER(SEARCH("BOURBON",C2006)),"Whiskey",
 ISNUMBER(SEARCH("SCOTCH",C2006)),"Whiskey",
 ISNUMBER(SEARCH("RYE",C2006)),"Whiskey",
 ISNUMBER(SEARCH("VODKA",C2006)),"Vodka",
 ISNUMBER(SEARCH("TEQUILA",C2006)),"Tequila/Mezcal",
 ISNUMBER(SEARCH("MEZCAL",C2006)),"Tequila/Mezcal",
 ISNUMBER(SEARCH("RUM",C2006)),"Rum",
 ISNUMBER(SEARCH("BRAND",C2006)),"Brandy",
 ISNUMBER(SEARCH("COGNAC",C2006)),"Brandy",
 ISNUMBER(SEARCH("LIQUEUR",C2006)),"Liqueurs",
 ISNUMBER(SEARCH("CORDIAL",C2006)),"Liqueurs",
 ISNUMBER(SEARCH("SCHNAPP",C2006)),"Liqueurs",
 ISNUMBER(SEARCH("GIN",C2006)),"Gin",
 TRUE,"Other")</f>
        <v>Whiskey</v>
      </c>
      <c r="E2006" s="5">
        <v>3057</v>
      </c>
      <c r="F2006" s="5">
        <v>84981.59000000004</v>
      </c>
      <c r="G2006" s="5"/>
      <c r="H2006" s="5">
        <v>603</v>
      </c>
    </row>
    <row r="2007" spans="1:8">
      <c r="A2007" s="5">
        <v>2023</v>
      </c>
      <c r="B2007" s="6">
        <v>45231</v>
      </c>
      <c r="C2007" s="5" t="s">
        <v>25</v>
      </c>
      <c r="D2007" s="3" t="str" cm="1">
        <f t="array" ref="D2007">_xlfn.IFS(
 ISNUMBER(SEARCH("WHISK",C2007)),"Whiskey",
 ISNUMBER(SEARCH("BOURBON",C2007)),"Whiskey",
 ISNUMBER(SEARCH("SCOTCH",C2007)),"Whiskey",
 ISNUMBER(SEARCH("RYE",C2007)),"Whiskey",
 ISNUMBER(SEARCH("VODKA",C2007)),"Vodka",
 ISNUMBER(SEARCH("TEQUILA",C2007)),"Tequila/Mezcal",
 ISNUMBER(SEARCH("MEZCAL",C2007)),"Tequila/Mezcal",
 ISNUMBER(SEARCH("RUM",C2007)),"Rum",
 ISNUMBER(SEARCH("BRAND",C2007)),"Brandy",
 ISNUMBER(SEARCH("COGNAC",C2007)),"Brandy",
 ISNUMBER(SEARCH("LIQUEUR",C2007)),"Liqueurs",
 ISNUMBER(SEARCH("CORDIAL",C2007)),"Liqueurs",
 ISNUMBER(SEARCH("SCHNAPP",C2007)),"Liqueurs",
 ISNUMBER(SEARCH("GIN",C2007)),"Gin",
 TRUE,"Other")</f>
        <v>Rum</v>
      </c>
      <c r="E2007" s="5">
        <v>6473</v>
      </c>
      <c r="F2007" s="5">
        <v>88385.979999999632</v>
      </c>
      <c r="G2007" s="5"/>
      <c r="H2007" s="5">
        <v>960</v>
      </c>
    </row>
    <row r="2008" spans="1:8">
      <c r="A2008" s="5">
        <v>2023</v>
      </c>
      <c r="B2008" s="6">
        <v>45231</v>
      </c>
      <c r="C2008" s="5" t="s">
        <v>36</v>
      </c>
      <c r="D2008" s="3" t="str" cm="1">
        <f t="array" ref="D2008">_xlfn.IFS(
 ISNUMBER(SEARCH("WHISK",C2008)),"Whiskey",
 ISNUMBER(SEARCH("BOURBON",C2008)),"Whiskey",
 ISNUMBER(SEARCH("SCOTCH",C2008)),"Whiskey",
 ISNUMBER(SEARCH("RYE",C2008)),"Whiskey",
 ISNUMBER(SEARCH("VODKA",C2008)),"Vodka",
 ISNUMBER(SEARCH("TEQUILA",C2008)),"Tequila/Mezcal",
 ISNUMBER(SEARCH("MEZCAL",C2008)),"Tequila/Mezcal",
 ISNUMBER(SEARCH("RUM",C2008)),"Rum",
 ISNUMBER(SEARCH("BRAND",C2008)),"Brandy",
 ISNUMBER(SEARCH("COGNAC",C2008)),"Brandy",
 ISNUMBER(SEARCH("LIQUEUR",C2008)),"Liqueurs",
 ISNUMBER(SEARCH("CORDIAL",C2008)),"Liqueurs",
 ISNUMBER(SEARCH("SCHNAPP",C2008)),"Liqueurs",
 ISNUMBER(SEARCH("GIN",C2008)),"Gin",
 TRUE,"Other")</f>
        <v>Other</v>
      </c>
      <c r="E2008" s="5">
        <v>5018</v>
      </c>
      <c r="F2008" s="5">
        <v>71432.53999999995</v>
      </c>
      <c r="G2008" s="5"/>
      <c r="H2008" s="5">
        <v>547</v>
      </c>
    </row>
    <row r="2009" spans="1:8">
      <c r="A2009" s="5">
        <v>2023</v>
      </c>
      <c r="B2009" s="6">
        <v>45231</v>
      </c>
      <c r="C2009" s="5" t="s">
        <v>7</v>
      </c>
      <c r="D2009" s="3" t="str" cm="1">
        <f t="array" ref="D2009">_xlfn.IFS(
 ISNUMBER(SEARCH("WHISK",C2009)),"Whiskey",
 ISNUMBER(SEARCH("BOURBON",C2009)),"Whiskey",
 ISNUMBER(SEARCH("SCOTCH",C2009)),"Whiskey",
 ISNUMBER(SEARCH("RYE",C2009)),"Whiskey",
 ISNUMBER(SEARCH("VODKA",C2009)),"Vodka",
 ISNUMBER(SEARCH("TEQUILA",C2009)),"Tequila/Mezcal",
 ISNUMBER(SEARCH("MEZCAL",C2009)),"Tequila/Mezcal",
 ISNUMBER(SEARCH("RUM",C2009)),"Rum",
 ISNUMBER(SEARCH("BRAND",C2009)),"Brandy",
 ISNUMBER(SEARCH("COGNAC",C2009)),"Brandy",
 ISNUMBER(SEARCH("LIQUEUR",C2009)),"Liqueurs",
 ISNUMBER(SEARCH("CORDIAL",C2009)),"Liqueurs",
 ISNUMBER(SEARCH("SCHNAPP",C2009)),"Liqueurs",
 ISNUMBER(SEARCH("GIN",C2009)),"Gin",
 TRUE,"Other")</f>
        <v>Rum</v>
      </c>
      <c r="E2009" s="5">
        <v>4169</v>
      </c>
      <c r="F2009" s="5">
        <v>90956.770000000091</v>
      </c>
      <c r="G2009" s="5"/>
      <c r="H2009" s="5">
        <v>703</v>
      </c>
    </row>
    <row r="2010" spans="1:8">
      <c r="A2010" s="5">
        <v>2023</v>
      </c>
      <c r="B2010" s="6">
        <v>45231</v>
      </c>
      <c r="C2010" s="5" t="s">
        <v>14</v>
      </c>
      <c r="D2010" s="3" t="str" cm="1">
        <f t="array" ref="D2010">_xlfn.IFS(
 ISNUMBER(SEARCH("WHISK",C2010)),"Whiskey",
 ISNUMBER(SEARCH("BOURBON",C2010)),"Whiskey",
 ISNUMBER(SEARCH("SCOTCH",C2010)),"Whiskey",
 ISNUMBER(SEARCH("RYE",C2010)),"Whiskey",
 ISNUMBER(SEARCH("VODKA",C2010)),"Vodka",
 ISNUMBER(SEARCH("TEQUILA",C2010)),"Tequila/Mezcal",
 ISNUMBER(SEARCH("MEZCAL",C2010)),"Tequila/Mezcal",
 ISNUMBER(SEARCH("RUM",C2010)),"Rum",
 ISNUMBER(SEARCH("BRAND",C2010)),"Brandy",
 ISNUMBER(SEARCH("COGNAC",C2010)),"Brandy",
 ISNUMBER(SEARCH("LIQUEUR",C2010)),"Liqueurs",
 ISNUMBER(SEARCH("CORDIAL",C2010)),"Liqueurs",
 ISNUMBER(SEARCH("SCHNAPP",C2010)),"Liqueurs",
 ISNUMBER(SEARCH("GIN",C2010)),"Gin",
 TRUE,"Other")</f>
        <v>Gin</v>
      </c>
      <c r="E2010" s="5">
        <v>257</v>
      </c>
      <c r="F2010" s="5">
        <v>2158.9799999999991</v>
      </c>
      <c r="G2010" s="5"/>
      <c r="H2010" s="5">
        <v>53</v>
      </c>
    </row>
    <row r="2011" spans="1:8">
      <c r="A2011" s="5">
        <v>2023</v>
      </c>
      <c r="B2011" s="6">
        <v>45231</v>
      </c>
      <c r="C2011" s="5" t="s">
        <v>21</v>
      </c>
      <c r="D2011" s="3" t="str" cm="1">
        <f t="array" ref="D2011">_xlfn.IFS(
 ISNUMBER(SEARCH("WHISK",C2011)),"Whiskey",
 ISNUMBER(SEARCH("BOURBON",C2011)),"Whiskey",
 ISNUMBER(SEARCH("SCOTCH",C2011)),"Whiskey",
 ISNUMBER(SEARCH("RYE",C2011)),"Whiskey",
 ISNUMBER(SEARCH("VODKA",C2011)),"Vodka",
 ISNUMBER(SEARCH("TEQUILA",C2011)),"Tequila/Mezcal",
 ISNUMBER(SEARCH("MEZCAL",C2011)),"Tequila/Mezcal",
 ISNUMBER(SEARCH("RUM",C2011)),"Rum",
 ISNUMBER(SEARCH("BRAND",C2011)),"Brandy",
 ISNUMBER(SEARCH("COGNAC",C2011)),"Brandy",
 ISNUMBER(SEARCH("LIQUEUR",C2011)),"Liqueurs",
 ISNUMBER(SEARCH("CORDIAL",C2011)),"Liqueurs",
 ISNUMBER(SEARCH("SCHNAPP",C2011)),"Liqueurs",
 ISNUMBER(SEARCH("GIN",C2011)),"Gin",
 TRUE,"Other")</f>
        <v>Whiskey</v>
      </c>
      <c r="E2011" s="5">
        <v>533</v>
      </c>
      <c r="F2011" s="5">
        <v>12527.13</v>
      </c>
      <c r="G2011" s="5"/>
      <c r="H2011" s="5">
        <v>86</v>
      </c>
    </row>
    <row r="2012" spans="1:8">
      <c r="A2012" s="5">
        <v>2023</v>
      </c>
      <c r="B2012" s="6">
        <v>45261</v>
      </c>
      <c r="C2012" s="5" t="s">
        <v>50</v>
      </c>
      <c r="D2012" s="3" t="str" cm="1">
        <f t="array" ref="D2012">_xlfn.IFS(
 ISNUMBER(SEARCH("WHISK",C2012)),"Whiskey",
 ISNUMBER(SEARCH("BOURBON",C2012)),"Whiskey",
 ISNUMBER(SEARCH("SCOTCH",C2012)),"Whiskey",
 ISNUMBER(SEARCH("RYE",C2012)),"Whiskey",
 ISNUMBER(SEARCH("VODKA",C2012)),"Vodka",
 ISNUMBER(SEARCH("TEQUILA",C2012)),"Tequila/Mezcal",
 ISNUMBER(SEARCH("MEZCAL",C2012)),"Tequila/Mezcal",
 ISNUMBER(SEARCH("RUM",C2012)),"Rum",
 ISNUMBER(SEARCH("BRAND",C2012)),"Brandy",
 ISNUMBER(SEARCH("COGNAC",C2012)),"Brandy",
 ISNUMBER(SEARCH("LIQUEUR",C2012)),"Liqueurs",
 ISNUMBER(SEARCH("CORDIAL",C2012)),"Liqueurs",
 ISNUMBER(SEARCH("SCHNAPP",C2012)),"Liqueurs",
 ISNUMBER(SEARCH("GIN",C2012)),"Gin",
 TRUE,"Other")</f>
        <v>Tequila/Mezcal</v>
      </c>
      <c r="E2012" s="5">
        <v>101885</v>
      </c>
      <c r="F2012" s="5">
        <v>3098841.9699999592</v>
      </c>
      <c r="G2012" s="5"/>
      <c r="H2012" s="5">
        <v>11965</v>
      </c>
    </row>
    <row r="2013" spans="1:8">
      <c r="A2013" s="5">
        <v>2023</v>
      </c>
      <c r="B2013" s="6">
        <v>45261</v>
      </c>
      <c r="C2013" s="5" t="s">
        <v>59</v>
      </c>
      <c r="D2013" s="3" t="str" cm="1">
        <f t="array" ref="D2013">_xlfn.IFS(
 ISNUMBER(SEARCH("WHISK",C2013)),"Whiskey",
 ISNUMBER(SEARCH("BOURBON",C2013)),"Whiskey",
 ISNUMBER(SEARCH("SCOTCH",C2013)),"Whiskey",
 ISNUMBER(SEARCH("RYE",C2013)),"Whiskey",
 ISNUMBER(SEARCH("VODKA",C2013)),"Vodka",
 ISNUMBER(SEARCH("TEQUILA",C2013)),"Tequila/Mezcal",
 ISNUMBER(SEARCH("MEZCAL",C2013)),"Tequila/Mezcal",
 ISNUMBER(SEARCH("RUM",C2013)),"Rum",
 ISNUMBER(SEARCH("BRAND",C2013)),"Brandy",
 ISNUMBER(SEARCH("COGNAC",C2013)),"Brandy",
 ISNUMBER(SEARCH("LIQUEUR",C2013)),"Liqueurs",
 ISNUMBER(SEARCH("CORDIAL",C2013)),"Liqueurs",
 ISNUMBER(SEARCH("SCHNAPP",C2013)),"Liqueurs",
 ISNUMBER(SEARCH("GIN",C2013)),"Gin",
 TRUE,"Other")</f>
        <v>Liqueurs</v>
      </c>
      <c r="E2013" s="5">
        <v>41727</v>
      </c>
      <c r="F2013" s="5">
        <v>451623.99000001675</v>
      </c>
      <c r="G2013" s="5"/>
      <c r="H2013" s="5">
        <v>6359</v>
      </c>
    </row>
    <row r="2014" spans="1:8">
      <c r="A2014" s="5">
        <v>2023</v>
      </c>
      <c r="B2014" s="6">
        <v>45261</v>
      </c>
      <c r="C2014" s="5" t="s">
        <v>12</v>
      </c>
      <c r="D2014" s="3" t="str" cm="1">
        <f t="array" ref="D2014">_xlfn.IFS(
 ISNUMBER(SEARCH("WHISK",C2014)),"Whiskey",
 ISNUMBER(SEARCH("BOURBON",C2014)),"Whiskey",
 ISNUMBER(SEARCH("SCOTCH",C2014)),"Whiskey",
 ISNUMBER(SEARCH("RYE",C2014)),"Whiskey",
 ISNUMBER(SEARCH("VODKA",C2014)),"Vodka",
 ISNUMBER(SEARCH("TEQUILA",C2014)),"Tequila/Mezcal",
 ISNUMBER(SEARCH("MEZCAL",C2014)),"Tequila/Mezcal",
 ISNUMBER(SEARCH("RUM",C2014)),"Rum",
 ISNUMBER(SEARCH("BRAND",C2014)),"Brandy",
 ISNUMBER(SEARCH("COGNAC",C2014)),"Brandy",
 ISNUMBER(SEARCH("LIQUEUR",C2014)),"Liqueurs",
 ISNUMBER(SEARCH("CORDIAL",C2014)),"Liqueurs",
 ISNUMBER(SEARCH("SCHNAPP",C2014)),"Liqueurs",
 ISNUMBER(SEARCH("GIN",C2014)),"Gin",
 TRUE,"Other")</f>
        <v>Vodka</v>
      </c>
      <c r="E2014" s="5">
        <v>82772</v>
      </c>
      <c r="F2014" s="5">
        <v>953424.21000004816</v>
      </c>
      <c r="G2014" s="5"/>
      <c r="H2014" s="5">
        <v>10078</v>
      </c>
    </row>
    <row r="2015" spans="1:8">
      <c r="A2015" s="5">
        <v>2023</v>
      </c>
      <c r="B2015" s="6">
        <v>45261</v>
      </c>
      <c r="C2015" s="5" t="s">
        <v>13</v>
      </c>
      <c r="D2015" s="3" t="str" cm="1">
        <f t="array" ref="D2015">_xlfn.IFS(
 ISNUMBER(SEARCH("WHISK",C2015)),"Whiskey",
 ISNUMBER(SEARCH("BOURBON",C2015)),"Whiskey",
 ISNUMBER(SEARCH("SCOTCH",C2015)),"Whiskey",
 ISNUMBER(SEARCH("RYE",C2015)),"Whiskey",
 ISNUMBER(SEARCH("VODKA",C2015)),"Vodka",
 ISNUMBER(SEARCH("TEQUILA",C2015)),"Tequila/Mezcal",
 ISNUMBER(SEARCH("MEZCAL",C2015)),"Tequila/Mezcal",
 ISNUMBER(SEARCH("RUM",C2015)),"Rum",
 ISNUMBER(SEARCH("BRAND",C2015)),"Brandy",
 ISNUMBER(SEARCH("COGNAC",C2015)),"Brandy",
 ISNUMBER(SEARCH("LIQUEUR",C2015)),"Liqueurs",
 ISNUMBER(SEARCH("CORDIAL",C2015)),"Liqueurs",
 ISNUMBER(SEARCH("SCHNAPP",C2015)),"Liqueurs",
 ISNUMBER(SEARCH("GIN",C2015)),"Gin",
 TRUE,"Other")</f>
        <v>Liqueurs</v>
      </c>
      <c r="E2015" s="5">
        <v>87872</v>
      </c>
      <c r="F2015" s="5">
        <v>668772.330000035</v>
      </c>
      <c r="G2015" s="5"/>
      <c r="H2015" s="5">
        <v>7963</v>
      </c>
    </row>
    <row r="2016" spans="1:8">
      <c r="A2016" s="5">
        <v>2023</v>
      </c>
      <c r="B2016" s="6">
        <v>45261</v>
      </c>
      <c r="C2016" s="5" t="s">
        <v>15</v>
      </c>
      <c r="D2016" s="3" t="str" cm="1">
        <f t="array" ref="D2016">_xlfn.IFS(
 ISNUMBER(SEARCH("WHISK",C2016)),"Whiskey",
 ISNUMBER(SEARCH("BOURBON",C2016)),"Whiskey",
 ISNUMBER(SEARCH("SCOTCH",C2016)),"Whiskey",
 ISNUMBER(SEARCH("RYE",C2016)),"Whiskey",
 ISNUMBER(SEARCH("VODKA",C2016)),"Vodka",
 ISNUMBER(SEARCH("TEQUILA",C2016)),"Tequila/Mezcal",
 ISNUMBER(SEARCH("MEZCAL",C2016)),"Tequila/Mezcal",
 ISNUMBER(SEARCH("RUM",C2016)),"Rum",
 ISNUMBER(SEARCH("BRAND",C2016)),"Brandy",
 ISNUMBER(SEARCH("COGNAC",C2016)),"Brandy",
 ISNUMBER(SEARCH("LIQUEUR",C2016)),"Liqueurs",
 ISNUMBER(SEARCH("CORDIAL",C2016)),"Liqueurs",
 ISNUMBER(SEARCH("SCHNAPP",C2016)),"Liqueurs",
 ISNUMBER(SEARCH("GIN",C2016)),"Gin",
 TRUE,"Other")</f>
        <v>Vodka</v>
      </c>
      <c r="E2016" s="5">
        <v>505523</v>
      </c>
      <c r="F2016" s="5">
        <v>4781109.2500001369</v>
      </c>
      <c r="G2016" s="5"/>
      <c r="H2016" s="5">
        <v>32838</v>
      </c>
    </row>
    <row r="2017" spans="1:8">
      <c r="A2017" s="5">
        <v>2023</v>
      </c>
      <c r="B2017" s="6">
        <v>45261</v>
      </c>
      <c r="C2017" s="5" t="s">
        <v>18</v>
      </c>
      <c r="D2017" s="3" t="str" cm="1">
        <f t="array" ref="D2017">_xlfn.IFS(
 ISNUMBER(SEARCH("WHISK",C2017)),"Whiskey",
 ISNUMBER(SEARCH("BOURBON",C2017)),"Whiskey",
 ISNUMBER(SEARCH("SCOTCH",C2017)),"Whiskey",
 ISNUMBER(SEARCH("RYE",C2017)),"Whiskey",
 ISNUMBER(SEARCH("VODKA",C2017)),"Vodka",
 ISNUMBER(SEARCH("TEQUILA",C2017)),"Tequila/Mezcal",
 ISNUMBER(SEARCH("MEZCAL",C2017)),"Tequila/Mezcal",
 ISNUMBER(SEARCH("RUM",C2017)),"Rum",
 ISNUMBER(SEARCH("BRAND",C2017)),"Brandy",
 ISNUMBER(SEARCH("COGNAC",C2017)),"Brandy",
 ISNUMBER(SEARCH("LIQUEUR",C2017)),"Liqueurs",
 ISNUMBER(SEARCH("CORDIAL",C2017)),"Liqueurs",
 ISNUMBER(SEARCH("SCHNAPP",C2017)),"Liqueurs",
 ISNUMBER(SEARCH("GIN",C2017)),"Gin",
 TRUE,"Other")</f>
        <v>Whiskey</v>
      </c>
      <c r="E2017" s="5">
        <v>303899</v>
      </c>
      <c r="F2017" s="5">
        <v>5182652.6399999</v>
      </c>
      <c r="G2017" s="5"/>
      <c r="H2017" s="5">
        <v>23454</v>
      </c>
    </row>
    <row r="2018" spans="1:8">
      <c r="A2018" s="5">
        <v>2023</v>
      </c>
      <c r="B2018" s="6">
        <v>45261</v>
      </c>
      <c r="C2018" s="5" t="s">
        <v>26</v>
      </c>
      <c r="D2018" s="3" t="str" cm="1">
        <f t="array" ref="D2018">_xlfn.IFS(
 ISNUMBER(SEARCH("WHISK",C2018)),"Whiskey",
 ISNUMBER(SEARCH("BOURBON",C2018)),"Whiskey",
 ISNUMBER(SEARCH("SCOTCH",C2018)),"Whiskey",
 ISNUMBER(SEARCH("RYE",C2018)),"Whiskey",
 ISNUMBER(SEARCH("VODKA",C2018)),"Vodka",
 ISNUMBER(SEARCH("TEQUILA",C2018)),"Tequila/Mezcal",
 ISNUMBER(SEARCH("MEZCAL",C2018)),"Tequila/Mezcal",
 ISNUMBER(SEARCH("RUM",C2018)),"Rum",
 ISNUMBER(SEARCH("BRAND",C2018)),"Brandy",
 ISNUMBER(SEARCH("COGNAC",C2018)),"Brandy",
 ISNUMBER(SEARCH("LIQUEUR",C2018)),"Liqueurs",
 ISNUMBER(SEARCH("CORDIAL",C2018)),"Liqueurs",
 ISNUMBER(SEARCH("SCHNAPP",C2018)),"Liqueurs",
 ISNUMBER(SEARCH("GIN",C2018)),"Gin",
 TRUE,"Other")</f>
        <v>Brandy</v>
      </c>
      <c r="E2018" s="5">
        <v>43597</v>
      </c>
      <c r="F2018" s="5">
        <v>1025697.9099999872</v>
      </c>
      <c r="G2018" s="5"/>
      <c r="H2018" s="5">
        <v>3869</v>
      </c>
    </row>
    <row r="2019" spans="1:8">
      <c r="A2019" s="5">
        <v>2023</v>
      </c>
      <c r="B2019" s="6">
        <v>45261</v>
      </c>
      <c r="C2019" s="5" t="s">
        <v>60</v>
      </c>
      <c r="D2019" s="3" t="str" cm="1">
        <f t="array" ref="D2019">_xlfn.IFS(
 ISNUMBER(SEARCH("WHISK",C2019)),"Whiskey",
 ISNUMBER(SEARCH("BOURBON",C2019)),"Whiskey",
 ISNUMBER(SEARCH("SCOTCH",C2019)),"Whiskey",
 ISNUMBER(SEARCH("RYE",C2019)),"Whiskey",
 ISNUMBER(SEARCH("VODKA",C2019)),"Vodka",
 ISNUMBER(SEARCH("TEQUILA",C2019)),"Tequila/Mezcal",
 ISNUMBER(SEARCH("MEZCAL",C2019)),"Tequila/Mezcal",
 ISNUMBER(SEARCH("RUM",C2019)),"Rum",
 ISNUMBER(SEARCH("BRAND",C2019)),"Brandy",
 ISNUMBER(SEARCH("COGNAC",C2019)),"Brandy",
 ISNUMBER(SEARCH("LIQUEUR",C2019)),"Liqueurs",
 ISNUMBER(SEARCH("CORDIAL",C2019)),"Liqueurs",
 ISNUMBER(SEARCH("SCHNAPP",C2019)),"Liqueurs",
 ISNUMBER(SEARCH("GIN",C2019)),"Gin",
 TRUE,"Other")</f>
        <v>Liqueurs</v>
      </c>
      <c r="E2019" s="5">
        <v>50705</v>
      </c>
      <c r="F2019" s="5">
        <v>1179930.0199999972</v>
      </c>
      <c r="G2019" s="5"/>
      <c r="H2019" s="5">
        <v>5957</v>
      </c>
    </row>
    <row r="2020" spans="1:8">
      <c r="A2020" s="5">
        <v>2023</v>
      </c>
      <c r="B2020" s="6">
        <v>45261</v>
      </c>
      <c r="C2020" s="5" t="s">
        <v>42</v>
      </c>
      <c r="D2020" s="3" t="str" cm="1">
        <f t="array" ref="D2020">_xlfn.IFS(
 ISNUMBER(SEARCH("WHISK",C2020)),"Whiskey",
 ISNUMBER(SEARCH("BOURBON",C2020)),"Whiskey",
 ISNUMBER(SEARCH("SCOTCH",C2020)),"Whiskey",
 ISNUMBER(SEARCH("RYE",C2020)),"Whiskey",
 ISNUMBER(SEARCH("VODKA",C2020)),"Vodka",
 ISNUMBER(SEARCH("TEQUILA",C2020)),"Tequila/Mezcal",
 ISNUMBER(SEARCH("MEZCAL",C2020)),"Tequila/Mezcal",
 ISNUMBER(SEARCH("RUM",C2020)),"Rum",
 ISNUMBER(SEARCH("BRAND",C2020)),"Brandy",
 ISNUMBER(SEARCH("COGNAC",C2020)),"Brandy",
 ISNUMBER(SEARCH("LIQUEUR",C2020)),"Liqueurs",
 ISNUMBER(SEARCH("CORDIAL",C2020)),"Liqueurs",
 ISNUMBER(SEARCH("SCHNAPP",C2020)),"Liqueurs",
 ISNUMBER(SEARCH("GIN",C2020)),"Gin",
 TRUE,"Other")</f>
        <v>Rum</v>
      </c>
      <c r="E2020" s="5">
        <v>115219</v>
      </c>
      <c r="F2020" s="5">
        <v>1659071.5399998836</v>
      </c>
      <c r="G2020" s="5"/>
      <c r="H2020" s="5">
        <v>8844</v>
      </c>
    </row>
    <row r="2021" spans="1:8">
      <c r="A2021" s="5">
        <v>2023</v>
      </c>
      <c r="B2021" s="6">
        <v>45261</v>
      </c>
      <c r="C2021" s="5" t="s">
        <v>43</v>
      </c>
      <c r="D2021" s="3" t="str" cm="1">
        <f t="array" ref="D2021">_xlfn.IFS(
 ISNUMBER(SEARCH("WHISK",C2021)),"Whiskey",
 ISNUMBER(SEARCH("BOURBON",C2021)),"Whiskey",
 ISNUMBER(SEARCH("SCOTCH",C2021)),"Whiskey",
 ISNUMBER(SEARCH("RYE",C2021)),"Whiskey",
 ISNUMBER(SEARCH("VODKA",C2021)),"Vodka",
 ISNUMBER(SEARCH("TEQUILA",C2021)),"Tequila/Mezcal",
 ISNUMBER(SEARCH("MEZCAL",C2021)),"Tequila/Mezcal",
 ISNUMBER(SEARCH("RUM",C2021)),"Rum",
 ISNUMBER(SEARCH("BRAND",C2021)),"Brandy",
 ISNUMBER(SEARCH("COGNAC",C2021)),"Brandy",
 ISNUMBER(SEARCH("LIQUEUR",C2021)),"Liqueurs",
 ISNUMBER(SEARCH("CORDIAL",C2021)),"Liqueurs",
 ISNUMBER(SEARCH("SCHNAPP",C2021)),"Liqueurs",
 ISNUMBER(SEARCH("GIN",C2021)),"Gin",
 TRUE,"Other")</f>
        <v>Whiskey</v>
      </c>
      <c r="E2021" s="5">
        <v>170365</v>
      </c>
      <c r="F2021" s="5">
        <v>4217630.8399999933</v>
      </c>
      <c r="G2021" s="5"/>
      <c r="H2021" s="5">
        <v>20413</v>
      </c>
    </row>
    <row r="2022" spans="1:8">
      <c r="A2022" s="5">
        <v>2023</v>
      </c>
      <c r="B2022" s="6">
        <v>45261</v>
      </c>
      <c r="C2022" s="5" t="s">
        <v>48</v>
      </c>
      <c r="D2022" s="3" t="str" cm="1">
        <f t="array" ref="D2022">_xlfn.IFS(
 ISNUMBER(SEARCH("WHISK",C2022)),"Whiskey",
 ISNUMBER(SEARCH("BOURBON",C2022)),"Whiskey",
 ISNUMBER(SEARCH("SCOTCH",C2022)),"Whiskey",
 ISNUMBER(SEARCH("RYE",C2022)),"Whiskey",
 ISNUMBER(SEARCH("VODKA",C2022)),"Vodka",
 ISNUMBER(SEARCH("TEQUILA",C2022)),"Tequila/Mezcal",
 ISNUMBER(SEARCH("MEZCAL",C2022)),"Tequila/Mezcal",
 ISNUMBER(SEARCH("RUM",C2022)),"Rum",
 ISNUMBER(SEARCH("BRAND",C2022)),"Brandy",
 ISNUMBER(SEARCH("COGNAC",C2022)),"Brandy",
 ISNUMBER(SEARCH("LIQUEUR",C2022)),"Liqueurs",
 ISNUMBER(SEARCH("CORDIAL",C2022)),"Liqueurs",
 ISNUMBER(SEARCH("SCHNAPP",C2022)),"Liqueurs",
 ISNUMBER(SEARCH("GIN",C2022)),"Gin",
 TRUE,"Other")</f>
        <v>Whiskey</v>
      </c>
      <c r="E2022" s="5">
        <v>385434</v>
      </c>
      <c r="F2022" s="5">
        <v>2305628.329999961</v>
      </c>
      <c r="G2022" s="5"/>
      <c r="H2022" s="5">
        <v>14471</v>
      </c>
    </row>
    <row r="2023" spans="1:8">
      <c r="A2023" s="5">
        <v>2023</v>
      </c>
      <c r="B2023" s="6">
        <v>45261</v>
      </c>
      <c r="C2023" s="5" t="s">
        <v>8</v>
      </c>
      <c r="D2023" s="3" t="str" cm="1">
        <f t="array" ref="D2023">_xlfn.IFS(
 ISNUMBER(SEARCH("WHISK",C2023)),"Whiskey",
 ISNUMBER(SEARCH("BOURBON",C2023)),"Whiskey",
 ISNUMBER(SEARCH("SCOTCH",C2023)),"Whiskey",
 ISNUMBER(SEARCH("RYE",C2023)),"Whiskey",
 ISNUMBER(SEARCH("VODKA",C2023)),"Vodka",
 ISNUMBER(SEARCH("TEQUILA",C2023)),"Tequila/Mezcal",
 ISNUMBER(SEARCH("MEZCAL",C2023)),"Tequila/Mezcal",
 ISNUMBER(SEARCH("RUM",C2023)),"Rum",
 ISNUMBER(SEARCH("BRAND",C2023)),"Brandy",
 ISNUMBER(SEARCH("COGNAC",C2023)),"Brandy",
 ISNUMBER(SEARCH("LIQUEUR",C2023)),"Liqueurs",
 ISNUMBER(SEARCH("CORDIAL",C2023)),"Liqueurs",
 ISNUMBER(SEARCH("SCHNAPP",C2023)),"Liqueurs",
 ISNUMBER(SEARCH("GIN",C2023)),"Gin",
 TRUE,"Other")</f>
        <v>Brandy</v>
      </c>
      <c r="E2023" s="5">
        <v>67871</v>
      </c>
      <c r="F2023" s="5">
        <v>467311.86000000336</v>
      </c>
      <c r="G2023" s="5"/>
      <c r="H2023" s="5">
        <v>5840</v>
      </c>
    </row>
    <row r="2024" spans="1:8">
      <c r="A2024" s="5">
        <v>2023</v>
      </c>
      <c r="B2024" s="6">
        <v>45261</v>
      </c>
      <c r="C2024" s="5" t="s">
        <v>10</v>
      </c>
      <c r="D2024" s="3" t="str" cm="1">
        <f t="array" ref="D2024">_xlfn.IFS(
 ISNUMBER(SEARCH("WHISK",C2024)),"Whiskey",
 ISNUMBER(SEARCH("BOURBON",C2024)),"Whiskey",
 ISNUMBER(SEARCH("SCOTCH",C2024)),"Whiskey",
 ISNUMBER(SEARCH("RYE",C2024)),"Whiskey",
 ISNUMBER(SEARCH("VODKA",C2024)),"Vodka",
 ISNUMBER(SEARCH("TEQUILA",C2024)),"Tequila/Mezcal",
 ISNUMBER(SEARCH("MEZCAL",C2024)),"Tequila/Mezcal",
 ISNUMBER(SEARCH("RUM",C2024)),"Rum",
 ISNUMBER(SEARCH("BRAND",C2024)),"Brandy",
 ISNUMBER(SEARCH("COGNAC",C2024)),"Brandy",
 ISNUMBER(SEARCH("LIQUEUR",C2024)),"Liqueurs",
 ISNUMBER(SEARCH("CORDIAL",C2024)),"Liqueurs",
 ISNUMBER(SEARCH("SCHNAPP",C2024)),"Liqueurs",
 ISNUMBER(SEARCH("GIN",C2024)),"Gin",
 TRUE,"Other")</f>
        <v>Other</v>
      </c>
      <c r="E2024" s="5">
        <v>9101</v>
      </c>
      <c r="F2024" s="5">
        <v>194715.38000000085</v>
      </c>
      <c r="G2024" s="5"/>
      <c r="H2024" s="5">
        <v>1060</v>
      </c>
    </row>
    <row r="2025" spans="1:8">
      <c r="A2025" s="5">
        <v>2023</v>
      </c>
      <c r="B2025" s="6">
        <v>45261</v>
      </c>
      <c r="C2025" s="5" t="s">
        <v>17</v>
      </c>
      <c r="D2025" s="3" t="str" cm="1">
        <f t="array" ref="D2025">_xlfn.IFS(
 ISNUMBER(SEARCH("WHISK",C2025)),"Whiskey",
 ISNUMBER(SEARCH("BOURBON",C2025)),"Whiskey",
 ISNUMBER(SEARCH("SCOTCH",C2025)),"Whiskey",
 ISNUMBER(SEARCH("RYE",C2025)),"Whiskey",
 ISNUMBER(SEARCH("VODKA",C2025)),"Vodka",
 ISNUMBER(SEARCH("TEQUILA",C2025)),"Tequila/Mezcal",
 ISNUMBER(SEARCH("MEZCAL",C2025)),"Tequila/Mezcal",
 ISNUMBER(SEARCH("RUM",C2025)),"Rum",
 ISNUMBER(SEARCH("BRAND",C2025)),"Brandy",
 ISNUMBER(SEARCH("COGNAC",C2025)),"Brandy",
 ISNUMBER(SEARCH("LIQUEUR",C2025)),"Liqueurs",
 ISNUMBER(SEARCH("CORDIAL",C2025)),"Liqueurs",
 ISNUMBER(SEARCH("SCHNAPP",C2025)),"Liqueurs",
 ISNUMBER(SEARCH("GIN",C2025)),"Gin",
 TRUE,"Other")</f>
        <v>Whiskey</v>
      </c>
      <c r="E2025" s="5">
        <v>3632</v>
      </c>
      <c r="F2025" s="5">
        <v>109807.21000000008</v>
      </c>
      <c r="G2025" s="5"/>
      <c r="H2025" s="5">
        <v>723</v>
      </c>
    </row>
    <row r="2026" spans="1:8">
      <c r="A2026" s="5">
        <v>2023</v>
      </c>
      <c r="B2026" s="6">
        <v>45261</v>
      </c>
      <c r="C2026" s="5" t="s">
        <v>32</v>
      </c>
      <c r="D2026" s="3" t="str" cm="1">
        <f t="array" ref="D2026">_xlfn.IFS(
 ISNUMBER(SEARCH("WHISK",C2026)),"Whiskey",
 ISNUMBER(SEARCH("BOURBON",C2026)),"Whiskey",
 ISNUMBER(SEARCH("SCOTCH",C2026)),"Whiskey",
 ISNUMBER(SEARCH("RYE",C2026)),"Whiskey",
 ISNUMBER(SEARCH("VODKA",C2026)),"Vodka",
 ISNUMBER(SEARCH("TEQUILA",C2026)),"Tequila/Mezcal",
 ISNUMBER(SEARCH("MEZCAL",C2026)),"Tequila/Mezcal",
 ISNUMBER(SEARCH("RUM",C2026)),"Rum",
 ISNUMBER(SEARCH("BRAND",C2026)),"Brandy",
 ISNUMBER(SEARCH("COGNAC",C2026)),"Brandy",
 ISNUMBER(SEARCH("LIQUEUR",C2026)),"Liqueurs",
 ISNUMBER(SEARCH("CORDIAL",C2026)),"Liqueurs",
 ISNUMBER(SEARCH("SCHNAPP",C2026)),"Liqueurs",
 ISNUMBER(SEARCH("GIN",C2026)),"Gin",
 TRUE,"Other")</f>
        <v>Vodka</v>
      </c>
      <c r="E2026" s="5">
        <v>57844</v>
      </c>
      <c r="F2026" s="5">
        <v>1039770.3699999851</v>
      </c>
      <c r="G2026" s="5"/>
      <c r="H2026" s="5">
        <v>5238</v>
      </c>
    </row>
    <row r="2027" spans="1:8">
      <c r="A2027" s="5">
        <v>2023</v>
      </c>
      <c r="B2027" s="6">
        <v>45261</v>
      </c>
      <c r="C2027" s="5" t="s">
        <v>33</v>
      </c>
      <c r="D2027" s="3" t="str" cm="1">
        <f t="array" ref="D2027">_xlfn.IFS(
 ISNUMBER(SEARCH("WHISK",C2027)),"Whiskey",
 ISNUMBER(SEARCH("BOURBON",C2027)),"Whiskey",
 ISNUMBER(SEARCH("SCOTCH",C2027)),"Whiskey",
 ISNUMBER(SEARCH("RYE",C2027)),"Whiskey",
 ISNUMBER(SEARCH("VODKA",C2027)),"Vodka",
 ISNUMBER(SEARCH("TEQUILA",C2027)),"Tequila/Mezcal",
 ISNUMBER(SEARCH("MEZCAL",C2027)),"Tequila/Mezcal",
 ISNUMBER(SEARCH("RUM",C2027)),"Rum",
 ISNUMBER(SEARCH("BRAND",C2027)),"Brandy",
 ISNUMBER(SEARCH("COGNAC",C2027)),"Brandy",
 ISNUMBER(SEARCH("LIQUEUR",C2027)),"Liqueurs",
 ISNUMBER(SEARCH("CORDIAL",C2027)),"Liqueurs",
 ISNUMBER(SEARCH("SCHNAPP",C2027)),"Liqueurs",
 ISNUMBER(SEARCH("GIN",C2027)),"Gin",
 TRUE,"Other")</f>
        <v>Whiskey</v>
      </c>
      <c r="E2027" s="5">
        <v>31264</v>
      </c>
      <c r="F2027" s="5">
        <v>879605.09999997914</v>
      </c>
      <c r="G2027" s="5"/>
      <c r="H2027" s="5">
        <v>3244</v>
      </c>
    </row>
    <row r="2028" spans="1:8">
      <c r="A2028" s="5">
        <v>2023</v>
      </c>
      <c r="B2028" s="6">
        <v>45261</v>
      </c>
      <c r="C2028" s="5" t="s">
        <v>35</v>
      </c>
      <c r="D2028" s="3" t="str" cm="1">
        <f t="array" ref="D2028">_xlfn.IFS(
 ISNUMBER(SEARCH("WHISK",C2028)),"Whiskey",
 ISNUMBER(SEARCH("BOURBON",C2028)),"Whiskey",
 ISNUMBER(SEARCH("SCOTCH",C2028)),"Whiskey",
 ISNUMBER(SEARCH("RYE",C2028)),"Whiskey",
 ISNUMBER(SEARCH("VODKA",C2028)),"Vodka",
 ISNUMBER(SEARCH("TEQUILA",C2028)),"Tequila/Mezcal",
 ISNUMBER(SEARCH("MEZCAL",C2028)),"Tequila/Mezcal",
 ISNUMBER(SEARCH("RUM",C2028)),"Rum",
 ISNUMBER(SEARCH("BRAND",C2028)),"Brandy",
 ISNUMBER(SEARCH("COGNAC",C2028)),"Brandy",
 ISNUMBER(SEARCH("LIQUEUR",C2028)),"Liqueurs",
 ISNUMBER(SEARCH("CORDIAL",C2028)),"Liqueurs",
 ISNUMBER(SEARCH("SCHNAPP",C2028)),"Liqueurs",
 ISNUMBER(SEARCH("GIN",C2028)),"Gin",
 TRUE,"Other")</f>
        <v>Tequila/Mezcal</v>
      </c>
      <c r="E2028" s="5">
        <v>67399</v>
      </c>
      <c r="F2028" s="5">
        <v>979618.84999999264</v>
      </c>
      <c r="G2028" s="5"/>
      <c r="H2028" s="5">
        <v>4599</v>
      </c>
    </row>
    <row r="2029" spans="1:8">
      <c r="A2029" s="5">
        <v>2023</v>
      </c>
      <c r="B2029" s="6">
        <v>45261</v>
      </c>
      <c r="C2029" s="5" t="s">
        <v>37</v>
      </c>
      <c r="D2029" s="3" t="str" cm="1">
        <f t="array" ref="D2029">_xlfn.IFS(
 ISNUMBER(SEARCH("WHISK",C2029)),"Whiskey",
 ISNUMBER(SEARCH("BOURBON",C2029)),"Whiskey",
 ISNUMBER(SEARCH("SCOTCH",C2029)),"Whiskey",
 ISNUMBER(SEARCH("RYE",C2029)),"Whiskey",
 ISNUMBER(SEARCH("VODKA",C2029)),"Vodka",
 ISNUMBER(SEARCH("TEQUILA",C2029)),"Tequila/Mezcal",
 ISNUMBER(SEARCH("MEZCAL",C2029)),"Tequila/Mezcal",
 ISNUMBER(SEARCH("RUM",C2029)),"Rum",
 ISNUMBER(SEARCH("BRAND",C2029)),"Brandy",
 ISNUMBER(SEARCH("COGNAC",C2029)),"Brandy",
 ISNUMBER(SEARCH("LIQUEUR",C2029)),"Liqueurs",
 ISNUMBER(SEARCH("CORDIAL",C2029)),"Liqueurs",
 ISNUMBER(SEARCH("SCHNAPP",C2029)),"Liqueurs",
 ISNUMBER(SEARCH("GIN",C2029)),"Gin",
 TRUE,"Other")</f>
        <v>Other</v>
      </c>
      <c r="E2029" s="5">
        <v>20729</v>
      </c>
      <c r="F2029" s="5">
        <v>344961.78000000177</v>
      </c>
      <c r="G2029" s="5"/>
      <c r="H2029" s="5">
        <v>3994</v>
      </c>
    </row>
    <row r="2030" spans="1:8">
      <c r="A2030" s="5">
        <v>2023</v>
      </c>
      <c r="B2030" s="6">
        <v>45261</v>
      </c>
      <c r="C2030" s="5" t="s">
        <v>46</v>
      </c>
      <c r="D2030" s="3" t="str" cm="1">
        <f t="array" ref="D2030">_xlfn.IFS(
 ISNUMBER(SEARCH("WHISK",C2030)),"Whiskey",
 ISNUMBER(SEARCH("BOURBON",C2030)),"Whiskey",
 ISNUMBER(SEARCH("SCOTCH",C2030)),"Whiskey",
 ISNUMBER(SEARCH("RYE",C2030)),"Whiskey",
 ISNUMBER(SEARCH("VODKA",C2030)),"Vodka",
 ISNUMBER(SEARCH("TEQUILA",C2030)),"Tequila/Mezcal",
 ISNUMBER(SEARCH("MEZCAL",C2030)),"Tequila/Mezcal",
 ISNUMBER(SEARCH("RUM",C2030)),"Rum",
 ISNUMBER(SEARCH("BRAND",C2030)),"Brandy",
 ISNUMBER(SEARCH("COGNAC",C2030)),"Brandy",
 ISNUMBER(SEARCH("LIQUEUR",C2030)),"Liqueurs",
 ISNUMBER(SEARCH("CORDIAL",C2030)),"Liqueurs",
 ISNUMBER(SEARCH("SCHNAPP",C2030)),"Liqueurs",
 ISNUMBER(SEARCH("GIN",C2030)),"Gin",
 TRUE,"Other")</f>
        <v>Whiskey</v>
      </c>
      <c r="E2030" s="5">
        <v>69779</v>
      </c>
      <c r="F2030" s="5">
        <v>1660275.4599999939</v>
      </c>
      <c r="G2030" s="5"/>
      <c r="H2030" s="5">
        <v>7369</v>
      </c>
    </row>
    <row r="2031" spans="1:8">
      <c r="A2031" s="5">
        <v>2023</v>
      </c>
      <c r="B2031" s="6">
        <v>45261</v>
      </c>
      <c r="C2031" s="5" t="s">
        <v>49</v>
      </c>
      <c r="D2031" s="3" t="str" cm="1">
        <f t="array" ref="D2031">_xlfn.IFS(
 ISNUMBER(SEARCH("WHISK",C2031)),"Whiskey",
 ISNUMBER(SEARCH("BOURBON",C2031)),"Whiskey",
 ISNUMBER(SEARCH("SCOTCH",C2031)),"Whiskey",
 ISNUMBER(SEARCH("RYE",C2031)),"Whiskey",
 ISNUMBER(SEARCH("VODKA",C2031)),"Vodka",
 ISNUMBER(SEARCH("TEQUILA",C2031)),"Tequila/Mezcal",
 ISNUMBER(SEARCH("MEZCAL",C2031)),"Tequila/Mezcal",
 ISNUMBER(SEARCH("RUM",C2031)),"Rum",
 ISNUMBER(SEARCH("BRAND",C2031)),"Brandy",
 ISNUMBER(SEARCH("COGNAC",C2031)),"Brandy",
 ISNUMBER(SEARCH("LIQUEUR",C2031)),"Liqueurs",
 ISNUMBER(SEARCH("CORDIAL",C2031)),"Liqueurs",
 ISNUMBER(SEARCH("SCHNAPP",C2031)),"Liqueurs",
 ISNUMBER(SEARCH("GIN",C2031)),"Gin",
 TRUE,"Other")</f>
        <v>Rum</v>
      </c>
      <c r="E2031" s="5">
        <v>38552</v>
      </c>
      <c r="F2031" s="5">
        <v>480182.07999999577</v>
      </c>
      <c r="G2031" s="5"/>
      <c r="H2031" s="5">
        <v>3841</v>
      </c>
    </row>
    <row r="2032" spans="1:8">
      <c r="A2032" s="5">
        <v>2023</v>
      </c>
      <c r="B2032" s="6">
        <v>45261</v>
      </c>
      <c r="C2032" s="5" t="s">
        <v>11</v>
      </c>
      <c r="D2032" s="3" t="str" cm="1">
        <f t="array" ref="D2032">_xlfn.IFS(
 ISNUMBER(SEARCH("WHISK",C2032)),"Whiskey",
 ISNUMBER(SEARCH("BOURBON",C2032)),"Whiskey",
 ISNUMBER(SEARCH("SCOTCH",C2032)),"Whiskey",
 ISNUMBER(SEARCH("RYE",C2032)),"Whiskey",
 ISNUMBER(SEARCH("VODKA",C2032)),"Vodka",
 ISNUMBER(SEARCH("TEQUILA",C2032)),"Tequila/Mezcal",
 ISNUMBER(SEARCH("MEZCAL",C2032)),"Tequila/Mezcal",
 ISNUMBER(SEARCH("RUM",C2032)),"Rum",
 ISNUMBER(SEARCH("BRAND",C2032)),"Brandy",
 ISNUMBER(SEARCH("COGNAC",C2032)),"Brandy",
 ISNUMBER(SEARCH("LIQUEUR",C2032)),"Liqueurs",
 ISNUMBER(SEARCH("CORDIAL",C2032)),"Liqueurs",
 ISNUMBER(SEARCH("SCHNAPP",C2032)),"Liqueurs",
 ISNUMBER(SEARCH("GIN",C2032)),"Gin",
 TRUE,"Other")</f>
        <v>Gin</v>
      </c>
      <c r="E2032" s="5">
        <v>28234</v>
      </c>
      <c r="F2032" s="5">
        <v>267338.94000000111</v>
      </c>
      <c r="G2032" s="5"/>
      <c r="H2032" s="5">
        <v>2747</v>
      </c>
    </row>
    <row r="2033" spans="1:8">
      <c r="A2033" s="5">
        <v>2023</v>
      </c>
      <c r="B2033" s="6">
        <v>45261</v>
      </c>
      <c r="C2033" s="5" t="s">
        <v>16</v>
      </c>
      <c r="D2033" s="3" t="str" cm="1">
        <f t="array" ref="D2033">_xlfn.IFS(
 ISNUMBER(SEARCH("WHISK",C2033)),"Whiskey",
 ISNUMBER(SEARCH("BOURBON",C2033)),"Whiskey",
 ISNUMBER(SEARCH("SCOTCH",C2033)),"Whiskey",
 ISNUMBER(SEARCH("RYE",C2033)),"Whiskey",
 ISNUMBER(SEARCH("VODKA",C2033)),"Vodka",
 ISNUMBER(SEARCH("TEQUILA",C2033)),"Tequila/Mezcal",
 ISNUMBER(SEARCH("MEZCAL",C2033)),"Tequila/Mezcal",
 ISNUMBER(SEARCH("RUM",C2033)),"Rum",
 ISNUMBER(SEARCH("BRAND",C2033)),"Brandy",
 ISNUMBER(SEARCH("COGNAC",C2033)),"Brandy",
 ISNUMBER(SEARCH("LIQUEUR",C2033)),"Liqueurs",
 ISNUMBER(SEARCH("CORDIAL",C2033)),"Liqueurs",
 ISNUMBER(SEARCH("SCHNAPP",C2033)),"Liqueurs",
 ISNUMBER(SEARCH("GIN",C2033)),"Gin",
 TRUE,"Other")</f>
        <v>Whiskey</v>
      </c>
      <c r="E2033" s="5">
        <v>75020</v>
      </c>
      <c r="F2033" s="5">
        <v>953049.34999998636</v>
      </c>
      <c r="G2033" s="5"/>
      <c r="H2033" s="5">
        <v>8160</v>
      </c>
    </row>
    <row r="2034" spans="1:8">
      <c r="A2034" s="5">
        <v>2023</v>
      </c>
      <c r="B2034" s="6">
        <v>45261</v>
      </c>
      <c r="C2034" s="5" t="s">
        <v>19</v>
      </c>
      <c r="D2034" s="3" t="str" cm="1">
        <f t="array" ref="D2034">_xlfn.IFS(
 ISNUMBER(SEARCH("WHISK",C2034)),"Whiskey",
 ISNUMBER(SEARCH("BOURBON",C2034)),"Whiskey",
 ISNUMBER(SEARCH("SCOTCH",C2034)),"Whiskey",
 ISNUMBER(SEARCH("RYE",C2034)),"Whiskey",
 ISNUMBER(SEARCH("VODKA",C2034)),"Vodka",
 ISNUMBER(SEARCH("TEQUILA",C2034)),"Tequila/Mezcal",
 ISNUMBER(SEARCH("MEZCAL",C2034)),"Tequila/Mezcal",
 ISNUMBER(SEARCH("RUM",C2034)),"Rum",
 ISNUMBER(SEARCH("BRAND",C2034)),"Brandy",
 ISNUMBER(SEARCH("COGNAC",C2034)),"Brandy",
 ISNUMBER(SEARCH("LIQUEUR",C2034)),"Liqueurs",
 ISNUMBER(SEARCH("CORDIAL",C2034)),"Liqueurs",
 ISNUMBER(SEARCH("SCHNAPP",C2034)),"Liqueurs",
 ISNUMBER(SEARCH("GIN",C2034)),"Gin",
 TRUE,"Other")</f>
        <v>Other</v>
      </c>
      <c r="E2034" s="5">
        <v>47509</v>
      </c>
      <c r="F2034" s="5">
        <v>611999.05999998352</v>
      </c>
      <c r="G2034" s="5"/>
      <c r="H2034" s="5">
        <v>7008</v>
      </c>
    </row>
    <row r="2035" spans="1:8">
      <c r="A2035" s="5">
        <v>2023</v>
      </c>
      <c r="B2035" s="6">
        <v>45261</v>
      </c>
      <c r="C2035" s="5" t="s">
        <v>20</v>
      </c>
      <c r="D2035" s="3" t="str" cm="1">
        <f t="array" ref="D2035">_xlfn.IFS(
 ISNUMBER(SEARCH("WHISK",C2035)),"Whiskey",
 ISNUMBER(SEARCH("BOURBON",C2035)),"Whiskey",
 ISNUMBER(SEARCH("SCOTCH",C2035)),"Whiskey",
 ISNUMBER(SEARCH("RYE",C2035)),"Whiskey",
 ISNUMBER(SEARCH("VODKA",C2035)),"Vodka",
 ISNUMBER(SEARCH("TEQUILA",C2035)),"Tequila/Mezcal",
 ISNUMBER(SEARCH("MEZCAL",C2035)),"Tequila/Mezcal",
 ISNUMBER(SEARCH("RUM",C2035)),"Rum",
 ISNUMBER(SEARCH("BRAND",C2035)),"Brandy",
 ISNUMBER(SEARCH("COGNAC",C2035)),"Brandy",
 ISNUMBER(SEARCH("LIQUEUR",C2035)),"Liqueurs",
 ISNUMBER(SEARCH("CORDIAL",C2035)),"Liqueurs",
 ISNUMBER(SEARCH("SCHNAPP",C2035)),"Liqueurs",
 ISNUMBER(SEARCH("GIN",C2035)),"Gin",
 TRUE,"Other")</f>
        <v>Liqueurs</v>
      </c>
      <c r="E2035" s="5">
        <v>13949</v>
      </c>
      <c r="F2035" s="5">
        <v>303738.70000000135</v>
      </c>
      <c r="G2035" s="5"/>
      <c r="H2035" s="5">
        <v>1574</v>
      </c>
    </row>
    <row r="2036" spans="1:8">
      <c r="A2036" s="5">
        <v>2023</v>
      </c>
      <c r="B2036" s="6">
        <v>45261</v>
      </c>
      <c r="C2036" s="5" t="s">
        <v>22</v>
      </c>
      <c r="D2036" s="3" t="str" cm="1">
        <f t="array" ref="D2036">_xlfn.IFS(
 ISNUMBER(SEARCH("WHISK",C2036)),"Whiskey",
 ISNUMBER(SEARCH("BOURBON",C2036)),"Whiskey",
 ISNUMBER(SEARCH("SCOTCH",C2036)),"Whiskey",
 ISNUMBER(SEARCH("RYE",C2036)),"Whiskey",
 ISNUMBER(SEARCH("VODKA",C2036)),"Vodka",
 ISNUMBER(SEARCH("TEQUILA",C2036)),"Tequila/Mezcal",
 ISNUMBER(SEARCH("MEZCAL",C2036)),"Tequila/Mezcal",
 ISNUMBER(SEARCH("RUM",C2036)),"Rum",
 ISNUMBER(SEARCH("BRAND",C2036)),"Brandy",
 ISNUMBER(SEARCH("COGNAC",C2036)),"Brandy",
 ISNUMBER(SEARCH("LIQUEUR",C2036)),"Liqueurs",
 ISNUMBER(SEARCH("CORDIAL",C2036)),"Liqueurs",
 ISNUMBER(SEARCH("SCHNAPP",C2036)),"Liqueurs",
 ISNUMBER(SEARCH("GIN",C2036)),"Gin",
 TRUE,"Other")</f>
        <v>Liqueurs</v>
      </c>
      <c r="E2036" s="5">
        <v>62894</v>
      </c>
      <c r="F2036" s="5">
        <v>1332456.3799999817</v>
      </c>
      <c r="G2036" s="5"/>
      <c r="H2036" s="5">
        <v>6625</v>
      </c>
    </row>
    <row r="2037" spans="1:8">
      <c r="A2037" s="5">
        <v>2023</v>
      </c>
      <c r="B2037" s="6">
        <v>45261</v>
      </c>
      <c r="C2037" s="5" t="s">
        <v>24</v>
      </c>
      <c r="D2037" s="3" t="str" cm="1">
        <f t="array" ref="D2037">_xlfn.IFS(
 ISNUMBER(SEARCH("WHISK",C2037)),"Whiskey",
 ISNUMBER(SEARCH("BOURBON",C2037)),"Whiskey",
 ISNUMBER(SEARCH("SCOTCH",C2037)),"Whiskey",
 ISNUMBER(SEARCH("RYE",C2037)),"Whiskey",
 ISNUMBER(SEARCH("VODKA",C2037)),"Vodka",
 ISNUMBER(SEARCH("TEQUILA",C2037)),"Tequila/Mezcal",
 ISNUMBER(SEARCH("MEZCAL",C2037)),"Tequila/Mezcal",
 ISNUMBER(SEARCH("RUM",C2037)),"Rum",
 ISNUMBER(SEARCH("BRAND",C2037)),"Brandy",
 ISNUMBER(SEARCH("COGNAC",C2037)),"Brandy",
 ISNUMBER(SEARCH("LIQUEUR",C2037)),"Liqueurs",
 ISNUMBER(SEARCH("CORDIAL",C2037)),"Liqueurs",
 ISNUMBER(SEARCH("SCHNAPP",C2037)),"Liqueurs",
 ISNUMBER(SEARCH("GIN",C2037)),"Gin",
 TRUE,"Other")</f>
        <v>Rum</v>
      </c>
      <c r="E2037" s="5">
        <v>36543</v>
      </c>
      <c r="F2037" s="5">
        <v>577846.53999999969</v>
      </c>
      <c r="G2037" s="5"/>
      <c r="H2037" s="5">
        <v>4031</v>
      </c>
    </row>
    <row r="2038" spans="1:8">
      <c r="A2038" s="5">
        <v>2023</v>
      </c>
      <c r="B2038" s="6">
        <v>45261</v>
      </c>
      <c r="C2038" s="5" t="s">
        <v>25</v>
      </c>
      <c r="D2038" s="3" t="str" cm="1">
        <f t="array" ref="D2038">_xlfn.IFS(
 ISNUMBER(SEARCH("WHISK",C2038)),"Whiskey",
 ISNUMBER(SEARCH("BOURBON",C2038)),"Whiskey",
 ISNUMBER(SEARCH("SCOTCH",C2038)),"Whiskey",
 ISNUMBER(SEARCH("RYE",C2038)),"Whiskey",
 ISNUMBER(SEARCH("VODKA",C2038)),"Vodka",
 ISNUMBER(SEARCH("TEQUILA",C2038)),"Tequila/Mezcal",
 ISNUMBER(SEARCH("MEZCAL",C2038)),"Tequila/Mezcal",
 ISNUMBER(SEARCH("RUM",C2038)),"Rum",
 ISNUMBER(SEARCH("BRAND",C2038)),"Brandy",
 ISNUMBER(SEARCH("COGNAC",C2038)),"Brandy",
 ISNUMBER(SEARCH("LIQUEUR",C2038)),"Liqueurs",
 ISNUMBER(SEARCH("CORDIAL",C2038)),"Liqueurs",
 ISNUMBER(SEARCH("SCHNAPP",C2038)),"Liqueurs",
 ISNUMBER(SEARCH("GIN",C2038)),"Gin",
 TRUE,"Other")</f>
        <v>Rum</v>
      </c>
      <c r="E2038" s="5">
        <v>7383</v>
      </c>
      <c r="F2038" s="5">
        <v>101575.26999999945</v>
      </c>
      <c r="G2038" s="5"/>
      <c r="H2038" s="5">
        <v>1102</v>
      </c>
    </row>
    <row r="2039" spans="1:8">
      <c r="A2039" s="5">
        <v>2023</v>
      </c>
      <c r="B2039" s="6">
        <v>45261</v>
      </c>
      <c r="C2039" s="5" t="s">
        <v>31</v>
      </c>
      <c r="D2039" s="3" t="str" cm="1">
        <f t="array" ref="D2039">_xlfn.IFS(
 ISNUMBER(SEARCH("WHISK",C2039)),"Whiskey",
 ISNUMBER(SEARCH("BOURBON",C2039)),"Whiskey",
 ISNUMBER(SEARCH("SCOTCH",C2039)),"Whiskey",
 ISNUMBER(SEARCH("RYE",C2039)),"Whiskey",
 ISNUMBER(SEARCH("VODKA",C2039)),"Vodka",
 ISNUMBER(SEARCH("TEQUILA",C2039)),"Tequila/Mezcal",
 ISNUMBER(SEARCH("MEZCAL",C2039)),"Tequila/Mezcal",
 ISNUMBER(SEARCH("RUM",C2039)),"Rum",
 ISNUMBER(SEARCH("BRAND",C2039)),"Brandy",
 ISNUMBER(SEARCH("COGNAC",C2039)),"Brandy",
 ISNUMBER(SEARCH("LIQUEUR",C2039)),"Liqueurs",
 ISNUMBER(SEARCH("CORDIAL",C2039)),"Liqueurs",
 ISNUMBER(SEARCH("SCHNAPP",C2039)),"Liqueurs",
 ISNUMBER(SEARCH("GIN",C2039)),"Gin",
 TRUE,"Other")</f>
        <v>Liqueurs</v>
      </c>
      <c r="E2039" s="5">
        <v>30268</v>
      </c>
      <c r="F2039" s="5">
        <v>539125.10999999952</v>
      </c>
      <c r="G2039" s="5"/>
      <c r="H2039" s="5">
        <v>3106</v>
      </c>
    </row>
    <row r="2040" spans="1:8">
      <c r="A2040" s="5">
        <v>2023</v>
      </c>
      <c r="B2040" s="6">
        <v>45261</v>
      </c>
      <c r="C2040" s="5" t="s">
        <v>36</v>
      </c>
      <c r="D2040" s="3" t="str" cm="1">
        <f t="array" ref="D2040">_xlfn.IFS(
 ISNUMBER(SEARCH("WHISK",C2040)),"Whiskey",
 ISNUMBER(SEARCH("BOURBON",C2040)),"Whiskey",
 ISNUMBER(SEARCH("SCOTCH",C2040)),"Whiskey",
 ISNUMBER(SEARCH("RYE",C2040)),"Whiskey",
 ISNUMBER(SEARCH("VODKA",C2040)),"Vodka",
 ISNUMBER(SEARCH("TEQUILA",C2040)),"Tequila/Mezcal",
 ISNUMBER(SEARCH("MEZCAL",C2040)),"Tequila/Mezcal",
 ISNUMBER(SEARCH("RUM",C2040)),"Rum",
 ISNUMBER(SEARCH("BRAND",C2040)),"Brandy",
 ISNUMBER(SEARCH("COGNAC",C2040)),"Brandy",
 ISNUMBER(SEARCH("LIQUEUR",C2040)),"Liqueurs",
 ISNUMBER(SEARCH("CORDIAL",C2040)),"Liqueurs",
 ISNUMBER(SEARCH("SCHNAPP",C2040)),"Liqueurs",
 ISNUMBER(SEARCH("GIN",C2040)),"Gin",
 TRUE,"Other")</f>
        <v>Other</v>
      </c>
      <c r="E2040" s="5">
        <v>4623</v>
      </c>
      <c r="F2040" s="5">
        <v>64710.119999999981</v>
      </c>
      <c r="G2040" s="5"/>
      <c r="H2040" s="5">
        <v>560</v>
      </c>
    </row>
    <row r="2041" spans="1:8">
      <c r="A2041" s="5">
        <v>2023</v>
      </c>
      <c r="B2041" s="6">
        <v>45261</v>
      </c>
      <c r="C2041" s="5" t="s">
        <v>38</v>
      </c>
      <c r="D2041" s="3" t="str" cm="1">
        <f t="array" ref="D2041">_xlfn.IFS(
 ISNUMBER(SEARCH("WHISK",C2041)),"Whiskey",
 ISNUMBER(SEARCH("BOURBON",C2041)),"Whiskey",
 ISNUMBER(SEARCH("SCOTCH",C2041)),"Whiskey",
 ISNUMBER(SEARCH("RYE",C2041)),"Whiskey",
 ISNUMBER(SEARCH("VODKA",C2041)),"Vodka",
 ISNUMBER(SEARCH("TEQUILA",C2041)),"Tequila/Mezcal",
 ISNUMBER(SEARCH("MEZCAL",C2041)),"Tequila/Mezcal",
 ISNUMBER(SEARCH("RUM",C2041)),"Rum",
 ISNUMBER(SEARCH("BRAND",C2041)),"Brandy",
 ISNUMBER(SEARCH("COGNAC",C2041)),"Brandy",
 ISNUMBER(SEARCH("LIQUEUR",C2041)),"Liqueurs",
 ISNUMBER(SEARCH("CORDIAL",C2041)),"Liqueurs",
 ISNUMBER(SEARCH("SCHNAPP",C2041)),"Liqueurs",
 ISNUMBER(SEARCH("GIN",C2041)),"Gin",
 TRUE,"Other")</f>
        <v>Whiskey</v>
      </c>
      <c r="E2041" s="5">
        <v>21502</v>
      </c>
      <c r="F2041" s="5">
        <v>702381.03999999154</v>
      </c>
      <c r="G2041" s="5"/>
      <c r="H2041" s="5">
        <v>3203</v>
      </c>
    </row>
    <row r="2042" spans="1:8">
      <c r="A2042" s="5">
        <v>2023</v>
      </c>
      <c r="B2042" s="6">
        <v>45261</v>
      </c>
      <c r="C2042" s="5" t="s">
        <v>44</v>
      </c>
      <c r="D2042" s="3" t="str" cm="1">
        <f t="array" ref="D2042">_xlfn.IFS(
 ISNUMBER(SEARCH("WHISK",C2042)),"Whiskey",
 ISNUMBER(SEARCH("BOURBON",C2042)),"Whiskey",
 ISNUMBER(SEARCH("SCOTCH",C2042)),"Whiskey",
 ISNUMBER(SEARCH("RYE",C2042)),"Whiskey",
 ISNUMBER(SEARCH("VODKA",C2042)),"Vodka",
 ISNUMBER(SEARCH("TEQUILA",C2042)),"Tequila/Mezcal",
 ISNUMBER(SEARCH("MEZCAL",C2042)),"Tequila/Mezcal",
 ISNUMBER(SEARCH("RUM",C2042)),"Rum",
 ISNUMBER(SEARCH("BRAND",C2042)),"Brandy",
 ISNUMBER(SEARCH("COGNAC",C2042)),"Brandy",
 ISNUMBER(SEARCH("LIQUEUR",C2042)),"Liqueurs",
 ISNUMBER(SEARCH("CORDIAL",C2042)),"Liqueurs",
 ISNUMBER(SEARCH("SCHNAPP",C2042)),"Liqueurs",
 ISNUMBER(SEARCH("GIN",C2042)),"Gin",
 TRUE,"Other")</f>
        <v>Whiskey</v>
      </c>
      <c r="E2042" s="5">
        <v>15380</v>
      </c>
      <c r="F2042" s="5">
        <v>506315.76000000659</v>
      </c>
      <c r="G2042" s="5"/>
      <c r="H2042" s="5">
        <v>2585</v>
      </c>
    </row>
    <row r="2043" spans="1:8">
      <c r="A2043" s="5">
        <v>2023</v>
      </c>
      <c r="B2043" s="6">
        <v>45261</v>
      </c>
      <c r="C2043" s="5" t="s">
        <v>45</v>
      </c>
      <c r="D2043" s="3" t="str" cm="1">
        <f t="array" ref="D2043">_xlfn.IFS(
 ISNUMBER(SEARCH("WHISK",C2043)),"Whiskey",
 ISNUMBER(SEARCH("BOURBON",C2043)),"Whiskey",
 ISNUMBER(SEARCH("SCOTCH",C2043)),"Whiskey",
 ISNUMBER(SEARCH("RYE",C2043)),"Whiskey",
 ISNUMBER(SEARCH("VODKA",C2043)),"Vodka",
 ISNUMBER(SEARCH("TEQUILA",C2043)),"Tequila/Mezcal",
 ISNUMBER(SEARCH("MEZCAL",C2043)),"Tequila/Mezcal",
 ISNUMBER(SEARCH("RUM",C2043)),"Rum",
 ISNUMBER(SEARCH("BRAND",C2043)),"Brandy",
 ISNUMBER(SEARCH("COGNAC",C2043)),"Brandy",
 ISNUMBER(SEARCH("LIQUEUR",C2043)),"Liqueurs",
 ISNUMBER(SEARCH("CORDIAL",C2043)),"Liqueurs",
 ISNUMBER(SEARCH("SCHNAPP",C2043)),"Liqueurs",
 ISNUMBER(SEARCH("GIN",C2043)),"Gin",
 TRUE,"Other")</f>
        <v>Other</v>
      </c>
      <c r="E2043" s="5">
        <v>40274</v>
      </c>
      <c r="F2043" s="5">
        <v>1159252.3999999845</v>
      </c>
      <c r="G2043" s="5"/>
      <c r="H2043" s="5">
        <v>7733</v>
      </c>
    </row>
    <row r="2044" spans="1:8">
      <c r="A2044" s="5">
        <v>2023</v>
      </c>
      <c r="B2044" s="6">
        <v>45261</v>
      </c>
      <c r="C2044" s="5" t="s">
        <v>29</v>
      </c>
      <c r="D2044" s="3" t="str" cm="1">
        <f t="array" ref="D2044">_xlfn.IFS(
 ISNUMBER(SEARCH("WHISK",C2044)),"Whiskey",
 ISNUMBER(SEARCH("BOURBON",C2044)),"Whiskey",
 ISNUMBER(SEARCH("SCOTCH",C2044)),"Whiskey",
 ISNUMBER(SEARCH("RYE",C2044)),"Whiskey",
 ISNUMBER(SEARCH("VODKA",C2044)),"Vodka",
 ISNUMBER(SEARCH("TEQUILA",C2044)),"Tequila/Mezcal",
 ISNUMBER(SEARCH("MEZCAL",C2044)),"Tequila/Mezcal",
 ISNUMBER(SEARCH("RUM",C2044)),"Rum",
 ISNUMBER(SEARCH("BRAND",C2044)),"Brandy",
 ISNUMBER(SEARCH("COGNAC",C2044)),"Brandy",
 ISNUMBER(SEARCH("LIQUEUR",C2044)),"Liqueurs",
 ISNUMBER(SEARCH("CORDIAL",C2044)),"Liqueurs",
 ISNUMBER(SEARCH("SCHNAPP",C2044)),"Liqueurs",
 ISNUMBER(SEARCH("GIN",C2044)),"Gin",
 TRUE,"Other")</f>
        <v>Gin</v>
      </c>
      <c r="E2044" s="5">
        <v>17387</v>
      </c>
      <c r="F2044" s="5">
        <v>449051.50999999943</v>
      </c>
      <c r="G2044" s="5"/>
      <c r="H2044" s="5">
        <v>2095</v>
      </c>
    </row>
    <row r="2045" spans="1:8">
      <c r="A2045" s="5">
        <v>2023</v>
      </c>
      <c r="B2045" s="6">
        <v>45261</v>
      </c>
      <c r="C2045" s="5" t="s">
        <v>30</v>
      </c>
      <c r="D2045" s="3" t="str" cm="1">
        <f t="array" ref="D2045">_xlfn.IFS(
 ISNUMBER(SEARCH("WHISK",C2045)),"Whiskey",
 ISNUMBER(SEARCH("BOURBON",C2045)),"Whiskey",
 ISNUMBER(SEARCH("SCOTCH",C2045)),"Whiskey",
 ISNUMBER(SEARCH("RYE",C2045)),"Whiskey",
 ISNUMBER(SEARCH("VODKA",C2045)),"Vodka",
 ISNUMBER(SEARCH("TEQUILA",C2045)),"Tequila/Mezcal",
 ISNUMBER(SEARCH("MEZCAL",C2045)),"Tequila/Mezcal",
 ISNUMBER(SEARCH("RUM",C2045)),"Rum",
 ISNUMBER(SEARCH("BRAND",C2045)),"Brandy",
 ISNUMBER(SEARCH("COGNAC",C2045)),"Brandy",
 ISNUMBER(SEARCH("LIQUEUR",C2045)),"Liqueurs",
 ISNUMBER(SEARCH("CORDIAL",C2045)),"Liqueurs",
 ISNUMBER(SEARCH("SCHNAPP",C2045)),"Liqueurs",
 ISNUMBER(SEARCH("GIN",C2045)),"Gin",
 TRUE,"Other")</f>
        <v>Vodka</v>
      </c>
      <c r="E2045" s="5">
        <v>20355</v>
      </c>
      <c r="F2045" s="5">
        <v>350982.51000000071</v>
      </c>
      <c r="G2045" s="5"/>
      <c r="H2045" s="5">
        <v>2617</v>
      </c>
    </row>
    <row r="2046" spans="1:8">
      <c r="A2046" s="5">
        <v>2023</v>
      </c>
      <c r="B2046" s="6">
        <v>45261</v>
      </c>
      <c r="C2046" s="5" t="s">
        <v>40</v>
      </c>
      <c r="D2046" s="3" t="str" cm="1">
        <f t="array" ref="D2046">_xlfn.IFS(
 ISNUMBER(SEARCH("WHISK",C2046)),"Whiskey",
 ISNUMBER(SEARCH("BOURBON",C2046)),"Whiskey",
 ISNUMBER(SEARCH("SCOTCH",C2046)),"Whiskey",
 ISNUMBER(SEARCH("RYE",C2046)),"Whiskey",
 ISNUMBER(SEARCH("VODKA",C2046)),"Vodka",
 ISNUMBER(SEARCH("TEQUILA",C2046)),"Tequila/Mezcal",
 ISNUMBER(SEARCH("MEZCAL",C2046)),"Tequila/Mezcal",
 ISNUMBER(SEARCH("RUM",C2046)),"Rum",
 ISNUMBER(SEARCH("BRAND",C2046)),"Brandy",
 ISNUMBER(SEARCH("COGNAC",C2046)),"Brandy",
 ISNUMBER(SEARCH("LIQUEUR",C2046)),"Liqueurs",
 ISNUMBER(SEARCH("CORDIAL",C2046)),"Liqueurs",
 ISNUMBER(SEARCH("SCHNAPP",C2046)),"Liqueurs",
 ISNUMBER(SEARCH("GIN",C2046)),"Gin",
 TRUE,"Other")</f>
        <v>Whiskey</v>
      </c>
      <c r="E2046" s="5">
        <v>8231</v>
      </c>
      <c r="F2046" s="5">
        <v>505918.65999999538</v>
      </c>
      <c r="G2046" s="5"/>
      <c r="H2046" s="5">
        <v>2297</v>
      </c>
    </row>
    <row r="2047" spans="1:8">
      <c r="A2047" s="5">
        <v>2023</v>
      </c>
      <c r="B2047" s="6">
        <v>45261</v>
      </c>
      <c r="C2047" s="5" t="s">
        <v>41</v>
      </c>
      <c r="D2047" s="3" t="str" cm="1">
        <f t="array" ref="D2047">_xlfn.IFS(
 ISNUMBER(SEARCH("WHISK",C2047)),"Whiskey",
 ISNUMBER(SEARCH("BOURBON",C2047)),"Whiskey",
 ISNUMBER(SEARCH("SCOTCH",C2047)),"Whiskey",
 ISNUMBER(SEARCH("RYE",C2047)),"Whiskey",
 ISNUMBER(SEARCH("VODKA",C2047)),"Vodka",
 ISNUMBER(SEARCH("TEQUILA",C2047)),"Tequila/Mezcal",
 ISNUMBER(SEARCH("MEZCAL",C2047)),"Tequila/Mezcal",
 ISNUMBER(SEARCH("RUM",C2047)),"Rum",
 ISNUMBER(SEARCH("BRAND",C2047)),"Brandy",
 ISNUMBER(SEARCH("COGNAC",C2047)),"Brandy",
 ISNUMBER(SEARCH("LIQUEUR",C2047)),"Liqueurs",
 ISNUMBER(SEARCH("CORDIAL",C2047)),"Liqueurs",
 ISNUMBER(SEARCH("SCHNAPP",C2047)),"Liqueurs",
 ISNUMBER(SEARCH("GIN",C2047)),"Gin",
 TRUE,"Other")</f>
        <v>Other</v>
      </c>
      <c r="E2047" s="5">
        <v>3374</v>
      </c>
      <c r="F2047" s="5">
        <v>60183.010000000038</v>
      </c>
      <c r="G2047" s="5"/>
      <c r="H2047" s="5">
        <v>240</v>
      </c>
    </row>
    <row r="2048" spans="1:8">
      <c r="A2048" s="5">
        <v>2023</v>
      </c>
      <c r="B2048" s="6">
        <v>45261</v>
      </c>
      <c r="C2048" s="5" t="s">
        <v>47</v>
      </c>
      <c r="D2048" s="3" t="str" cm="1">
        <f t="array" ref="D2048">_xlfn.IFS(
 ISNUMBER(SEARCH("WHISK",C2048)),"Whiskey",
 ISNUMBER(SEARCH("BOURBON",C2048)),"Whiskey",
 ISNUMBER(SEARCH("SCOTCH",C2048)),"Whiskey",
 ISNUMBER(SEARCH("RYE",C2048)),"Whiskey",
 ISNUMBER(SEARCH("VODKA",C2048)),"Vodka",
 ISNUMBER(SEARCH("TEQUILA",C2048)),"Tequila/Mezcal",
 ISNUMBER(SEARCH("MEZCAL",C2048)),"Tequila/Mezcal",
 ISNUMBER(SEARCH("RUM",C2048)),"Rum",
 ISNUMBER(SEARCH("BRAND",C2048)),"Brandy",
 ISNUMBER(SEARCH("COGNAC",C2048)),"Brandy",
 ISNUMBER(SEARCH("LIQUEUR",C2048)),"Liqueurs",
 ISNUMBER(SEARCH("CORDIAL",C2048)),"Liqueurs",
 ISNUMBER(SEARCH("SCHNAPP",C2048)),"Liqueurs",
 ISNUMBER(SEARCH("GIN",C2048)),"Gin",
 TRUE,"Other")</f>
        <v>Other</v>
      </c>
      <c r="E2048" s="5">
        <v>14953</v>
      </c>
      <c r="F2048" s="5">
        <v>62860.400000000023</v>
      </c>
      <c r="G2048" s="5"/>
      <c r="H2048" s="5">
        <v>747</v>
      </c>
    </row>
    <row r="2049" spans="1:8">
      <c r="A2049" s="5">
        <v>2023</v>
      </c>
      <c r="B2049" s="6">
        <v>45261</v>
      </c>
      <c r="C2049" s="5" t="s">
        <v>28</v>
      </c>
      <c r="D2049" s="3" t="str" cm="1">
        <f t="array" ref="D2049">_xlfn.IFS(
 ISNUMBER(SEARCH("WHISK",C2049)),"Whiskey",
 ISNUMBER(SEARCH("BOURBON",C2049)),"Whiskey",
 ISNUMBER(SEARCH("SCOTCH",C2049)),"Whiskey",
 ISNUMBER(SEARCH("RYE",C2049)),"Whiskey",
 ISNUMBER(SEARCH("VODKA",C2049)),"Vodka",
 ISNUMBER(SEARCH("TEQUILA",C2049)),"Tequila/Mezcal",
 ISNUMBER(SEARCH("MEZCAL",C2049)),"Tequila/Mezcal",
 ISNUMBER(SEARCH("RUM",C2049)),"Rum",
 ISNUMBER(SEARCH("BRAND",C2049)),"Brandy",
 ISNUMBER(SEARCH("COGNAC",C2049)),"Brandy",
 ISNUMBER(SEARCH("LIQUEUR",C2049)),"Liqueurs",
 ISNUMBER(SEARCH("CORDIAL",C2049)),"Liqueurs",
 ISNUMBER(SEARCH("SCHNAPP",C2049)),"Liqueurs",
 ISNUMBER(SEARCH("GIN",C2049)),"Gin",
 TRUE,"Other")</f>
        <v>Other</v>
      </c>
      <c r="E2049" s="5">
        <v>22763</v>
      </c>
      <c r="F2049" s="5">
        <v>179603.82000000021</v>
      </c>
      <c r="G2049" s="5"/>
      <c r="H2049" s="5">
        <v>612</v>
      </c>
    </row>
    <row r="2050" spans="1:8">
      <c r="A2050" s="5">
        <v>2023</v>
      </c>
      <c r="B2050" s="6">
        <v>45261</v>
      </c>
      <c r="C2050" s="5" t="s">
        <v>21</v>
      </c>
      <c r="D2050" s="3" t="str" cm="1">
        <f t="array" ref="D2050">_xlfn.IFS(
 ISNUMBER(SEARCH("WHISK",C2050)),"Whiskey",
 ISNUMBER(SEARCH("BOURBON",C2050)),"Whiskey",
 ISNUMBER(SEARCH("SCOTCH",C2050)),"Whiskey",
 ISNUMBER(SEARCH("RYE",C2050)),"Whiskey",
 ISNUMBER(SEARCH("VODKA",C2050)),"Vodka",
 ISNUMBER(SEARCH("TEQUILA",C2050)),"Tequila/Mezcal",
 ISNUMBER(SEARCH("MEZCAL",C2050)),"Tequila/Mezcal",
 ISNUMBER(SEARCH("RUM",C2050)),"Rum",
 ISNUMBER(SEARCH("BRAND",C2050)),"Brandy",
 ISNUMBER(SEARCH("COGNAC",C2050)),"Brandy",
 ISNUMBER(SEARCH("LIQUEUR",C2050)),"Liqueurs",
 ISNUMBER(SEARCH("CORDIAL",C2050)),"Liqueurs",
 ISNUMBER(SEARCH("SCHNAPP",C2050)),"Liqueurs",
 ISNUMBER(SEARCH("GIN",C2050)),"Gin",
 TRUE,"Other")</f>
        <v>Whiskey</v>
      </c>
      <c r="E2050" s="5">
        <v>615</v>
      </c>
      <c r="F2050" s="5">
        <v>15763.449999999999</v>
      </c>
      <c r="G2050" s="5"/>
      <c r="H2050" s="5">
        <v>93</v>
      </c>
    </row>
    <row r="2051" spans="1:8">
      <c r="A2051" s="5">
        <v>2023</v>
      </c>
      <c r="B2051" s="6">
        <v>45261</v>
      </c>
      <c r="C2051" s="5" t="s">
        <v>23</v>
      </c>
      <c r="D2051" s="3" t="str" cm="1">
        <f t="array" ref="D2051">_xlfn.IFS(
 ISNUMBER(SEARCH("WHISK",C2051)),"Whiskey",
 ISNUMBER(SEARCH("BOURBON",C2051)),"Whiskey",
 ISNUMBER(SEARCH("SCOTCH",C2051)),"Whiskey",
 ISNUMBER(SEARCH("RYE",C2051)),"Whiskey",
 ISNUMBER(SEARCH("VODKA",C2051)),"Vodka",
 ISNUMBER(SEARCH("TEQUILA",C2051)),"Tequila/Mezcal",
 ISNUMBER(SEARCH("MEZCAL",C2051)),"Tequila/Mezcal",
 ISNUMBER(SEARCH("RUM",C2051)),"Rum",
 ISNUMBER(SEARCH("BRAND",C2051)),"Brandy",
 ISNUMBER(SEARCH("COGNAC",C2051)),"Brandy",
 ISNUMBER(SEARCH("LIQUEUR",C2051)),"Liqueurs",
 ISNUMBER(SEARCH("CORDIAL",C2051)),"Liqueurs",
 ISNUMBER(SEARCH("SCHNAPP",C2051)),"Liqueurs",
 ISNUMBER(SEARCH("GIN",C2051)),"Gin",
 TRUE,"Other")</f>
        <v>Gin</v>
      </c>
      <c r="E2051" s="5">
        <v>4198</v>
      </c>
      <c r="F2051" s="5">
        <v>109428.57000000004</v>
      </c>
      <c r="G2051" s="5"/>
      <c r="H2051" s="5">
        <v>417</v>
      </c>
    </row>
    <row r="2052" spans="1:8">
      <c r="A2052" s="5">
        <v>2023</v>
      </c>
      <c r="B2052" s="6">
        <v>45261</v>
      </c>
      <c r="C2052" s="5" t="s">
        <v>39</v>
      </c>
      <c r="D2052" s="3" t="str" cm="1">
        <f t="array" ref="D2052">_xlfn.IFS(
 ISNUMBER(SEARCH("WHISK",C2052)),"Whiskey",
 ISNUMBER(SEARCH("BOURBON",C2052)),"Whiskey",
 ISNUMBER(SEARCH("SCOTCH",C2052)),"Whiskey",
 ISNUMBER(SEARCH("RYE",C2052)),"Whiskey",
 ISNUMBER(SEARCH("VODKA",C2052)),"Vodka",
 ISNUMBER(SEARCH("TEQUILA",C2052)),"Tequila/Mezcal",
 ISNUMBER(SEARCH("MEZCAL",C2052)),"Tequila/Mezcal",
 ISNUMBER(SEARCH("RUM",C2052)),"Rum",
 ISNUMBER(SEARCH("BRAND",C2052)),"Brandy",
 ISNUMBER(SEARCH("COGNAC",C2052)),"Brandy",
 ISNUMBER(SEARCH("LIQUEUR",C2052)),"Liqueurs",
 ISNUMBER(SEARCH("CORDIAL",C2052)),"Liqueurs",
 ISNUMBER(SEARCH("SCHNAPP",C2052)),"Liqueurs",
 ISNUMBER(SEARCH("GIN",C2052)),"Gin",
 TRUE,"Other")</f>
        <v>Whiskey</v>
      </c>
      <c r="E2052" s="5">
        <v>6046</v>
      </c>
      <c r="F2052" s="5">
        <v>243367.82999999996</v>
      </c>
      <c r="G2052" s="5"/>
      <c r="H2052" s="5">
        <v>791</v>
      </c>
    </row>
    <row r="2053" spans="1:8">
      <c r="A2053" s="5">
        <v>2023</v>
      </c>
      <c r="B2053" s="6">
        <v>45261</v>
      </c>
      <c r="C2053" s="5" t="s">
        <v>7</v>
      </c>
      <c r="D2053" s="3" t="str" cm="1">
        <f t="array" ref="D2053">_xlfn.IFS(
 ISNUMBER(SEARCH("WHISK",C2053)),"Whiskey",
 ISNUMBER(SEARCH("BOURBON",C2053)),"Whiskey",
 ISNUMBER(SEARCH("SCOTCH",C2053)),"Whiskey",
 ISNUMBER(SEARCH("RYE",C2053)),"Whiskey",
 ISNUMBER(SEARCH("VODKA",C2053)),"Vodka",
 ISNUMBER(SEARCH("TEQUILA",C2053)),"Tequila/Mezcal",
 ISNUMBER(SEARCH("MEZCAL",C2053)),"Tequila/Mezcal",
 ISNUMBER(SEARCH("RUM",C2053)),"Rum",
 ISNUMBER(SEARCH("BRAND",C2053)),"Brandy",
 ISNUMBER(SEARCH("COGNAC",C2053)),"Brandy",
 ISNUMBER(SEARCH("LIQUEUR",C2053)),"Liqueurs",
 ISNUMBER(SEARCH("CORDIAL",C2053)),"Liqueurs",
 ISNUMBER(SEARCH("SCHNAPP",C2053)),"Liqueurs",
 ISNUMBER(SEARCH("GIN",C2053)),"Gin",
 TRUE,"Other")</f>
        <v>Rum</v>
      </c>
      <c r="E2053" s="5">
        <v>5275</v>
      </c>
      <c r="F2053" s="5">
        <v>119876.29000000026</v>
      </c>
      <c r="G2053" s="5"/>
      <c r="H2053" s="5">
        <v>869</v>
      </c>
    </row>
    <row r="2054" spans="1:8">
      <c r="A2054" s="5">
        <v>2023</v>
      </c>
      <c r="B2054" s="6">
        <v>45261</v>
      </c>
      <c r="C2054" s="5" t="s">
        <v>14</v>
      </c>
      <c r="D2054" s="3" t="str" cm="1">
        <f t="array" ref="D2054">_xlfn.IFS(
 ISNUMBER(SEARCH("WHISK",C2054)),"Whiskey",
 ISNUMBER(SEARCH("BOURBON",C2054)),"Whiskey",
 ISNUMBER(SEARCH("SCOTCH",C2054)),"Whiskey",
 ISNUMBER(SEARCH("RYE",C2054)),"Whiskey",
 ISNUMBER(SEARCH("VODKA",C2054)),"Vodka",
 ISNUMBER(SEARCH("TEQUILA",C2054)),"Tequila/Mezcal",
 ISNUMBER(SEARCH("MEZCAL",C2054)),"Tequila/Mezcal",
 ISNUMBER(SEARCH("RUM",C2054)),"Rum",
 ISNUMBER(SEARCH("BRAND",C2054)),"Brandy",
 ISNUMBER(SEARCH("COGNAC",C2054)),"Brandy",
 ISNUMBER(SEARCH("LIQUEUR",C2054)),"Liqueurs",
 ISNUMBER(SEARCH("CORDIAL",C2054)),"Liqueurs",
 ISNUMBER(SEARCH("SCHNAPP",C2054)),"Liqueurs",
 ISNUMBER(SEARCH("GIN",C2054)),"Gin",
 TRUE,"Other")</f>
        <v>Gin</v>
      </c>
      <c r="E2054" s="5">
        <v>369</v>
      </c>
      <c r="F2054" s="5">
        <v>3079.6599999999985</v>
      </c>
      <c r="G2054" s="5"/>
      <c r="H2054" s="5">
        <v>64</v>
      </c>
    </row>
    <row r="2055" spans="1:8">
      <c r="A2055" s="5">
        <v>2023</v>
      </c>
      <c r="B2055" s="6">
        <v>45261</v>
      </c>
      <c r="C2055" s="5" t="s">
        <v>34</v>
      </c>
      <c r="D2055" s="3" t="str" cm="1">
        <f t="array" ref="D2055">_xlfn.IFS(
 ISNUMBER(SEARCH("WHISK",C2055)),"Whiskey",
 ISNUMBER(SEARCH("BOURBON",C2055)),"Whiskey",
 ISNUMBER(SEARCH("SCOTCH",C2055)),"Whiskey",
 ISNUMBER(SEARCH("RYE",C2055)),"Whiskey",
 ISNUMBER(SEARCH("VODKA",C2055)),"Vodka",
 ISNUMBER(SEARCH("TEQUILA",C2055)),"Tequila/Mezcal",
 ISNUMBER(SEARCH("MEZCAL",C2055)),"Tequila/Mezcal",
 ISNUMBER(SEARCH("RUM",C2055)),"Rum",
 ISNUMBER(SEARCH("BRAND",C2055)),"Brandy",
 ISNUMBER(SEARCH("COGNAC",C2055)),"Brandy",
 ISNUMBER(SEARCH("LIQUEUR",C2055)),"Liqueurs",
 ISNUMBER(SEARCH("CORDIAL",C2055)),"Liqueurs",
 ISNUMBER(SEARCH("SCHNAPP",C2055)),"Liqueurs",
 ISNUMBER(SEARCH("GIN",C2055)),"Gin",
 TRUE,"Other")</f>
        <v>Tequila/Mezcal</v>
      </c>
      <c r="E2055" s="5">
        <v>1328</v>
      </c>
      <c r="F2055" s="5">
        <v>44537.079999999973</v>
      </c>
      <c r="G2055" s="5"/>
      <c r="H2055" s="5">
        <v>256</v>
      </c>
    </row>
    <row r="2056" spans="1:8">
      <c r="A2056" s="5">
        <v>2023</v>
      </c>
      <c r="B2056" s="6">
        <v>45139</v>
      </c>
      <c r="C2056" s="5" t="s">
        <v>13</v>
      </c>
      <c r="D2056" s="3" t="str" cm="1">
        <f t="array" ref="D2056">_xlfn.IFS(
 ISNUMBER(SEARCH("WHISK",C2056)),"Whiskey",
 ISNUMBER(SEARCH("BOURBON",C2056)),"Whiskey",
 ISNUMBER(SEARCH("SCOTCH",C2056)),"Whiskey",
 ISNUMBER(SEARCH("RYE",C2056)),"Whiskey",
 ISNUMBER(SEARCH("VODKA",C2056)),"Vodka",
 ISNUMBER(SEARCH("TEQUILA",C2056)),"Tequila/Mezcal",
 ISNUMBER(SEARCH("MEZCAL",C2056)),"Tequila/Mezcal",
 ISNUMBER(SEARCH("RUM",C2056)),"Rum",
 ISNUMBER(SEARCH("BRAND",C2056)),"Brandy",
 ISNUMBER(SEARCH("COGNAC",C2056)),"Brandy",
 ISNUMBER(SEARCH("LIQUEUR",C2056)),"Liqueurs",
 ISNUMBER(SEARCH("CORDIAL",C2056)),"Liqueurs",
 ISNUMBER(SEARCH("SCHNAPP",C2056)),"Liqueurs",
 ISNUMBER(SEARCH("GIN",C2056)),"Gin",
 TRUE,"Other")</f>
        <v>Liqueurs</v>
      </c>
      <c r="E2056" s="5">
        <v>77212</v>
      </c>
      <c r="F2056" s="5">
        <v>636296.09000002686</v>
      </c>
      <c r="G2056" s="5"/>
      <c r="H2056" s="5">
        <v>7035</v>
      </c>
    </row>
    <row r="2057" spans="1:8">
      <c r="A2057" s="5">
        <v>2023</v>
      </c>
      <c r="B2057" s="6">
        <v>45139</v>
      </c>
      <c r="C2057" s="5" t="s">
        <v>16</v>
      </c>
      <c r="D2057" s="3" t="str" cm="1">
        <f t="array" ref="D2057">_xlfn.IFS(
 ISNUMBER(SEARCH("WHISK",C2057)),"Whiskey",
 ISNUMBER(SEARCH("BOURBON",C2057)),"Whiskey",
 ISNUMBER(SEARCH("SCOTCH",C2057)),"Whiskey",
 ISNUMBER(SEARCH("RYE",C2057)),"Whiskey",
 ISNUMBER(SEARCH("VODKA",C2057)),"Vodka",
 ISNUMBER(SEARCH("TEQUILA",C2057)),"Tequila/Mezcal",
 ISNUMBER(SEARCH("MEZCAL",C2057)),"Tequila/Mezcal",
 ISNUMBER(SEARCH("RUM",C2057)),"Rum",
 ISNUMBER(SEARCH("BRAND",C2057)),"Brandy",
 ISNUMBER(SEARCH("COGNAC",C2057)),"Brandy",
 ISNUMBER(SEARCH("LIQUEUR",C2057)),"Liqueurs",
 ISNUMBER(SEARCH("CORDIAL",C2057)),"Liqueurs",
 ISNUMBER(SEARCH("SCHNAPP",C2057)),"Liqueurs",
 ISNUMBER(SEARCH("GIN",C2057)),"Gin",
 TRUE,"Other")</f>
        <v>Whiskey</v>
      </c>
      <c r="E2057" s="5">
        <v>66948</v>
      </c>
      <c r="F2057" s="5">
        <v>825361.07999999006</v>
      </c>
      <c r="G2057" s="5"/>
      <c r="H2057" s="5">
        <v>7531</v>
      </c>
    </row>
    <row r="2058" spans="1:8">
      <c r="A2058" s="5">
        <v>2023</v>
      </c>
      <c r="B2058" s="6">
        <v>45139</v>
      </c>
      <c r="C2058" s="5" t="s">
        <v>18</v>
      </c>
      <c r="D2058" s="3" t="str" cm="1">
        <f t="array" ref="D2058">_xlfn.IFS(
 ISNUMBER(SEARCH("WHISK",C2058)),"Whiskey",
 ISNUMBER(SEARCH("BOURBON",C2058)),"Whiskey",
 ISNUMBER(SEARCH("SCOTCH",C2058)),"Whiskey",
 ISNUMBER(SEARCH("RYE",C2058)),"Whiskey",
 ISNUMBER(SEARCH("VODKA",C2058)),"Vodka",
 ISNUMBER(SEARCH("TEQUILA",C2058)),"Tequila/Mezcal",
 ISNUMBER(SEARCH("MEZCAL",C2058)),"Tequila/Mezcal",
 ISNUMBER(SEARCH("RUM",C2058)),"Rum",
 ISNUMBER(SEARCH("BRAND",C2058)),"Brandy",
 ISNUMBER(SEARCH("COGNAC",C2058)),"Brandy",
 ISNUMBER(SEARCH("LIQUEUR",C2058)),"Liqueurs",
 ISNUMBER(SEARCH("CORDIAL",C2058)),"Liqueurs",
 ISNUMBER(SEARCH("SCHNAPP",C2058)),"Liqueurs",
 ISNUMBER(SEARCH("GIN",C2058)),"Gin",
 TRUE,"Other")</f>
        <v>Whiskey</v>
      </c>
      <c r="E2058" s="5">
        <v>231577</v>
      </c>
      <c r="F2058" s="5">
        <v>3592864.5799998022</v>
      </c>
      <c r="G2058" s="5"/>
      <c r="H2058" s="5">
        <v>21354</v>
      </c>
    </row>
    <row r="2059" spans="1:8">
      <c r="A2059" s="5">
        <v>2023</v>
      </c>
      <c r="B2059" s="6">
        <v>45139</v>
      </c>
      <c r="C2059" s="5" t="s">
        <v>22</v>
      </c>
      <c r="D2059" s="3" t="str" cm="1">
        <f t="array" ref="D2059">_xlfn.IFS(
 ISNUMBER(SEARCH("WHISK",C2059)),"Whiskey",
 ISNUMBER(SEARCH("BOURBON",C2059)),"Whiskey",
 ISNUMBER(SEARCH("SCOTCH",C2059)),"Whiskey",
 ISNUMBER(SEARCH("RYE",C2059)),"Whiskey",
 ISNUMBER(SEARCH("VODKA",C2059)),"Vodka",
 ISNUMBER(SEARCH("TEQUILA",C2059)),"Tequila/Mezcal",
 ISNUMBER(SEARCH("MEZCAL",C2059)),"Tequila/Mezcal",
 ISNUMBER(SEARCH("RUM",C2059)),"Rum",
 ISNUMBER(SEARCH("BRAND",C2059)),"Brandy",
 ISNUMBER(SEARCH("COGNAC",C2059)),"Brandy",
 ISNUMBER(SEARCH("LIQUEUR",C2059)),"Liqueurs",
 ISNUMBER(SEARCH("CORDIAL",C2059)),"Liqueurs",
 ISNUMBER(SEARCH("SCHNAPP",C2059)),"Liqueurs",
 ISNUMBER(SEARCH("GIN",C2059)),"Gin",
 TRUE,"Other")</f>
        <v>Liqueurs</v>
      </c>
      <c r="E2059" s="5">
        <v>27976</v>
      </c>
      <c r="F2059" s="5">
        <v>573190.84999999136</v>
      </c>
      <c r="G2059" s="5"/>
      <c r="H2059" s="5">
        <v>4112</v>
      </c>
    </row>
    <row r="2060" spans="1:8">
      <c r="A2060" s="5">
        <v>2023</v>
      </c>
      <c r="B2060" s="6">
        <v>45139</v>
      </c>
      <c r="C2060" s="5" t="s">
        <v>24</v>
      </c>
      <c r="D2060" s="3" t="str" cm="1">
        <f t="array" ref="D2060">_xlfn.IFS(
 ISNUMBER(SEARCH("WHISK",C2060)),"Whiskey",
 ISNUMBER(SEARCH("BOURBON",C2060)),"Whiskey",
 ISNUMBER(SEARCH("SCOTCH",C2060)),"Whiskey",
 ISNUMBER(SEARCH("RYE",C2060)),"Whiskey",
 ISNUMBER(SEARCH("VODKA",C2060)),"Vodka",
 ISNUMBER(SEARCH("TEQUILA",C2060)),"Tequila/Mezcal",
 ISNUMBER(SEARCH("MEZCAL",C2060)),"Tequila/Mezcal",
 ISNUMBER(SEARCH("RUM",C2060)),"Rum",
 ISNUMBER(SEARCH("BRAND",C2060)),"Brandy",
 ISNUMBER(SEARCH("COGNAC",C2060)),"Brandy",
 ISNUMBER(SEARCH("LIQUEUR",C2060)),"Liqueurs",
 ISNUMBER(SEARCH("CORDIAL",C2060)),"Liqueurs",
 ISNUMBER(SEARCH("SCHNAPP",C2060)),"Liqueurs",
 ISNUMBER(SEARCH("GIN",C2060)),"Gin",
 TRUE,"Other")</f>
        <v>Rum</v>
      </c>
      <c r="E2060" s="5">
        <v>50735</v>
      </c>
      <c r="F2060" s="5">
        <v>777218.83999999601</v>
      </c>
      <c r="G2060" s="5"/>
      <c r="H2060" s="5">
        <v>5028</v>
      </c>
    </row>
    <row r="2061" spans="1:8">
      <c r="A2061" s="5">
        <v>2023</v>
      </c>
      <c r="B2061" s="6">
        <v>45139</v>
      </c>
      <c r="C2061" s="5" t="s">
        <v>25</v>
      </c>
      <c r="D2061" s="3" t="str" cm="1">
        <f t="array" ref="D2061">_xlfn.IFS(
 ISNUMBER(SEARCH("WHISK",C2061)),"Whiskey",
 ISNUMBER(SEARCH("BOURBON",C2061)),"Whiskey",
 ISNUMBER(SEARCH("SCOTCH",C2061)),"Whiskey",
 ISNUMBER(SEARCH("RYE",C2061)),"Whiskey",
 ISNUMBER(SEARCH("VODKA",C2061)),"Vodka",
 ISNUMBER(SEARCH("TEQUILA",C2061)),"Tequila/Mezcal",
 ISNUMBER(SEARCH("MEZCAL",C2061)),"Tequila/Mezcal",
 ISNUMBER(SEARCH("RUM",C2061)),"Rum",
 ISNUMBER(SEARCH("BRAND",C2061)),"Brandy",
 ISNUMBER(SEARCH("COGNAC",C2061)),"Brandy",
 ISNUMBER(SEARCH("LIQUEUR",C2061)),"Liqueurs",
 ISNUMBER(SEARCH("CORDIAL",C2061)),"Liqueurs",
 ISNUMBER(SEARCH("SCHNAPP",C2061)),"Liqueurs",
 ISNUMBER(SEARCH("GIN",C2061)),"Gin",
 TRUE,"Other")</f>
        <v>Rum</v>
      </c>
      <c r="E2061" s="5">
        <v>6300</v>
      </c>
      <c r="F2061" s="5">
        <v>83461.299999999712</v>
      </c>
      <c r="G2061" s="5"/>
      <c r="H2061" s="5">
        <v>925</v>
      </c>
    </row>
    <row r="2062" spans="1:8">
      <c r="A2062" s="5">
        <v>2023</v>
      </c>
      <c r="B2062" s="6">
        <v>45139</v>
      </c>
      <c r="C2062" s="5" t="s">
        <v>31</v>
      </c>
      <c r="D2062" s="3" t="str" cm="1">
        <f t="array" ref="D2062">_xlfn.IFS(
 ISNUMBER(SEARCH("WHISK",C2062)),"Whiskey",
 ISNUMBER(SEARCH("BOURBON",C2062)),"Whiskey",
 ISNUMBER(SEARCH("SCOTCH",C2062)),"Whiskey",
 ISNUMBER(SEARCH("RYE",C2062)),"Whiskey",
 ISNUMBER(SEARCH("VODKA",C2062)),"Vodka",
 ISNUMBER(SEARCH("TEQUILA",C2062)),"Tequila/Mezcal",
 ISNUMBER(SEARCH("MEZCAL",C2062)),"Tequila/Mezcal",
 ISNUMBER(SEARCH("RUM",C2062)),"Rum",
 ISNUMBER(SEARCH("BRAND",C2062)),"Brandy",
 ISNUMBER(SEARCH("COGNAC",C2062)),"Brandy",
 ISNUMBER(SEARCH("LIQUEUR",C2062)),"Liqueurs",
 ISNUMBER(SEARCH("CORDIAL",C2062)),"Liqueurs",
 ISNUMBER(SEARCH("SCHNAPP",C2062)),"Liqueurs",
 ISNUMBER(SEARCH("GIN",C2062)),"Gin",
 TRUE,"Other")</f>
        <v>Liqueurs</v>
      </c>
      <c r="E2062" s="5">
        <v>32441</v>
      </c>
      <c r="F2062" s="5">
        <v>561100.74999999872</v>
      </c>
      <c r="G2062" s="5"/>
      <c r="H2062" s="5">
        <v>3193</v>
      </c>
    </row>
    <row r="2063" spans="1:8">
      <c r="A2063" s="5">
        <v>2023</v>
      </c>
      <c r="B2063" s="6">
        <v>45139</v>
      </c>
      <c r="C2063" s="5" t="s">
        <v>33</v>
      </c>
      <c r="D2063" s="3" t="str" cm="1">
        <f t="array" ref="D2063">_xlfn.IFS(
 ISNUMBER(SEARCH("WHISK",C2063)),"Whiskey",
 ISNUMBER(SEARCH("BOURBON",C2063)),"Whiskey",
 ISNUMBER(SEARCH("SCOTCH",C2063)),"Whiskey",
 ISNUMBER(SEARCH("RYE",C2063)),"Whiskey",
 ISNUMBER(SEARCH("VODKA",C2063)),"Vodka",
 ISNUMBER(SEARCH("TEQUILA",C2063)),"Tequila/Mezcal",
 ISNUMBER(SEARCH("MEZCAL",C2063)),"Tequila/Mezcal",
 ISNUMBER(SEARCH("RUM",C2063)),"Rum",
 ISNUMBER(SEARCH("BRAND",C2063)),"Brandy",
 ISNUMBER(SEARCH("COGNAC",C2063)),"Brandy",
 ISNUMBER(SEARCH("LIQUEUR",C2063)),"Liqueurs",
 ISNUMBER(SEARCH("CORDIAL",C2063)),"Liqueurs",
 ISNUMBER(SEARCH("SCHNAPP",C2063)),"Liqueurs",
 ISNUMBER(SEARCH("GIN",C2063)),"Gin",
 TRUE,"Other")</f>
        <v>Whiskey</v>
      </c>
      <c r="E2063" s="5">
        <v>28594</v>
      </c>
      <c r="F2063" s="5">
        <v>796712.88999998872</v>
      </c>
      <c r="G2063" s="5"/>
      <c r="H2063" s="5">
        <v>2654</v>
      </c>
    </row>
    <row r="2064" spans="1:8">
      <c r="A2064" s="5">
        <v>2023</v>
      </c>
      <c r="B2064" s="6">
        <v>45139</v>
      </c>
      <c r="C2064" s="5" t="s">
        <v>42</v>
      </c>
      <c r="D2064" s="3" t="str" cm="1">
        <f t="array" ref="D2064">_xlfn.IFS(
 ISNUMBER(SEARCH("WHISK",C2064)),"Whiskey",
 ISNUMBER(SEARCH("BOURBON",C2064)),"Whiskey",
 ISNUMBER(SEARCH("SCOTCH",C2064)),"Whiskey",
 ISNUMBER(SEARCH("RYE",C2064)),"Whiskey",
 ISNUMBER(SEARCH("VODKA",C2064)),"Vodka",
 ISNUMBER(SEARCH("TEQUILA",C2064)),"Tequila/Mezcal",
 ISNUMBER(SEARCH("MEZCAL",C2064)),"Tequila/Mezcal",
 ISNUMBER(SEARCH("RUM",C2064)),"Rum",
 ISNUMBER(SEARCH("BRAND",C2064)),"Brandy",
 ISNUMBER(SEARCH("COGNAC",C2064)),"Brandy",
 ISNUMBER(SEARCH("LIQUEUR",C2064)),"Liqueurs",
 ISNUMBER(SEARCH("CORDIAL",C2064)),"Liqueurs",
 ISNUMBER(SEARCH("SCHNAPP",C2064)),"Liqueurs",
 ISNUMBER(SEARCH("GIN",C2064)),"Gin",
 TRUE,"Other")</f>
        <v>Rum</v>
      </c>
      <c r="E2064" s="5">
        <v>108114</v>
      </c>
      <c r="F2064" s="5">
        <v>1520915.9899999427</v>
      </c>
      <c r="G2064" s="5"/>
      <c r="H2064" s="5">
        <v>8554</v>
      </c>
    </row>
    <row r="2065" spans="1:8">
      <c r="A2065" s="5">
        <v>2023</v>
      </c>
      <c r="B2065" s="6">
        <v>45139</v>
      </c>
      <c r="C2065" s="5" t="s">
        <v>12</v>
      </c>
      <c r="D2065" s="3" t="str" cm="1">
        <f t="array" ref="D2065">_xlfn.IFS(
 ISNUMBER(SEARCH("WHISK",C2065)),"Whiskey",
 ISNUMBER(SEARCH("BOURBON",C2065)),"Whiskey",
 ISNUMBER(SEARCH("SCOTCH",C2065)),"Whiskey",
 ISNUMBER(SEARCH("RYE",C2065)),"Whiskey",
 ISNUMBER(SEARCH("VODKA",C2065)),"Vodka",
 ISNUMBER(SEARCH("TEQUILA",C2065)),"Tequila/Mezcal",
 ISNUMBER(SEARCH("MEZCAL",C2065)),"Tequila/Mezcal",
 ISNUMBER(SEARCH("RUM",C2065)),"Rum",
 ISNUMBER(SEARCH("BRAND",C2065)),"Brandy",
 ISNUMBER(SEARCH("COGNAC",C2065)),"Brandy",
 ISNUMBER(SEARCH("LIQUEUR",C2065)),"Liqueurs",
 ISNUMBER(SEARCH("CORDIAL",C2065)),"Liqueurs",
 ISNUMBER(SEARCH("SCHNAPP",C2065)),"Liqueurs",
 ISNUMBER(SEARCH("GIN",C2065)),"Gin",
 TRUE,"Other")</f>
        <v>Vodka</v>
      </c>
      <c r="E2065" s="5">
        <v>95848</v>
      </c>
      <c r="F2065" s="5">
        <v>1082180.0700000515</v>
      </c>
      <c r="G2065" s="5"/>
      <c r="H2065" s="5">
        <v>11432</v>
      </c>
    </row>
    <row r="2066" spans="1:8">
      <c r="A2066" s="5">
        <v>2023</v>
      </c>
      <c r="B2066" s="6">
        <v>45139</v>
      </c>
      <c r="C2066" s="5" t="s">
        <v>15</v>
      </c>
      <c r="D2066" s="3" t="str" cm="1">
        <f t="array" ref="D2066">_xlfn.IFS(
 ISNUMBER(SEARCH("WHISK",C2066)),"Whiskey",
 ISNUMBER(SEARCH("BOURBON",C2066)),"Whiskey",
 ISNUMBER(SEARCH("SCOTCH",C2066)),"Whiskey",
 ISNUMBER(SEARCH("RYE",C2066)),"Whiskey",
 ISNUMBER(SEARCH("VODKA",C2066)),"Vodka",
 ISNUMBER(SEARCH("TEQUILA",C2066)),"Tequila/Mezcal",
 ISNUMBER(SEARCH("MEZCAL",C2066)),"Tequila/Mezcal",
 ISNUMBER(SEARCH("RUM",C2066)),"Rum",
 ISNUMBER(SEARCH("BRAND",C2066)),"Brandy",
 ISNUMBER(SEARCH("COGNAC",C2066)),"Brandy",
 ISNUMBER(SEARCH("LIQUEUR",C2066)),"Liqueurs",
 ISNUMBER(SEARCH("CORDIAL",C2066)),"Liqueurs",
 ISNUMBER(SEARCH("SCHNAPP",C2066)),"Liqueurs",
 ISNUMBER(SEARCH("GIN",C2066)),"Gin",
 TRUE,"Other")</f>
        <v>Vodka</v>
      </c>
      <c r="E2066" s="5">
        <v>638019</v>
      </c>
      <c r="F2066" s="5">
        <v>7226201.0699996212</v>
      </c>
      <c r="G2066" s="5"/>
      <c r="H2066" s="5">
        <v>38380</v>
      </c>
    </row>
    <row r="2067" spans="1:8">
      <c r="A2067" s="5">
        <v>2023</v>
      </c>
      <c r="B2067" s="6">
        <v>45139</v>
      </c>
      <c r="C2067" s="5" t="s">
        <v>8</v>
      </c>
      <c r="D2067" s="3" t="str" cm="1">
        <f t="array" ref="D2067">_xlfn.IFS(
 ISNUMBER(SEARCH("WHISK",C2067)),"Whiskey",
 ISNUMBER(SEARCH("BOURBON",C2067)),"Whiskey",
 ISNUMBER(SEARCH("SCOTCH",C2067)),"Whiskey",
 ISNUMBER(SEARCH("RYE",C2067)),"Whiskey",
 ISNUMBER(SEARCH("VODKA",C2067)),"Vodka",
 ISNUMBER(SEARCH("TEQUILA",C2067)),"Tequila/Mezcal",
 ISNUMBER(SEARCH("MEZCAL",C2067)),"Tequila/Mezcal",
 ISNUMBER(SEARCH("RUM",C2067)),"Rum",
 ISNUMBER(SEARCH("BRAND",C2067)),"Brandy",
 ISNUMBER(SEARCH("COGNAC",C2067)),"Brandy",
 ISNUMBER(SEARCH("LIQUEUR",C2067)),"Liqueurs",
 ISNUMBER(SEARCH("CORDIAL",C2067)),"Liqueurs",
 ISNUMBER(SEARCH("SCHNAPP",C2067)),"Liqueurs",
 ISNUMBER(SEARCH("GIN",C2067)),"Gin",
 TRUE,"Other")</f>
        <v>Brandy</v>
      </c>
      <c r="E2067" s="5">
        <v>58903</v>
      </c>
      <c r="F2067" s="5">
        <v>374567.88000000187</v>
      </c>
      <c r="G2067" s="5"/>
      <c r="H2067" s="5">
        <v>4670</v>
      </c>
    </row>
    <row r="2068" spans="1:8">
      <c r="A2068" s="5">
        <v>2023</v>
      </c>
      <c r="B2068" s="6">
        <v>45139</v>
      </c>
      <c r="C2068" s="5" t="s">
        <v>10</v>
      </c>
      <c r="D2068" s="3" t="str" cm="1">
        <f t="array" ref="D2068">_xlfn.IFS(
 ISNUMBER(SEARCH("WHISK",C2068)),"Whiskey",
 ISNUMBER(SEARCH("BOURBON",C2068)),"Whiskey",
 ISNUMBER(SEARCH("SCOTCH",C2068)),"Whiskey",
 ISNUMBER(SEARCH("RYE",C2068)),"Whiskey",
 ISNUMBER(SEARCH("VODKA",C2068)),"Vodka",
 ISNUMBER(SEARCH("TEQUILA",C2068)),"Tequila/Mezcal",
 ISNUMBER(SEARCH("MEZCAL",C2068)),"Tequila/Mezcal",
 ISNUMBER(SEARCH("RUM",C2068)),"Rum",
 ISNUMBER(SEARCH("BRAND",C2068)),"Brandy",
 ISNUMBER(SEARCH("COGNAC",C2068)),"Brandy",
 ISNUMBER(SEARCH("LIQUEUR",C2068)),"Liqueurs",
 ISNUMBER(SEARCH("CORDIAL",C2068)),"Liqueurs",
 ISNUMBER(SEARCH("SCHNAPP",C2068)),"Liqueurs",
 ISNUMBER(SEARCH("GIN",C2068)),"Gin",
 TRUE,"Other")</f>
        <v>Other</v>
      </c>
      <c r="E2068" s="5">
        <v>5927</v>
      </c>
      <c r="F2068" s="5">
        <v>130010.41999999974</v>
      </c>
      <c r="G2068" s="5"/>
      <c r="H2068" s="5">
        <v>845</v>
      </c>
    </row>
    <row r="2069" spans="1:8">
      <c r="A2069" s="5">
        <v>2023</v>
      </c>
      <c r="B2069" s="6">
        <v>45139</v>
      </c>
      <c r="C2069" s="5" t="s">
        <v>19</v>
      </c>
      <c r="D2069" s="3" t="str" cm="1">
        <f t="array" ref="D2069">_xlfn.IFS(
 ISNUMBER(SEARCH("WHISK",C2069)),"Whiskey",
 ISNUMBER(SEARCH("BOURBON",C2069)),"Whiskey",
 ISNUMBER(SEARCH("SCOTCH",C2069)),"Whiskey",
 ISNUMBER(SEARCH("RYE",C2069)),"Whiskey",
 ISNUMBER(SEARCH("VODKA",C2069)),"Vodka",
 ISNUMBER(SEARCH("TEQUILA",C2069)),"Tequila/Mezcal",
 ISNUMBER(SEARCH("MEZCAL",C2069)),"Tequila/Mezcal",
 ISNUMBER(SEARCH("RUM",C2069)),"Rum",
 ISNUMBER(SEARCH("BRAND",C2069)),"Brandy",
 ISNUMBER(SEARCH("COGNAC",C2069)),"Brandy",
 ISNUMBER(SEARCH("LIQUEUR",C2069)),"Liqueurs",
 ISNUMBER(SEARCH("CORDIAL",C2069)),"Liqueurs",
 ISNUMBER(SEARCH("SCHNAPP",C2069)),"Liqueurs",
 ISNUMBER(SEARCH("GIN",C2069)),"Gin",
 TRUE,"Other")</f>
        <v>Other</v>
      </c>
      <c r="E2069" s="5">
        <v>59237</v>
      </c>
      <c r="F2069" s="5">
        <v>707905.93999998958</v>
      </c>
      <c r="G2069" s="5"/>
      <c r="H2069" s="5">
        <v>7161</v>
      </c>
    </row>
    <row r="2070" spans="1:8">
      <c r="A2070" s="5">
        <v>2023</v>
      </c>
      <c r="B2070" s="6">
        <v>45139</v>
      </c>
      <c r="C2070" s="5" t="s">
        <v>32</v>
      </c>
      <c r="D2070" s="3" t="str" cm="1">
        <f t="array" ref="D2070">_xlfn.IFS(
 ISNUMBER(SEARCH("WHISK",C2070)),"Whiskey",
 ISNUMBER(SEARCH("BOURBON",C2070)),"Whiskey",
 ISNUMBER(SEARCH("SCOTCH",C2070)),"Whiskey",
 ISNUMBER(SEARCH("RYE",C2070)),"Whiskey",
 ISNUMBER(SEARCH("VODKA",C2070)),"Vodka",
 ISNUMBER(SEARCH("TEQUILA",C2070)),"Tequila/Mezcal",
 ISNUMBER(SEARCH("MEZCAL",C2070)),"Tequila/Mezcal",
 ISNUMBER(SEARCH("RUM",C2070)),"Rum",
 ISNUMBER(SEARCH("BRAND",C2070)),"Brandy",
 ISNUMBER(SEARCH("COGNAC",C2070)),"Brandy",
 ISNUMBER(SEARCH("LIQUEUR",C2070)),"Liqueurs",
 ISNUMBER(SEARCH("CORDIAL",C2070)),"Liqueurs",
 ISNUMBER(SEARCH("SCHNAPP",C2070)),"Liqueurs",
 ISNUMBER(SEARCH("GIN",C2070)),"Gin",
 TRUE,"Other")</f>
        <v>Vodka</v>
      </c>
      <c r="E2070" s="5">
        <v>71064</v>
      </c>
      <c r="F2070" s="5">
        <v>1179855.3999999661</v>
      </c>
      <c r="G2070" s="5"/>
      <c r="H2070" s="5">
        <v>5301</v>
      </c>
    </row>
    <row r="2071" spans="1:8">
      <c r="A2071" s="5">
        <v>2023</v>
      </c>
      <c r="B2071" s="6">
        <v>45139</v>
      </c>
      <c r="C2071" s="5" t="s">
        <v>35</v>
      </c>
      <c r="D2071" s="3" t="str" cm="1">
        <f t="array" ref="D2071">_xlfn.IFS(
 ISNUMBER(SEARCH("WHISK",C2071)),"Whiskey",
 ISNUMBER(SEARCH("BOURBON",C2071)),"Whiskey",
 ISNUMBER(SEARCH("SCOTCH",C2071)),"Whiskey",
 ISNUMBER(SEARCH("RYE",C2071)),"Whiskey",
 ISNUMBER(SEARCH("VODKA",C2071)),"Vodka",
 ISNUMBER(SEARCH("TEQUILA",C2071)),"Tequila/Mezcal",
 ISNUMBER(SEARCH("MEZCAL",C2071)),"Tequila/Mezcal",
 ISNUMBER(SEARCH("RUM",C2071)),"Rum",
 ISNUMBER(SEARCH("BRAND",C2071)),"Brandy",
 ISNUMBER(SEARCH("COGNAC",C2071)),"Brandy",
 ISNUMBER(SEARCH("LIQUEUR",C2071)),"Liqueurs",
 ISNUMBER(SEARCH("CORDIAL",C2071)),"Liqueurs",
 ISNUMBER(SEARCH("SCHNAPP",C2071)),"Liqueurs",
 ISNUMBER(SEARCH("GIN",C2071)),"Gin",
 TRUE,"Other")</f>
        <v>Tequila/Mezcal</v>
      </c>
      <c r="E2071" s="5">
        <v>77589</v>
      </c>
      <c r="F2071" s="5">
        <v>1141825.2699999919</v>
      </c>
      <c r="G2071" s="5"/>
      <c r="H2071" s="5">
        <v>5299</v>
      </c>
    </row>
    <row r="2072" spans="1:8">
      <c r="A2072" s="5">
        <v>2023</v>
      </c>
      <c r="B2072" s="6">
        <v>45139</v>
      </c>
      <c r="C2072" s="5" t="s">
        <v>37</v>
      </c>
      <c r="D2072" s="3" t="str" cm="1">
        <f t="array" ref="D2072">_xlfn.IFS(
 ISNUMBER(SEARCH("WHISK",C2072)),"Whiskey",
 ISNUMBER(SEARCH("BOURBON",C2072)),"Whiskey",
 ISNUMBER(SEARCH("SCOTCH",C2072)),"Whiskey",
 ISNUMBER(SEARCH("RYE",C2072)),"Whiskey",
 ISNUMBER(SEARCH("VODKA",C2072)),"Vodka",
 ISNUMBER(SEARCH("TEQUILA",C2072)),"Tequila/Mezcal",
 ISNUMBER(SEARCH("MEZCAL",C2072)),"Tequila/Mezcal",
 ISNUMBER(SEARCH("RUM",C2072)),"Rum",
 ISNUMBER(SEARCH("BRAND",C2072)),"Brandy",
 ISNUMBER(SEARCH("COGNAC",C2072)),"Brandy",
 ISNUMBER(SEARCH("LIQUEUR",C2072)),"Liqueurs",
 ISNUMBER(SEARCH("CORDIAL",C2072)),"Liqueurs",
 ISNUMBER(SEARCH("SCHNAPP",C2072)),"Liqueurs",
 ISNUMBER(SEARCH("GIN",C2072)),"Gin",
 TRUE,"Other")</f>
        <v>Other</v>
      </c>
      <c r="E2072" s="5">
        <v>19918</v>
      </c>
      <c r="F2072" s="5">
        <v>330223.36000000144</v>
      </c>
      <c r="G2072" s="5"/>
      <c r="H2072" s="5">
        <v>3772</v>
      </c>
    </row>
    <row r="2073" spans="1:8">
      <c r="A2073" s="5">
        <v>2023</v>
      </c>
      <c r="B2073" s="6">
        <v>45139</v>
      </c>
      <c r="C2073" s="5" t="s">
        <v>43</v>
      </c>
      <c r="D2073" s="3" t="str" cm="1">
        <f t="array" ref="D2073">_xlfn.IFS(
 ISNUMBER(SEARCH("WHISK",C2073)),"Whiskey",
 ISNUMBER(SEARCH("BOURBON",C2073)),"Whiskey",
 ISNUMBER(SEARCH("SCOTCH",C2073)),"Whiskey",
 ISNUMBER(SEARCH("RYE",C2073)),"Whiskey",
 ISNUMBER(SEARCH("VODKA",C2073)),"Vodka",
 ISNUMBER(SEARCH("TEQUILA",C2073)),"Tequila/Mezcal",
 ISNUMBER(SEARCH("MEZCAL",C2073)),"Tequila/Mezcal",
 ISNUMBER(SEARCH("RUM",C2073)),"Rum",
 ISNUMBER(SEARCH("BRAND",C2073)),"Brandy",
 ISNUMBER(SEARCH("COGNAC",C2073)),"Brandy",
 ISNUMBER(SEARCH("LIQUEUR",C2073)),"Liqueurs",
 ISNUMBER(SEARCH("CORDIAL",C2073)),"Liqueurs",
 ISNUMBER(SEARCH("SCHNAPP",C2073)),"Liqueurs",
 ISNUMBER(SEARCH("GIN",C2073)),"Gin",
 TRUE,"Other")</f>
        <v>Whiskey</v>
      </c>
      <c r="E2073" s="5">
        <v>156315</v>
      </c>
      <c r="F2073" s="5">
        <v>3543530.4799999958</v>
      </c>
      <c r="G2073" s="5"/>
      <c r="H2073" s="5">
        <v>16744</v>
      </c>
    </row>
    <row r="2074" spans="1:8">
      <c r="A2074" s="5">
        <v>2023</v>
      </c>
      <c r="B2074" s="6">
        <v>45139</v>
      </c>
      <c r="C2074" s="5" t="s">
        <v>44</v>
      </c>
      <c r="D2074" s="3" t="str" cm="1">
        <f t="array" ref="D2074">_xlfn.IFS(
 ISNUMBER(SEARCH("WHISK",C2074)),"Whiskey",
 ISNUMBER(SEARCH("BOURBON",C2074)),"Whiskey",
 ISNUMBER(SEARCH("SCOTCH",C2074)),"Whiskey",
 ISNUMBER(SEARCH("RYE",C2074)),"Whiskey",
 ISNUMBER(SEARCH("VODKA",C2074)),"Vodka",
 ISNUMBER(SEARCH("TEQUILA",C2074)),"Tequila/Mezcal",
 ISNUMBER(SEARCH("MEZCAL",C2074)),"Tequila/Mezcal",
 ISNUMBER(SEARCH("RUM",C2074)),"Rum",
 ISNUMBER(SEARCH("BRAND",C2074)),"Brandy",
 ISNUMBER(SEARCH("COGNAC",C2074)),"Brandy",
 ISNUMBER(SEARCH("LIQUEUR",C2074)),"Liqueurs",
 ISNUMBER(SEARCH("CORDIAL",C2074)),"Liqueurs",
 ISNUMBER(SEARCH("SCHNAPP",C2074)),"Liqueurs",
 ISNUMBER(SEARCH("GIN",C2074)),"Gin",
 TRUE,"Other")</f>
        <v>Whiskey</v>
      </c>
      <c r="E2074" s="5">
        <v>12803</v>
      </c>
      <c r="F2074" s="5">
        <v>418020.50000000244</v>
      </c>
      <c r="G2074" s="5"/>
      <c r="H2074" s="5">
        <v>1822</v>
      </c>
    </row>
    <row r="2075" spans="1:8">
      <c r="A2075" s="5">
        <v>2023</v>
      </c>
      <c r="B2075" s="6">
        <v>45139</v>
      </c>
      <c r="C2075" s="5" t="s">
        <v>46</v>
      </c>
      <c r="D2075" s="3" t="str" cm="1">
        <f t="array" ref="D2075">_xlfn.IFS(
 ISNUMBER(SEARCH("WHISK",C2075)),"Whiskey",
 ISNUMBER(SEARCH("BOURBON",C2075)),"Whiskey",
 ISNUMBER(SEARCH("SCOTCH",C2075)),"Whiskey",
 ISNUMBER(SEARCH("RYE",C2075)),"Whiskey",
 ISNUMBER(SEARCH("VODKA",C2075)),"Vodka",
 ISNUMBER(SEARCH("TEQUILA",C2075)),"Tequila/Mezcal",
 ISNUMBER(SEARCH("MEZCAL",C2075)),"Tequila/Mezcal",
 ISNUMBER(SEARCH("RUM",C2075)),"Rum",
 ISNUMBER(SEARCH("BRAND",C2075)),"Brandy",
 ISNUMBER(SEARCH("COGNAC",C2075)),"Brandy",
 ISNUMBER(SEARCH("LIQUEUR",C2075)),"Liqueurs",
 ISNUMBER(SEARCH("CORDIAL",C2075)),"Liqueurs",
 ISNUMBER(SEARCH("SCHNAPP",C2075)),"Liqueurs",
 ISNUMBER(SEARCH("GIN",C2075)),"Gin",
 TRUE,"Other")</f>
        <v>Whiskey</v>
      </c>
      <c r="E2075" s="5">
        <v>87077</v>
      </c>
      <c r="F2075" s="5">
        <v>2150884.0299999923</v>
      </c>
      <c r="G2075" s="5"/>
      <c r="H2075" s="5">
        <v>6690</v>
      </c>
    </row>
    <row r="2076" spans="1:8">
      <c r="A2076" s="5">
        <v>2023</v>
      </c>
      <c r="B2076" s="6">
        <v>45139</v>
      </c>
      <c r="C2076" s="5" t="s">
        <v>48</v>
      </c>
      <c r="D2076" s="3" t="str" cm="1">
        <f t="array" ref="D2076">_xlfn.IFS(
 ISNUMBER(SEARCH("WHISK",C2076)),"Whiskey",
 ISNUMBER(SEARCH("BOURBON",C2076)),"Whiskey",
 ISNUMBER(SEARCH("SCOTCH",C2076)),"Whiskey",
 ISNUMBER(SEARCH("RYE",C2076)),"Whiskey",
 ISNUMBER(SEARCH("VODKA",C2076)),"Vodka",
 ISNUMBER(SEARCH("TEQUILA",C2076)),"Tequila/Mezcal",
 ISNUMBER(SEARCH("MEZCAL",C2076)),"Tequila/Mezcal",
 ISNUMBER(SEARCH("RUM",C2076)),"Rum",
 ISNUMBER(SEARCH("BRAND",C2076)),"Brandy",
 ISNUMBER(SEARCH("COGNAC",C2076)),"Brandy",
 ISNUMBER(SEARCH("LIQUEUR",C2076)),"Liqueurs",
 ISNUMBER(SEARCH("CORDIAL",C2076)),"Liqueurs",
 ISNUMBER(SEARCH("SCHNAPP",C2076)),"Liqueurs",
 ISNUMBER(SEARCH("GIN",C2076)),"Gin",
 TRUE,"Other")</f>
        <v>Whiskey</v>
      </c>
      <c r="E2076" s="5">
        <v>382095</v>
      </c>
      <c r="F2076" s="5">
        <v>2192979.9799999441</v>
      </c>
      <c r="G2076" s="5"/>
      <c r="H2076" s="5">
        <v>14474</v>
      </c>
    </row>
    <row r="2077" spans="1:8">
      <c r="A2077" s="5">
        <v>2023</v>
      </c>
      <c r="B2077" s="6">
        <v>45139</v>
      </c>
      <c r="C2077" s="5" t="s">
        <v>49</v>
      </c>
      <c r="D2077" s="3" t="str" cm="1">
        <f t="array" ref="D2077">_xlfn.IFS(
 ISNUMBER(SEARCH("WHISK",C2077)),"Whiskey",
 ISNUMBER(SEARCH("BOURBON",C2077)),"Whiskey",
 ISNUMBER(SEARCH("SCOTCH",C2077)),"Whiskey",
 ISNUMBER(SEARCH("RYE",C2077)),"Whiskey",
 ISNUMBER(SEARCH("VODKA",C2077)),"Vodka",
 ISNUMBER(SEARCH("TEQUILA",C2077)),"Tequila/Mezcal",
 ISNUMBER(SEARCH("MEZCAL",C2077)),"Tequila/Mezcal",
 ISNUMBER(SEARCH("RUM",C2077)),"Rum",
 ISNUMBER(SEARCH("BRAND",C2077)),"Brandy",
 ISNUMBER(SEARCH("COGNAC",C2077)),"Brandy",
 ISNUMBER(SEARCH("LIQUEUR",C2077)),"Liqueurs",
 ISNUMBER(SEARCH("CORDIAL",C2077)),"Liqueurs",
 ISNUMBER(SEARCH("SCHNAPP",C2077)),"Liqueurs",
 ISNUMBER(SEARCH("GIN",C2077)),"Gin",
 TRUE,"Other")</f>
        <v>Rum</v>
      </c>
      <c r="E2077" s="5">
        <v>45516</v>
      </c>
      <c r="F2077" s="5">
        <v>550639.89999999863</v>
      </c>
      <c r="G2077" s="5"/>
      <c r="H2077" s="5">
        <v>4097</v>
      </c>
    </row>
    <row r="2078" spans="1:8">
      <c r="A2078" s="5">
        <v>2023</v>
      </c>
      <c r="B2078" s="6">
        <v>45139</v>
      </c>
      <c r="C2078" s="5" t="s">
        <v>50</v>
      </c>
      <c r="D2078" s="3" t="str" cm="1">
        <f t="array" ref="D2078">_xlfn.IFS(
 ISNUMBER(SEARCH("WHISK",C2078)),"Whiskey",
 ISNUMBER(SEARCH("BOURBON",C2078)),"Whiskey",
 ISNUMBER(SEARCH("SCOTCH",C2078)),"Whiskey",
 ISNUMBER(SEARCH("RYE",C2078)),"Whiskey",
 ISNUMBER(SEARCH("VODKA",C2078)),"Vodka",
 ISNUMBER(SEARCH("TEQUILA",C2078)),"Tequila/Mezcal",
 ISNUMBER(SEARCH("MEZCAL",C2078)),"Tequila/Mezcal",
 ISNUMBER(SEARCH("RUM",C2078)),"Rum",
 ISNUMBER(SEARCH("BRAND",C2078)),"Brandy",
 ISNUMBER(SEARCH("COGNAC",C2078)),"Brandy",
 ISNUMBER(SEARCH("LIQUEUR",C2078)),"Liqueurs",
 ISNUMBER(SEARCH("CORDIAL",C2078)),"Liqueurs",
 ISNUMBER(SEARCH("SCHNAPP",C2078)),"Liqueurs",
 ISNUMBER(SEARCH("GIN",C2078)),"Gin",
 TRUE,"Other")</f>
        <v>Tequila/Mezcal</v>
      </c>
      <c r="E2078" s="5">
        <v>105015</v>
      </c>
      <c r="F2078" s="5">
        <v>2993283.6299999817</v>
      </c>
      <c r="G2078" s="5"/>
      <c r="H2078" s="5">
        <v>11711</v>
      </c>
    </row>
    <row r="2079" spans="1:8">
      <c r="A2079" s="5">
        <v>2023</v>
      </c>
      <c r="B2079" s="6">
        <v>45139</v>
      </c>
      <c r="C2079" s="5" t="s">
        <v>59</v>
      </c>
      <c r="D2079" s="3" t="str" cm="1">
        <f t="array" ref="D2079">_xlfn.IFS(
 ISNUMBER(SEARCH("WHISK",C2079)),"Whiskey",
 ISNUMBER(SEARCH("BOURBON",C2079)),"Whiskey",
 ISNUMBER(SEARCH("SCOTCH",C2079)),"Whiskey",
 ISNUMBER(SEARCH("RYE",C2079)),"Whiskey",
 ISNUMBER(SEARCH("VODKA",C2079)),"Vodka",
 ISNUMBER(SEARCH("TEQUILA",C2079)),"Tequila/Mezcal",
 ISNUMBER(SEARCH("MEZCAL",C2079)),"Tequila/Mezcal",
 ISNUMBER(SEARCH("RUM",C2079)),"Rum",
 ISNUMBER(SEARCH("BRAND",C2079)),"Brandy",
 ISNUMBER(SEARCH("COGNAC",C2079)),"Brandy",
 ISNUMBER(SEARCH("LIQUEUR",C2079)),"Liqueurs",
 ISNUMBER(SEARCH("CORDIAL",C2079)),"Liqueurs",
 ISNUMBER(SEARCH("SCHNAPP",C2079)),"Liqueurs",
 ISNUMBER(SEARCH("GIN",C2079)),"Gin",
 TRUE,"Other")</f>
        <v>Liqueurs</v>
      </c>
      <c r="E2079" s="5">
        <v>32824</v>
      </c>
      <c r="F2079" s="5">
        <v>373638.19000000664</v>
      </c>
      <c r="G2079" s="5"/>
      <c r="H2079" s="5">
        <v>5424</v>
      </c>
    </row>
    <row r="2080" spans="1:8">
      <c r="A2080" s="5">
        <v>2023</v>
      </c>
      <c r="B2080" s="6">
        <v>45139</v>
      </c>
      <c r="C2080" s="5" t="s">
        <v>29</v>
      </c>
      <c r="D2080" s="3" t="str" cm="1">
        <f t="array" ref="D2080">_xlfn.IFS(
 ISNUMBER(SEARCH("WHISK",C2080)),"Whiskey",
 ISNUMBER(SEARCH("BOURBON",C2080)),"Whiskey",
 ISNUMBER(SEARCH("SCOTCH",C2080)),"Whiskey",
 ISNUMBER(SEARCH("RYE",C2080)),"Whiskey",
 ISNUMBER(SEARCH("VODKA",C2080)),"Vodka",
 ISNUMBER(SEARCH("TEQUILA",C2080)),"Tequila/Mezcal",
 ISNUMBER(SEARCH("MEZCAL",C2080)),"Tequila/Mezcal",
 ISNUMBER(SEARCH("RUM",C2080)),"Rum",
 ISNUMBER(SEARCH("BRAND",C2080)),"Brandy",
 ISNUMBER(SEARCH("COGNAC",C2080)),"Brandy",
 ISNUMBER(SEARCH("LIQUEUR",C2080)),"Liqueurs",
 ISNUMBER(SEARCH("CORDIAL",C2080)),"Liqueurs",
 ISNUMBER(SEARCH("SCHNAPP",C2080)),"Liqueurs",
 ISNUMBER(SEARCH("GIN",C2080)),"Gin",
 TRUE,"Other")</f>
        <v>Gin</v>
      </c>
      <c r="E2080" s="5">
        <v>21435</v>
      </c>
      <c r="F2080" s="5">
        <v>545636.01999999839</v>
      </c>
      <c r="G2080" s="5"/>
      <c r="H2080" s="5">
        <v>2389</v>
      </c>
    </row>
    <row r="2081" spans="1:8">
      <c r="A2081" s="5">
        <v>2023</v>
      </c>
      <c r="B2081" s="6">
        <v>45139</v>
      </c>
      <c r="C2081" s="5" t="s">
        <v>41</v>
      </c>
      <c r="D2081" s="3" t="str" cm="1">
        <f t="array" ref="D2081">_xlfn.IFS(
 ISNUMBER(SEARCH("WHISK",C2081)),"Whiskey",
 ISNUMBER(SEARCH("BOURBON",C2081)),"Whiskey",
 ISNUMBER(SEARCH("SCOTCH",C2081)),"Whiskey",
 ISNUMBER(SEARCH("RYE",C2081)),"Whiskey",
 ISNUMBER(SEARCH("VODKA",C2081)),"Vodka",
 ISNUMBER(SEARCH("TEQUILA",C2081)),"Tequila/Mezcal",
 ISNUMBER(SEARCH("MEZCAL",C2081)),"Tequila/Mezcal",
 ISNUMBER(SEARCH("RUM",C2081)),"Rum",
 ISNUMBER(SEARCH("BRAND",C2081)),"Brandy",
 ISNUMBER(SEARCH("COGNAC",C2081)),"Brandy",
 ISNUMBER(SEARCH("LIQUEUR",C2081)),"Liqueurs",
 ISNUMBER(SEARCH("CORDIAL",C2081)),"Liqueurs",
 ISNUMBER(SEARCH("SCHNAPP",C2081)),"Liqueurs",
 ISNUMBER(SEARCH("GIN",C2081)),"Gin",
 TRUE,"Other")</f>
        <v>Other</v>
      </c>
      <c r="E2081" s="5">
        <v>9993</v>
      </c>
      <c r="F2081" s="5">
        <v>122813.29000000002</v>
      </c>
      <c r="G2081" s="5"/>
      <c r="H2081" s="5">
        <v>243</v>
      </c>
    </row>
    <row r="2082" spans="1:8">
      <c r="A2082" s="5">
        <v>2023</v>
      </c>
      <c r="B2082" s="6">
        <v>45139</v>
      </c>
      <c r="C2082" s="5" t="s">
        <v>11</v>
      </c>
      <c r="D2082" s="3" t="str" cm="1">
        <f t="array" ref="D2082">_xlfn.IFS(
 ISNUMBER(SEARCH("WHISK",C2082)),"Whiskey",
 ISNUMBER(SEARCH("BOURBON",C2082)),"Whiskey",
 ISNUMBER(SEARCH("SCOTCH",C2082)),"Whiskey",
 ISNUMBER(SEARCH("RYE",C2082)),"Whiskey",
 ISNUMBER(SEARCH("VODKA",C2082)),"Vodka",
 ISNUMBER(SEARCH("TEQUILA",C2082)),"Tequila/Mezcal",
 ISNUMBER(SEARCH("MEZCAL",C2082)),"Tequila/Mezcal",
 ISNUMBER(SEARCH("RUM",C2082)),"Rum",
 ISNUMBER(SEARCH("BRAND",C2082)),"Brandy",
 ISNUMBER(SEARCH("COGNAC",C2082)),"Brandy",
 ISNUMBER(SEARCH("LIQUEUR",C2082)),"Liqueurs",
 ISNUMBER(SEARCH("CORDIAL",C2082)),"Liqueurs",
 ISNUMBER(SEARCH("SCHNAPP",C2082)),"Liqueurs",
 ISNUMBER(SEARCH("GIN",C2082)),"Gin",
 TRUE,"Other")</f>
        <v>Gin</v>
      </c>
      <c r="E2082" s="5">
        <v>30708</v>
      </c>
      <c r="F2082" s="5">
        <v>288325.72000000253</v>
      </c>
      <c r="G2082" s="5"/>
      <c r="H2082" s="5">
        <v>3073</v>
      </c>
    </row>
    <row r="2083" spans="1:8">
      <c r="A2083" s="5">
        <v>2023</v>
      </c>
      <c r="B2083" s="6">
        <v>45139</v>
      </c>
      <c r="C2083" s="5" t="s">
        <v>20</v>
      </c>
      <c r="D2083" s="3" t="str" cm="1">
        <f t="array" ref="D2083">_xlfn.IFS(
 ISNUMBER(SEARCH("WHISK",C2083)),"Whiskey",
 ISNUMBER(SEARCH("BOURBON",C2083)),"Whiskey",
 ISNUMBER(SEARCH("SCOTCH",C2083)),"Whiskey",
 ISNUMBER(SEARCH("RYE",C2083)),"Whiskey",
 ISNUMBER(SEARCH("VODKA",C2083)),"Vodka",
 ISNUMBER(SEARCH("TEQUILA",C2083)),"Tequila/Mezcal",
 ISNUMBER(SEARCH("MEZCAL",C2083)),"Tequila/Mezcal",
 ISNUMBER(SEARCH("RUM",C2083)),"Rum",
 ISNUMBER(SEARCH("BRAND",C2083)),"Brandy",
 ISNUMBER(SEARCH("COGNAC",C2083)),"Brandy",
 ISNUMBER(SEARCH("LIQUEUR",C2083)),"Liqueurs",
 ISNUMBER(SEARCH("CORDIAL",C2083)),"Liqueurs",
 ISNUMBER(SEARCH("SCHNAPP",C2083)),"Liqueurs",
 ISNUMBER(SEARCH("GIN",C2083)),"Gin",
 TRUE,"Other")</f>
        <v>Liqueurs</v>
      </c>
      <c r="E2083" s="5">
        <v>6736</v>
      </c>
      <c r="F2083" s="5">
        <v>140431.27000000069</v>
      </c>
      <c r="G2083" s="5"/>
      <c r="H2083" s="5">
        <v>868</v>
      </c>
    </row>
    <row r="2084" spans="1:8">
      <c r="A2084" s="5">
        <v>2023</v>
      </c>
      <c r="B2084" s="6">
        <v>45139</v>
      </c>
      <c r="C2084" s="5" t="s">
        <v>26</v>
      </c>
      <c r="D2084" s="3" t="str" cm="1">
        <f t="array" ref="D2084">_xlfn.IFS(
 ISNUMBER(SEARCH("WHISK",C2084)),"Whiskey",
 ISNUMBER(SEARCH("BOURBON",C2084)),"Whiskey",
 ISNUMBER(SEARCH("SCOTCH",C2084)),"Whiskey",
 ISNUMBER(SEARCH("RYE",C2084)),"Whiskey",
 ISNUMBER(SEARCH("VODKA",C2084)),"Vodka",
 ISNUMBER(SEARCH("TEQUILA",C2084)),"Tequila/Mezcal",
 ISNUMBER(SEARCH("MEZCAL",C2084)),"Tequila/Mezcal",
 ISNUMBER(SEARCH("RUM",C2084)),"Rum",
 ISNUMBER(SEARCH("BRAND",C2084)),"Brandy",
 ISNUMBER(SEARCH("COGNAC",C2084)),"Brandy",
 ISNUMBER(SEARCH("LIQUEUR",C2084)),"Liqueurs",
 ISNUMBER(SEARCH("CORDIAL",C2084)),"Liqueurs",
 ISNUMBER(SEARCH("SCHNAPP",C2084)),"Liqueurs",
 ISNUMBER(SEARCH("GIN",C2084)),"Gin",
 TRUE,"Other")</f>
        <v>Brandy</v>
      </c>
      <c r="E2084" s="5">
        <v>38172</v>
      </c>
      <c r="F2084" s="5">
        <v>926330.36999998975</v>
      </c>
      <c r="G2084" s="5"/>
      <c r="H2084" s="5">
        <v>3428</v>
      </c>
    </row>
    <row r="2085" spans="1:8">
      <c r="A2085" s="5">
        <v>2023</v>
      </c>
      <c r="B2085" s="6">
        <v>45139</v>
      </c>
      <c r="C2085" s="5" t="s">
        <v>60</v>
      </c>
      <c r="D2085" s="3" t="str" cm="1">
        <f t="array" ref="D2085">_xlfn.IFS(
 ISNUMBER(SEARCH("WHISK",C2085)),"Whiskey",
 ISNUMBER(SEARCH("BOURBON",C2085)),"Whiskey",
 ISNUMBER(SEARCH("SCOTCH",C2085)),"Whiskey",
 ISNUMBER(SEARCH("RYE",C2085)),"Whiskey",
 ISNUMBER(SEARCH("VODKA",C2085)),"Vodka",
 ISNUMBER(SEARCH("TEQUILA",C2085)),"Tequila/Mezcal",
 ISNUMBER(SEARCH("MEZCAL",C2085)),"Tequila/Mezcal",
 ISNUMBER(SEARCH("RUM",C2085)),"Rum",
 ISNUMBER(SEARCH("BRAND",C2085)),"Brandy",
 ISNUMBER(SEARCH("COGNAC",C2085)),"Brandy",
 ISNUMBER(SEARCH("LIQUEUR",C2085)),"Liqueurs",
 ISNUMBER(SEARCH("CORDIAL",C2085)),"Liqueurs",
 ISNUMBER(SEARCH("SCHNAPP",C2085)),"Liqueurs",
 ISNUMBER(SEARCH("GIN",C2085)),"Gin",
 TRUE,"Other")</f>
        <v>Liqueurs</v>
      </c>
      <c r="E2085" s="5">
        <v>42609</v>
      </c>
      <c r="F2085" s="5">
        <v>1004727.220000007</v>
      </c>
      <c r="G2085" s="5"/>
      <c r="H2085" s="5">
        <v>4871</v>
      </c>
    </row>
    <row r="2086" spans="1:8">
      <c r="A2086" s="5">
        <v>2023</v>
      </c>
      <c r="B2086" s="6">
        <v>45139</v>
      </c>
      <c r="C2086" s="5" t="s">
        <v>38</v>
      </c>
      <c r="D2086" s="3" t="str" cm="1">
        <f t="array" ref="D2086">_xlfn.IFS(
 ISNUMBER(SEARCH("WHISK",C2086)),"Whiskey",
 ISNUMBER(SEARCH("BOURBON",C2086)),"Whiskey",
 ISNUMBER(SEARCH("SCOTCH",C2086)),"Whiskey",
 ISNUMBER(SEARCH("RYE",C2086)),"Whiskey",
 ISNUMBER(SEARCH("VODKA",C2086)),"Vodka",
 ISNUMBER(SEARCH("TEQUILA",C2086)),"Tequila/Mezcal",
 ISNUMBER(SEARCH("MEZCAL",C2086)),"Tequila/Mezcal",
 ISNUMBER(SEARCH("RUM",C2086)),"Rum",
 ISNUMBER(SEARCH("BRAND",C2086)),"Brandy",
 ISNUMBER(SEARCH("COGNAC",C2086)),"Brandy",
 ISNUMBER(SEARCH("LIQUEUR",C2086)),"Liqueurs",
 ISNUMBER(SEARCH("CORDIAL",C2086)),"Liqueurs",
 ISNUMBER(SEARCH("SCHNAPP",C2086)),"Liqueurs",
 ISNUMBER(SEARCH("GIN",C2086)),"Gin",
 TRUE,"Other")</f>
        <v>Whiskey</v>
      </c>
      <c r="E2086" s="5">
        <v>15954</v>
      </c>
      <c r="F2086" s="5">
        <v>456536.48999999987</v>
      </c>
      <c r="G2086" s="5"/>
      <c r="H2086" s="5">
        <v>2546</v>
      </c>
    </row>
    <row r="2087" spans="1:8">
      <c r="A2087" s="5">
        <v>2023</v>
      </c>
      <c r="B2087" s="6">
        <v>45139</v>
      </c>
      <c r="C2087" s="5" t="s">
        <v>40</v>
      </c>
      <c r="D2087" s="3" t="str" cm="1">
        <f t="array" ref="D2087">_xlfn.IFS(
 ISNUMBER(SEARCH("WHISK",C2087)),"Whiskey",
 ISNUMBER(SEARCH("BOURBON",C2087)),"Whiskey",
 ISNUMBER(SEARCH("SCOTCH",C2087)),"Whiskey",
 ISNUMBER(SEARCH("RYE",C2087)),"Whiskey",
 ISNUMBER(SEARCH("VODKA",C2087)),"Vodka",
 ISNUMBER(SEARCH("TEQUILA",C2087)),"Tequila/Mezcal",
 ISNUMBER(SEARCH("MEZCAL",C2087)),"Tequila/Mezcal",
 ISNUMBER(SEARCH("RUM",C2087)),"Rum",
 ISNUMBER(SEARCH("BRAND",C2087)),"Brandy",
 ISNUMBER(SEARCH("COGNAC",C2087)),"Brandy",
 ISNUMBER(SEARCH("LIQUEUR",C2087)),"Liqueurs",
 ISNUMBER(SEARCH("CORDIAL",C2087)),"Liqueurs",
 ISNUMBER(SEARCH("SCHNAPP",C2087)),"Liqueurs",
 ISNUMBER(SEARCH("GIN",C2087)),"Gin",
 TRUE,"Other")</f>
        <v>Whiskey</v>
      </c>
      <c r="E2087" s="5">
        <v>6233</v>
      </c>
      <c r="F2087" s="5">
        <v>331485.42999999935</v>
      </c>
      <c r="G2087" s="5"/>
      <c r="H2087" s="5">
        <v>1321</v>
      </c>
    </row>
    <row r="2088" spans="1:8">
      <c r="A2088" s="5">
        <v>2023</v>
      </c>
      <c r="B2088" s="6">
        <v>45139</v>
      </c>
      <c r="C2088" s="5" t="s">
        <v>45</v>
      </c>
      <c r="D2088" s="3" t="str" cm="1">
        <f t="array" ref="D2088">_xlfn.IFS(
 ISNUMBER(SEARCH("WHISK",C2088)),"Whiskey",
 ISNUMBER(SEARCH("BOURBON",C2088)),"Whiskey",
 ISNUMBER(SEARCH("SCOTCH",C2088)),"Whiskey",
 ISNUMBER(SEARCH("RYE",C2088)),"Whiskey",
 ISNUMBER(SEARCH("VODKA",C2088)),"Vodka",
 ISNUMBER(SEARCH("TEQUILA",C2088)),"Tequila/Mezcal",
 ISNUMBER(SEARCH("MEZCAL",C2088)),"Tequila/Mezcal",
 ISNUMBER(SEARCH("RUM",C2088)),"Rum",
 ISNUMBER(SEARCH("BRAND",C2088)),"Brandy",
 ISNUMBER(SEARCH("COGNAC",C2088)),"Brandy",
 ISNUMBER(SEARCH("LIQUEUR",C2088)),"Liqueurs",
 ISNUMBER(SEARCH("CORDIAL",C2088)),"Liqueurs",
 ISNUMBER(SEARCH("SCHNAPP",C2088)),"Liqueurs",
 ISNUMBER(SEARCH("GIN",C2088)),"Gin",
 TRUE,"Other")</f>
        <v>Other</v>
      </c>
      <c r="E2088" s="5">
        <v>32146</v>
      </c>
      <c r="F2088" s="5">
        <v>875027.07999999844</v>
      </c>
      <c r="G2088" s="5"/>
      <c r="H2088" s="5">
        <v>5587</v>
      </c>
    </row>
    <row r="2089" spans="1:8">
      <c r="A2089" s="5">
        <v>2023</v>
      </c>
      <c r="B2089" s="6">
        <v>45139</v>
      </c>
      <c r="C2089" s="5" t="s">
        <v>30</v>
      </c>
      <c r="D2089" s="3" t="str" cm="1">
        <f t="array" ref="D2089">_xlfn.IFS(
 ISNUMBER(SEARCH("WHISK",C2089)),"Whiskey",
 ISNUMBER(SEARCH("BOURBON",C2089)),"Whiskey",
 ISNUMBER(SEARCH("SCOTCH",C2089)),"Whiskey",
 ISNUMBER(SEARCH("RYE",C2089)),"Whiskey",
 ISNUMBER(SEARCH("VODKA",C2089)),"Vodka",
 ISNUMBER(SEARCH("TEQUILA",C2089)),"Tequila/Mezcal",
 ISNUMBER(SEARCH("MEZCAL",C2089)),"Tequila/Mezcal",
 ISNUMBER(SEARCH("RUM",C2089)),"Rum",
 ISNUMBER(SEARCH("BRAND",C2089)),"Brandy",
 ISNUMBER(SEARCH("COGNAC",C2089)),"Brandy",
 ISNUMBER(SEARCH("LIQUEUR",C2089)),"Liqueurs",
 ISNUMBER(SEARCH("CORDIAL",C2089)),"Liqueurs",
 ISNUMBER(SEARCH("SCHNAPP",C2089)),"Liqueurs",
 ISNUMBER(SEARCH("GIN",C2089)),"Gin",
 TRUE,"Other")</f>
        <v>Vodka</v>
      </c>
      <c r="E2089" s="5">
        <v>26643</v>
      </c>
      <c r="F2089" s="5">
        <v>449541.42000000185</v>
      </c>
      <c r="G2089" s="5"/>
      <c r="H2089" s="5">
        <v>3007</v>
      </c>
    </row>
    <row r="2090" spans="1:8">
      <c r="A2090" s="5">
        <v>2023</v>
      </c>
      <c r="B2090" s="6">
        <v>45139</v>
      </c>
      <c r="C2090" s="5" t="s">
        <v>7</v>
      </c>
      <c r="D2090" s="3" t="str" cm="1">
        <f t="array" ref="D2090">_xlfn.IFS(
 ISNUMBER(SEARCH("WHISK",C2090)),"Whiskey",
 ISNUMBER(SEARCH("BOURBON",C2090)),"Whiskey",
 ISNUMBER(SEARCH("SCOTCH",C2090)),"Whiskey",
 ISNUMBER(SEARCH("RYE",C2090)),"Whiskey",
 ISNUMBER(SEARCH("VODKA",C2090)),"Vodka",
 ISNUMBER(SEARCH("TEQUILA",C2090)),"Tequila/Mezcal",
 ISNUMBER(SEARCH("MEZCAL",C2090)),"Tequila/Mezcal",
 ISNUMBER(SEARCH("RUM",C2090)),"Rum",
 ISNUMBER(SEARCH("BRAND",C2090)),"Brandy",
 ISNUMBER(SEARCH("COGNAC",C2090)),"Brandy",
 ISNUMBER(SEARCH("LIQUEUR",C2090)),"Liqueurs",
 ISNUMBER(SEARCH("CORDIAL",C2090)),"Liqueurs",
 ISNUMBER(SEARCH("SCHNAPP",C2090)),"Liqueurs",
 ISNUMBER(SEARCH("GIN",C2090)),"Gin",
 TRUE,"Other")</f>
        <v>Rum</v>
      </c>
      <c r="E2090" s="5">
        <v>3905</v>
      </c>
      <c r="F2090" s="5">
        <v>84393.240000000049</v>
      </c>
      <c r="G2090" s="5"/>
      <c r="H2090" s="5">
        <v>632</v>
      </c>
    </row>
    <row r="2091" spans="1:8">
      <c r="A2091" s="5">
        <v>2023</v>
      </c>
      <c r="B2091" s="6">
        <v>45139</v>
      </c>
      <c r="C2091" s="5" t="s">
        <v>28</v>
      </c>
      <c r="D2091" s="3" t="str" cm="1">
        <f t="array" ref="D2091">_xlfn.IFS(
 ISNUMBER(SEARCH("WHISK",C2091)),"Whiskey",
 ISNUMBER(SEARCH("BOURBON",C2091)),"Whiskey",
 ISNUMBER(SEARCH("SCOTCH",C2091)),"Whiskey",
 ISNUMBER(SEARCH("RYE",C2091)),"Whiskey",
 ISNUMBER(SEARCH("VODKA",C2091)),"Vodka",
 ISNUMBER(SEARCH("TEQUILA",C2091)),"Tequila/Mezcal",
 ISNUMBER(SEARCH("MEZCAL",C2091)),"Tequila/Mezcal",
 ISNUMBER(SEARCH("RUM",C2091)),"Rum",
 ISNUMBER(SEARCH("BRAND",C2091)),"Brandy",
 ISNUMBER(SEARCH("COGNAC",C2091)),"Brandy",
 ISNUMBER(SEARCH("LIQUEUR",C2091)),"Liqueurs",
 ISNUMBER(SEARCH("CORDIAL",C2091)),"Liqueurs",
 ISNUMBER(SEARCH("SCHNAPP",C2091)),"Liqueurs",
 ISNUMBER(SEARCH("GIN",C2091)),"Gin",
 TRUE,"Other")</f>
        <v>Other</v>
      </c>
      <c r="E2091" s="5">
        <v>28160</v>
      </c>
      <c r="F2091" s="5">
        <v>223819.35999999987</v>
      </c>
      <c r="G2091" s="5"/>
      <c r="H2091" s="5">
        <v>587</v>
      </c>
    </row>
    <row r="2092" spans="1:8">
      <c r="A2092" s="5">
        <v>2023</v>
      </c>
      <c r="B2092" s="6">
        <v>45139</v>
      </c>
      <c r="C2092" s="5" t="s">
        <v>36</v>
      </c>
      <c r="D2092" s="3" t="str" cm="1">
        <f t="array" ref="D2092">_xlfn.IFS(
 ISNUMBER(SEARCH("WHISK",C2092)),"Whiskey",
 ISNUMBER(SEARCH("BOURBON",C2092)),"Whiskey",
 ISNUMBER(SEARCH("SCOTCH",C2092)),"Whiskey",
 ISNUMBER(SEARCH("RYE",C2092)),"Whiskey",
 ISNUMBER(SEARCH("VODKA",C2092)),"Vodka",
 ISNUMBER(SEARCH("TEQUILA",C2092)),"Tequila/Mezcal",
 ISNUMBER(SEARCH("MEZCAL",C2092)),"Tequila/Mezcal",
 ISNUMBER(SEARCH("RUM",C2092)),"Rum",
 ISNUMBER(SEARCH("BRAND",C2092)),"Brandy",
 ISNUMBER(SEARCH("COGNAC",C2092)),"Brandy",
 ISNUMBER(SEARCH("LIQUEUR",C2092)),"Liqueurs",
 ISNUMBER(SEARCH("CORDIAL",C2092)),"Liqueurs",
 ISNUMBER(SEARCH("SCHNAPP",C2092)),"Liqueurs",
 ISNUMBER(SEARCH("GIN",C2092)),"Gin",
 TRUE,"Other")</f>
        <v>Other</v>
      </c>
      <c r="E2092" s="5">
        <v>3452</v>
      </c>
      <c r="F2092" s="5">
        <v>48181.950000000004</v>
      </c>
      <c r="G2092" s="5"/>
      <c r="H2092" s="5">
        <v>440</v>
      </c>
    </row>
    <row r="2093" spans="1:8">
      <c r="A2093" s="5">
        <v>2023</v>
      </c>
      <c r="B2093" s="6">
        <v>45139</v>
      </c>
      <c r="C2093" s="5" t="s">
        <v>39</v>
      </c>
      <c r="D2093" s="3" t="str" cm="1">
        <f t="array" ref="D2093">_xlfn.IFS(
 ISNUMBER(SEARCH("WHISK",C2093)),"Whiskey",
 ISNUMBER(SEARCH("BOURBON",C2093)),"Whiskey",
 ISNUMBER(SEARCH("SCOTCH",C2093)),"Whiskey",
 ISNUMBER(SEARCH("RYE",C2093)),"Whiskey",
 ISNUMBER(SEARCH("VODKA",C2093)),"Vodka",
 ISNUMBER(SEARCH("TEQUILA",C2093)),"Tequila/Mezcal",
 ISNUMBER(SEARCH("MEZCAL",C2093)),"Tequila/Mezcal",
 ISNUMBER(SEARCH("RUM",C2093)),"Rum",
 ISNUMBER(SEARCH("BRAND",C2093)),"Brandy",
 ISNUMBER(SEARCH("COGNAC",C2093)),"Brandy",
 ISNUMBER(SEARCH("LIQUEUR",C2093)),"Liqueurs",
 ISNUMBER(SEARCH("CORDIAL",C2093)),"Liqueurs",
 ISNUMBER(SEARCH("SCHNAPP",C2093)),"Liqueurs",
 ISNUMBER(SEARCH("GIN",C2093)),"Gin",
 TRUE,"Other")</f>
        <v>Whiskey</v>
      </c>
      <c r="E2093" s="5">
        <v>4804</v>
      </c>
      <c r="F2093" s="5">
        <v>185221.39</v>
      </c>
      <c r="G2093" s="5"/>
      <c r="H2093" s="5">
        <v>542</v>
      </c>
    </row>
    <row r="2094" spans="1:8">
      <c r="A2094" s="5">
        <v>2023</v>
      </c>
      <c r="B2094" s="6">
        <v>45139</v>
      </c>
      <c r="C2094" s="5" t="s">
        <v>23</v>
      </c>
      <c r="D2094" s="3" t="str" cm="1">
        <f t="array" ref="D2094">_xlfn.IFS(
 ISNUMBER(SEARCH("WHISK",C2094)),"Whiskey",
 ISNUMBER(SEARCH("BOURBON",C2094)),"Whiskey",
 ISNUMBER(SEARCH("SCOTCH",C2094)),"Whiskey",
 ISNUMBER(SEARCH("RYE",C2094)),"Whiskey",
 ISNUMBER(SEARCH("VODKA",C2094)),"Vodka",
 ISNUMBER(SEARCH("TEQUILA",C2094)),"Tequila/Mezcal",
 ISNUMBER(SEARCH("MEZCAL",C2094)),"Tequila/Mezcal",
 ISNUMBER(SEARCH("RUM",C2094)),"Rum",
 ISNUMBER(SEARCH("BRAND",C2094)),"Brandy",
 ISNUMBER(SEARCH("COGNAC",C2094)),"Brandy",
 ISNUMBER(SEARCH("LIQUEUR",C2094)),"Liqueurs",
 ISNUMBER(SEARCH("CORDIAL",C2094)),"Liqueurs",
 ISNUMBER(SEARCH("SCHNAPP",C2094)),"Liqueurs",
 ISNUMBER(SEARCH("GIN",C2094)),"Gin",
 TRUE,"Other")</f>
        <v>Gin</v>
      </c>
      <c r="E2094" s="5">
        <v>3881</v>
      </c>
      <c r="F2094" s="5">
        <v>98640.720000000016</v>
      </c>
      <c r="G2094" s="5"/>
      <c r="H2094" s="5">
        <v>486</v>
      </c>
    </row>
    <row r="2095" spans="1:8">
      <c r="A2095" s="5">
        <v>2023</v>
      </c>
      <c r="B2095" s="6">
        <v>45139</v>
      </c>
      <c r="C2095" s="5" t="s">
        <v>47</v>
      </c>
      <c r="D2095" s="3" t="str" cm="1">
        <f t="array" ref="D2095">_xlfn.IFS(
 ISNUMBER(SEARCH("WHISK",C2095)),"Whiskey",
 ISNUMBER(SEARCH("BOURBON",C2095)),"Whiskey",
 ISNUMBER(SEARCH("SCOTCH",C2095)),"Whiskey",
 ISNUMBER(SEARCH("RYE",C2095)),"Whiskey",
 ISNUMBER(SEARCH("VODKA",C2095)),"Vodka",
 ISNUMBER(SEARCH("TEQUILA",C2095)),"Tequila/Mezcal",
 ISNUMBER(SEARCH("MEZCAL",C2095)),"Tequila/Mezcal",
 ISNUMBER(SEARCH("RUM",C2095)),"Rum",
 ISNUMBER(SEARCH("BRAND",C2095)),"Brandy",
 ISNUMBER(SEARCH("COGNAC",C2095)),"Brandy",
 ISNUMBER(SEARCH("LIQUEUR",C2095)),"Liqueurs",
 ISNUMBER(SEARCH("CORDIAL",C2095)),"Liqueurs",
 ISNUMBER(SEARCH("SCHNAPP",C2095)),"Liqueurs",
 ISNUMBER(SEARCH("GIN",C2095)),"Gin",
 TRUE,"Other")</f>
        <v>Other</v>
      </c>
      <c r="E2095" s="5">
        <v>18820</v>
      </c>
      <c r="F2095" s="5">
        <v>78650.219999999841</v>
      </c>
      <c r="G2095" s="5"/>
      <c r="H2095" s="5">
        <v>778</v>
      </c>
    </row>
    <row r="2096" spans="1:8">
      <c r="A2096" s="5">
        <v>2023</v>
      </c>
      <c r="B2096" s="6">
        <v>45139</v>
      </c>
      <c r="C2096" s="5" t="s">
        <v>17</v>
      </c>
      <c r="D2096" s="3" t="str" cm="1">
        <f t="array" ref="D2096">_xlfn.IFS(
 ISNUMBER(SEARCH("WHISK",C2096)),"Whiskey",
 ISNUMBER(SEARCH("BOURBON",C2096)),"Whiskey",
 ISNUMBER(SEARCH("SCOTCH",C2096)),"Whiskey",
 ISNUMBER(SEARCH("RYE",C2096)),"Whiskey",
 ISNUMBER(SEARCH("VODKA",C2096)),"Vodka",
 ISNUMBER(SEARCH("TEQUILA",C2096)),"Tequila/Mezcal",
 ISNUMBER(SEARCH("MEZCAL",C2096)),"Tequila/Mezcal",
 ISNUMBER(SEARCH("RUM",C2096)),"Rum",
 ISNUMBER(SEARCH("BRAND",C2096)),"Brandy",
 ISNUMBER(SEARCH("COGNAC",C2096)),"Brandy",
 ISNUMBER(SEARCH("LIQUEUR",C2096)),"Liqueurs",
 ISNUMBER(SEARCH("CORDIAL",C2096)),"Liqueurs",
 ISNUMBER(SEARCH("SCHNAPP",C2096)),"Liqueurs",
 ISNUMBER(SEARCH("GIN",C2096)),"Gin",
 TRUE,"Other")</f>
        <v>Whiskey</v>
      </c>
      <c r="E2096" s="5">
        <v>3494</v>
      </c>
      <c r="F2096" s="5">
        <v>109373.27000000005</v>
      </c>
      <c r="G2096" s="5"/>
      <c r="H2096" s="5">
        <v>1001</v>
      </c>
    </row>
    <row r="2097" spans="1:8">
      <c r="A2097" s="5">
        <v>2023</v>
      </c>
      <c r="B2097" s="6">
        <v>45139</v>
      </c>
      <c r="C2097" s="5" t="s">
        <v>34</v>
      </c>
      <c r="D2097" s="3" t="str" cm="1">
        <f t="array" ref="D2097">_xlfn.IFS(
 ISNUMBER(SEARCH("WHISK",C2097)),"Whiskey",
 ISNUMBER(SEARCH("BOURBON",C2097)),"Whiskey",
 ISNUMBER(SEARCH("SCOTCH",C2097)),"Whiskey",
 ISNUMBER(SEARCH("RYE",C2097)),"Whiskey",
 ISNUMBER(SEARCH("VODKA",C2097)),"Vodka",
 ISNUMBER(SEARCH("TEQUILA",C2097)),"Tequila/Mezcal",
 ISNUMBER(SEARCH("MEZCAL",C2097)),"Tequila/Mezcal",
 ISNUMBER(SEARCH("RUM",C2097)),"Rum",
 ISNUMBER(SEARCH("BRAND",C2097)),"Brandy",
 ISNUMBER(SEARCH("COGNAC",C2097)),"Brandy",
 ISNUMBER(SEARCH("LIQUEUR",C2097)),"Liqueurs",
 ISNUMBER(SEARCH("CORDIAL",C2097)),"Liqueurs",
 ISNUMBER(SEARCH("SCHNAPP",C2097)),"Liqueurs",
 ISNUMBER(SEARCH("GIN",C2097)),"Gin",
 TRUE,"Other")</f>
        <v>Tequila/Mezcal</v>
      </c>
      <c r="E2097" s="5">
        <v>1241</v>
      </c>
      <c r="F2097" s="5">
        <v>41130.94999999999</v>
      </c>
      <c r="G2097" s="5"/>
      <c r="H2097" s="5">
        <v>234</v>
      </c>
    </row>
    <row r="2098" spans="1:8">
      <c r="A2098" s="5">
        <v>2023</v>
      </c>
      <c r="B2098" s="6">
        <v>45139</v>
      </c>
      <c r="C2098" s="5" t="s">
        <v>21</v>
      </c>
      <c r="D2098" s="3" t="str" cm="1">
        <f t="array" ref="D2098">_xlfn.IFS(
 ISNUMBER(SEARCH("WHISK",C2098)),"Whiskey",
 ISNUMBER(SEARCH("BOURBON",C2098)),"Whiskey",
 ISNUMBER(SEARCH("SCOTCH",C2098)),"Whiskey",
 ISNUMBER(SEARCH("RYE",C2098)),"Whiskey",
 ISNUMBER(SEARCH("VODKA",C2098)),"Vodka",
 ISNUMBER(SEARCH("TEQUILA",C2098)),"Tequila/Mezcal",
 ISNUMBER(SEARCH("MEZCAL",C2098)),"Tequila/Mezcal",
 ISNUMBER(SEARCH("RUM",C2098)),"Rum",
 ISNUMBER(SEARCH("BRAND",C2098)),"Brandy",
 ISNUMBER(SEARCH("COGNAC",C2098)),"Brandy",
 ISNUMBER(SEARCH("LIQUEUR",C2098)),"Liqueurs",
 ISNUMBER(SEARCH("CORDIAL",C2098)),"Liqueurs",
 ISNUMBER(SEARCH("SCHNAPP",C2098)),"Liqueurs",
 ISNUMBER(SEARCH("GIN",C2098)),"Gin",
 TRUE,"Other")</f>
        <v>Whiskey</v>
      </c>
      <c r="E2098" s="5">
        <v>522</v>
      </c>
      <c r="F2098" s="5">
        <v>12389.25</v>
      </c>
      <c r="G2098" s="5"/>
      <c r="H2098" s="5">
        <v>93</v>
      </c>
    </row>
    <row r="2099" spans="1:8">
      <c r="A2099" s="5">
        <v>2023</v>
      </c>
      <c r="B2099" s="6">
        <v>45139</v>
      </c>
      <c r="C2099" s="5" t="s">
        <v>14</v>
      </c>
      <c r="D2099" s="3" t="str" cm="1">
        <f t="array" ref="D2099">_xlfn.IFS(
 ISNUMBER(SEARCH("WHISK",C2099)),"Whiskey",
 ISNUMBER(SEARCH("BOURBON",C2099)),"Whiskey",
 ISNUMBER(SEARCH("SCOTCH",C2099)),"Whiskey",
 ISNUMBER(SEARCH("RYE",C2099)),"Whiskey",
 ISNUMBER(SEARCH("VODKA",C2099)),"Vodka",
 ISNUMBER(SEARCH("TEQUILA",C2099)),"Tequila/Mezcal",
 ISNUMBER(SEARCH("MEZCAL",C2099)),"Tequila/Mezcal",
 ISNUMBER(SEARCH("RUM",C2099)),"Rum",
 ISNUMBER(SEARCH("BRAND",C2099)),"Brandy",
 ISNUMBER(SEARCH("COGNAC",C2099)),"Brandy",
 ISNUMBER(SEARCH("LIQUEUR",C2099)),"Liqueurs",
 ISNUMBER(SEARCH("CORDIAL",C2099)),"Liqueurs",
 ISNUMBER(SEARCH("SCHNAPP",C2099)),"Liqueurs",
 ISNUMBER(SEARCH("GIN",C2099)),"Gin",
 TRUE,"Other")</f>
        <v>Gin</v>
      </c>
      <c r="E2099" s="5">
        <v>300</v>
      </c>
      <c r="F2099" s="5">
        <v>2520.8299999999986</v>
      </c>
      <c r="G2099" s="5"/>
      <c r="H2099" s="5">
        <v>55</v>
      </c>
    </row>
    <row r="2100" spans="1:8">
      <c r="A2100" s="5">
        <v>2023</v>
      </c>
      <c r="B2100" s="6">
        <v>45170</v>
      </c>
      <c r="C2100" s="5" t="s">
        <v>50</v>
      </c>
      <c r="D2100" s="3" t="str" cm="1">
        <f t="array" ref="D2100">_xlfn.IFS(
 ISNUMBER(SEARCH("WHISK",C2100)),"Whiskey",
 ISNUMBER(SEARCH("BOURBON",C2100)),"Whiskey",
 ISNUMBER(SEARCH("SCOTCH",C2100)),"Whiskey",
 ISNUMBER(SEARCH("RYE",C2100)),"Whiskey",
 ISNUMBER(SEARCH("VODKA",C2100)),"Vodka",
 ISNUMBER(SEARCH("TEQUILA",C2100)),"Tequila/Mezcal",
 ISNUMBER(SEARCH("MEZCAL",C2100)),"Tequila/Mezcal",
 ISNUMBER(SEARCH("RUM",C2100)),"Rum",
 ISNUMBER(SEARCH("BRAND",C2100)),"Brandy",
 ISNUMBER(SEARCH("COGNAC",C2100)),"Brandy",
 ISNUMBER(SEARCH("LIQUEUR",C2100)),"Liqueurs",
 ISNUMBER(SEARCH("CORDIAL",C2100)),"Liqueurs",
 ISNUMBER(SEARCH("SCHNAPP",C2100)),"Liqueurs",
 ISNUMBER(SEARCH("GIN",C2100)),"Gin",
 TRUE,"Other")</f>
        <v>Tequila/Mezcal</v>
      </c>
      <c r="E2100" s="5">
        <v>93488</v>
      </c>
      <c r="F2100" s="5">
        <v>2690979.1299999538</v>
      </c>
      <c r="G2100" s="5"/>
      <c r="H2100" s="5">
        <v>10513</v>
      </c>
    </row>
    <row r="2101" spans="1:8">
      <c r="A2101" s="5">
        <v>2023</v>
      </c>
      <c r="B2101" s="6">
        <v>45170</v>
      </c>
      <c r="C2101" s="5" t="s">
        <v>12</v>
      </c>
      <c r="D2101" s="3" t="str" cm="1">
        <f t="array" ref="D2101">_xlfn.IFS(
 ISNUMBER(SEARCH("WHISK",C2101)),"Whiskey",
 ISNUMBER(SEARCH("BOURBON",C2101)),"Whiskey",
 ISNUMBER(SEARCH("SCOTCH",C2101)),"Whiskey",
 ISNUMBER(SEARCH("RYE",C2101)),"Whiskey",
 ISNUMBER(SEARCH("VODKA",C2101)),"Vodka",
 ISNUMBER(SEARCH("TEQUILA",C2101)),"Tequila/Mezcal",
 ISNUMBER(SEARCH("MEZCAL",C2101)),"Tequila/Mezcal",
 ISNUMBER(SEARCH("RUM",C2101)),"Rum",
 ISNUMBER(SEARCH("BRAND",C2101)),"Brandy",
 ISNUMBER(SEARCH("COGNAC",C2101)),"Brandy",
 ISNUMBER(SEARCH("LIQUEUR",C2101)),"Liqueurs",
 ISNUMBER(SEARCH("CORDIAL",C2101)),"Liqueurs",
 ISNUMBER(SEARCH("SCHNAPP",C2101)),"Liqueurs",
 ISNUMBER(SEARCH("GIN",C2101)),"Gin",
 TRUE,"Other")</f>
        <v>Vodka</v>
      </c>
      <c r="E2101" s="5">
        <v>75567</v>
      </c>
      <c r="F2101" s="5">
        <v>869022.44000003906</v>
      </c>
      <c r="G2101" s="5"/>
      <c r="H2101" s="5">
        <v>9697</v>
      </c>
    </row>
    <row r="2102" spans="1:8">
      <c r="A2102" s="5">
        <v>2023</v>
      </c>
      <c r="B2102" s="6">
        <v>45170</v>
      </c>
      <c r="C2102" s="5" t="s">
        <v>15</v>
      </c>
      <c r="D2102" s="3" t="str" cm="1">
        <f t="array" ref="D2102">_xlfn.IFS(
 ISNUMBER(SEARCH("WHISK",C2102)),"Whiskey",
 ISNUMBER(SEARCH("BOURBON",C2102)),"Whiskey",
 ISNUMBER(SEARCH("SCOTCH",C2102)),"Whiskey",
 ISNUMBER(SEARCH("RYE",C2102)),"Whiskey",
 ISNUMBER(SEARCH("VODKA",C2102)),"Vodka",
 ISNUMBER(SEARCH("TEQUILA",C2102)),"Tequila/Mezcal",
 ISNUMBER(SEARCH("MEZCAL",C2102)),"Tequila/Mezcal",
 ISNUMBER(SEARCH("RUM",C2102)),"Rum",
 ISNUMBER(SEARCH("BRAND",C2102)),"Brandy",
 ISNUMBER(SEARCH("COGNAC",C2102)),"Brandy",
 ISNUMBER(SEARCH("LIQUEUR",C2102)),"Liqueurs",
 ISNUMBER(SEARCH("CORDIAL",C2102)),"Liqueurs",
 ISNUMBER(SEARCH("SCHNAPP",C2102)),"Liqueurs",
 ISNUMBER(SEARCH("GIN",C2102)),"Gin",
 TRUE,"Other")</f>
        <v>Vodka</v>
      </c>
      <c r="E2102" s="5">
        <v>520145</v>
      </c>
      <c r="F2102" s="5">
        <v>5098737.3300000541</v>
      </c>
      <c r="G2102" s="5"/>
      <c r="H2102" s="5">
        <v>33744</v>
      </c>
    </row>
    <row r="2103" spans="1:8">
      <c r="A2103" s="5">
        <v>2023</v>
      </c>
      <c r="B2103" s="6">
        <v>45170</v>
      </c>
      <c r="C2103" s="5" t="s">
        <v>16</v>
      </c>
      <c r="D2103" s="3" t="str" cm="1">
        <f t="array" ref="D2103">_xlfn.IFS(
 ISNUMBER(SEARCH("WHISK",C2103)),"Whiskey",
 ISNUMBER(SEARCH("BOURBON",C2103)),"Whiskey",
 ISNUMBER(SEARCH("SCOTCH",C2103)),"Whiskey",
 ISNUMBER(SEARCH("RYE",C2103)),"Whiskey",
 ISNUMBER(SEARCH("VODKA",C2103)),"Vodka",
 ISNUMBER(SEARCH("TEQUILA",C2103)),"Tequila/Mezcal",
 ISNUMBER(SEARCH("MEZCAL",C2103)),"Tequila/Mezcal",
 ISNUMBER(SEARCH("RUM",C2103)),"Rum",
 ISNUMBER(SEARCH("BRAND",C2103)),"Brandy",
 ISNUMBER(SEARCH("COGNAC",C2103)),"Brandy",
 ISNUMBER(SEARCH("LIQUEUR",C2103)),"Liqueurs",
 ISNUMBER(SEARCH("CORDIAL",C2103)),"Liqueurs",
 ISNUMBER(SEARCH("SCHNAPP",C2103)),"Liqueurs",
 ISNUMBER(SEARCH("GIN",C2103)),"Gin",
 TRUE,"Other")</f>
        <v>Whiskey</v>
      </c>
      <c r="E2103" s="5">
        <v>67633</v>
      </c>
      <c r="F2103" s="5">
        <v>904885.20999998727</v>
      </c>
      <c r="G2103" s="5"/>
      <c r="H2103" s="5">
        <v>7193</v>
      </c>
    </row>
    <row r="2104" spans="1:8">
      <c r="A2104" s="5">
        <v>2023</v>
      </c>
      <c r="B2104" s="6">
        <v>45170</v>
      </c>
      <c r="C2104" s="5" t="s">
        <v>18</v>
      </c>
      <c r="D2104" s="3" t="str" cm="1">
        <f t="array" ref="D2104">_xlfn.IFS(
 ISNUMBER(SEARCH("WHISK",C2104)),"Whiskey",
 ISNUMBER(SEARCH("BOURBON",C2104)),"Whiskey",
 ISNUMBER(SEARCH("SCOTCH",C2104)),"Whiskey",
 ISNUMBER(SEARCH("RYE",C2104)),"Whiskey",
 ISNUMBER(SEARCH("VODKA",C2104)),"Vodka",
 ISNUMBER(SEARCH("TEQUILA",C2104)),"Tequila/Mezcal",
 ISNUMBER(SEARCH("MEZCAL",C2104)),"Tequila/Mezcal",
 ISNUMBER(SEARCH("RUM",C2104)),"Rum",
 ISNUMBER(SEARCH("BRAND",C2104)),"Brandy",
 ISNUMBER(SEARCH("COGNAC",C2104)),"Brandy",
 ISNUMBER(SEARCH("LIQUEUR",C2104)),"Liqueurs",
 ISNUMBER(SEARCH("CORDIAL",C2104)),"Liqueurs",
 ISNUMBER(SEARCH("SCHNAPP",C2104)),"Liqueurs",
 ISNUMBER(SEARCH("GIN",C2104)),"Gin",
 TRUE,"Other")</f>
        <v>Whiskey</v>
      </c>
      <c r="E2104" s="5">
        <v>248527</v>
      </c>
      <c r="F2104" s="5">
        <v>3933759.4499998107</v>
      </c>
      <c r="G2104" s="5"/>
      <c r="H2104" s="5">
        <v>19485</v>
      </c>
    </row>
    <row r="2105" spans="1:8">
      <c r="A2105" s="5">
        <v>2023</v>
      </c>
      <c r="B2105" s="6">
        <v>45170</v>
      </c>
      <c r="C2105" s="5" t="s">
        <v>37</v>
      </c>
      <c r="D2105" s="3" t="str" cm="1">
        <f t="array" ref="D2105">_xlfn.IFS(
 ISNUMBER(SEARCH("WHISK",C2105)),"Whiskey",
 ISNUMBER(SEARCH("BOURBON",C2105)),"Whiskey",
 ISNUMBER(SEARCH("SCOTCH",C2105)),"Whiskey",
 ISNUMBER(SEARCH("RYE",C2105)),"Whiskey",
 ISNUMBER(SEARCH("VODKA",C2105)),"Vodka",
 ISNUMBER(SEARCH("TEQUILA",C2105)),"Tequila/Mezcal",
 ISNUMBER(SEARCH("MEZCAL",C2105)),"Tequila/Mezcal",
 ISNUMBER(SEARCH("RUM",C2105)),"Rum",
 ISNUMBER(SEARCH("BRAND",C2105)),"Brandy",
 ISNUMBER(SEARCH("COGNAC",C2105)),"Brandy",
 ISNUMBER(SEARCH("LIQUEUR",C2105)),"Liqueurs",
 ISNUMBER(SEARCH("CORDIAL",C2105)),"Liqueurs",
 ISNUMBER(SEARCH("SCHNAPP",C2105)),"Liqueurs",
 ISNUMBER(SEARCH("GIN",C2105)),"Gin",
 TRUE,"Other")</f>
        <v>Other</v>
      </c>
      <c r="E2105" s="5">
        <v>18139</v>
      </c>
      <c r="F2105" s="5">
        <v>302965.19000000262</v>
      </c>
      <c r="G2105" s="5"/>
      <c r="H2105" s="5">
        <v>3506</v>
      </c>
    </row>
    <row r="2106" spans="1:8">
      <c r="A2106" s="5">
        <v>2023</v>
      </c>
      <c r="B2106" s="6">
        <v>45170</v>
      </c>
      <c r="C2106" s="5" t="s">
        <v>42</v>
      </c>
      <c r="D2106" s="3" t="str" cm="1">
        <f t="array" ref="D2106">_xlfn.IFS(
 ISNUMBER(SEARCH("WHISK",C2106)),"Whiskey",
 ISNUMBER(SEARCH("BOURBON",C2106)),"Whiskey",
 ISNUMBER(SEARCH("SCOTCH",C2106)),"Whiskey",
 ISNUMBER(SEARCH("RYE",C2106)),"Whiskey",
 ISNUMBER(SEARCH("VODKA",C2106)),"Vodka",
 ISNUMBER(SEARCH("TEQUILA",C2106)),"Tequila/Mezcal",
 ISNUMBER(SEARCH("MEZCAL",C2106)),"Tequila/Mezcal",
 ISNUMBER(SEARCH("RUM",C2106)),"Rum",
 ISNUMBER(SEARCH("BRAND",C2106)),"Brandy",
 ISNUMBER(SEARCH("COGNAC",C2106)),"Brandy",
 ISNUMBER(SEARCH("LIQUEUR",C2106)),"Liqueurs",
 ISNUMBER(SEARCH("CORDIAL",C2106)),"Liqueurs",
 ISNUMBER(SEARCH("SCHNAPP",C2106)),"Liqueurs",
 ISNUMBER(SEARCH("GIN",C2106)),"Gin",
 TRUE,"Other")</f>
        <v>Rum</v>
      </c>
      <c r="E2106" s="5">
        <v>116661</v>
      </c>
      <c r="F2106" s="5">
        <v>1916039.0599999244</v>
      </c>
      <c r="G2106" s="5"/>
      <c r="H2106" s="5">
        <v>8073</v>
      </c>
    </row>
    <row r="2107" spans="1:8">
      <c r="A2107" s="5">
        <v>2023</v>
      </c>
      <c r="B2107" s="6">
        <v>45170</v>
      </c>
      <c r="C2107" s="5" t="s">
        <v>43</v>
      </c>
      <c r="D2107" s="3" t="str" cm="1">
        <f t="array" ref="D2107">_xlfn.IFS(
 ISNUMBER(SEARCH("WHISK",C2107)),"Whiskey",
 ISNUMBER(SEARCH("BOURBON",C2107)),"Whiskey",
 ISNUMBER(SEARCH("SCOTCH",C2107)),"Whiskey",
 ISNUMBER(SEARCH("RYE",C2107)),"Whiskey",
 ISNUMBER(SEARCH("VODKA",C2107)),"Vodka",
 ISNUMBER(SEARCH("TEQUILA",C2107)),"Tequila/Mezcal",
 ISNUMBER(SEARCH("MEZCAL",C2107)),"Tequila/Mezcal",
 ISNUMBER(SEARCH("RUM",C2107)),"Rum",
 ISNUMBER(SEARCH("BRAND",C2107)),"Brandy",
 ISNUMBER(SEARCH("COGNAC",C2107)),"Brandy",
 ISNUMBER(SEARCH("LIQUEUR",C2107)),"Liqueurs",
 ISNUMBER(SEARCH("CORDIAL",C2107)),"Liqueurs",
 ISNUMBER(SEARCH("SCHNAPP",C2107)),"Liqueurs",
 ISNUMBER(SEARCH("GIN",C2107)),"Gin",
 TRUE,"Other")</f>
        <v>Whiskey</v>
      </c>
      <c r="E2107" s="5">
        <v>138708</v>
      </c>
      <c r="F2107" s="5">
        <v>3022682.0400000033</v>
      </c>
      <c r="G2107" s="5"/>
      <c r="H2107" s="5">
        <v>16478</v>
      </c>
    </row>
    <row r="2108" spans="1:8">
      <c r="A2108" s="5">
        <v>2023</v>
      </c>
      <c r="B2108" s="6">
        <v>45170</v>
      </c>
      <c r="C2108" s="5" t="s">
        <v>48</v>
      </c>
      <c r="D2108" s="3" t="str" cm="1">
        <f t="array" ref="D2108">_xlfn.IFS(
 ISNUMBER(SEARCH("WHISK",C2108)),"Whiskey",
 ISNUMBER(SEARCH("BOURBON",C2108)),"Whiskey",
 ISNUMBER(SEARCH("SCOTCH",C2108)),"Whiskey",
 ISNUMBER(SEARCH("RYE",C2108)),"Whiskey",
 ISNUMBER(SEARCH("VODKA",C2108)),"Vodka",
 ISNUMBER(SEARCH("TEQUILA",C2108)),"Tequila/Mezcal",
 ISNUMBER(SEARCH("MEZCAL",C2108)),"Tequila/Mezcal",
 ISNUMBER(SEARCH("RUM",C2108)),"Rum",
 ISNUMBER(SEARCH("BRAND",C2108)),"Brandy",
 ISNUMBER(SEARCH("COGNAC",C2108)),"Brandy",
 ISNUMBER(SEARCH("LIQUEUR",C2108)),"Liqueurs",
 ISNUMBER(SEARCH("CORDIAL",C2108)),"Liqueurs",
 ISNUMBER(SEARCH("SCHNAPP",C2108)),"Liqueurs",
 ISNUMBER(SEARCH("GIN",C2108)),"Gin",
 TRUE,"Other")</f>
        <v>Whiskey</v>
      </c>
      <c r="E2108" s="5">
        <v>356872</v>
      </c>
      <c r="F2108" s="5">
        <v>2164378.0399999414</v>
      </c>
      <c r="G2108" s="5"/>
      <c r="H2108" s="5">
        <v>13406</v>
      </c>
    </row>
    <row r="2109" spans="1:8">
      <c r="A2109" s="5">
        <v>2023</v>
      </c>
      <c r="B2109" s="6">
        <v>45170</v>
      </c>
      <c r="C2109" s="5" t="s">
        <v>49</v>
      </c>
      <c r="D2109" s="3" t="str" cm="1">
        <f t="array" ref="D2109">_xlfn.IFS(
 ISNUMBER(SEARCH("WHISK",C2109)),"Whiskey",
 ISNUMBER(SEARCH("BOURBON",C2109)),"Whiskey",
 ISNUMBER(SEARCH("SCOTCH",C2109)),"Whiskey",
 ISNUMBER(SEARCH("RYE",C2109)),"Whiskey",
 ISNUMBER(SEARCH("VODKA",C2109)),"Vodka",
 ISNUMBER(SEARCH("TEQUILA",C2109)),"Tequila/Mezcal",
 ISNUMBER(SEARCH("MEZCAL",C2109)),"Tequila/Mezcal",
 ISNUMBER(SEARCH("RUM",C2109)),"Rum",
 ISNUMBER(SEARCH("BRAND",C2109)),"Brandy",
 ISNUMBER(SEARCH("COGNAC",C2109)),"Brandy",
 ISNUMBER(SEARCH("LIQUEUR",C2109)),"Liqueurs",
 ISNUMBER(SEARCH("CORDIAL",C2109)),"Liqueurs",
 ISNUMBER(SEARCH("SCHNAPP",C2109)),"Liqueurs",
 ISNUMBER(SEARCH("GIN",C2109)),"Gin",
 TRUE,"Other")</f>
        <v>Rum</v>
      </c>
      <c r="E2109" s="5">
        <v>36710</v>
      </c>
      <c r="F2109" s="5">
        <v>441513.14999999636</v>
      </c>
      <c r="G2109" s="5"/>
      <c r="H2109" s="5">
        <v>3496</v>
      </c>
    </row>
    <row r="2110" spans="1:8">
      <c r="A2110" s="5">
        <v>2023</v>
      </c>
      <c r="B2110" s="6">
        <v>45170</v>
      </c>
      <c r="C2110" s="5" t="s">
        <v>8</v>
      </c>
      <c r="D2110" s="3" t="str" cm="1">
        <f t="array" ref="D2110">_xlfn.IFS(
 ISNUMBER(SEARCH("WHISK",C2110)),"Whiskey",
 ISNUMBER(SEARCH("BOURBON",C2110)),"Whiskey",
 ISNUMBER(SEARCH("SCOTCH",C2110)),"Whiskey",
 ISNUMBER(SEARCH("RYE",C2110)),"Whiskey",
 ISNUMBER(SEARCH("VODKA",C2110)),"Vodka",
 ISNUMBER(SEARCH("TEQUILA",C2110)),"Tequila/Mezcal",
 ISNUMBER(SEARCH("MEZCAL",C2110)),"Tequila/Mezcal",
 ISNUMBER(SEARCH("RUM",C2110)),"Rum",
 ISNUMBER(SEARCH("BRAND",C2110)),"Brandy",
 ISNUMBER(SEARCH("COGNAC",C2110)),"Brandy",
 ISNUMBER(SEARCH("LIQUEUR",C2110)),"Liqueurs",
 ISNUMBER(SEARCH("CORDIAL",C2110)),"Liqueurs",
 ISNUMBER(SEARCH("SCHNAPP",C2110)),"Liqueurs",
 ISNUMBER(SEARCH("GIN",C2110)),"Gin",
 TRUE,"Other")</f>
        <v>Brandy</v>
      </c>
      <c r="E2110" s="5">
        <v>56190</v>
      </c>
      <c r="F2110" s="5">
        <v>350273.19000000157</v>
      </c>
      <c r="G2110" s="5"/>
      <c r="H2110" s="5">
        <v>4230</v>
      </c>
    </row>
    <row r="2111" spans="1:8">
      <c r="A2111" s="5">
        <v>2023</v>
      </c>
      <c r="B2111" s="6">
        <v>45170</v>
      </c>
      <c r="C2111" s="5" t="s">
        <v>19</v>
      </c>
      <c r="D2111" s="3" t="str" cm="1">
        <f t="array" ref="D2111">_xlfn.IFS(
 ISNUMBER(SEARCH("WHISK",C2111)),"Whiskey",
 ISNUMBER(SEARCH("BOURBON",C2111)),"Whiskey",
 ISNUMBER(SEARCH("SCOTCH",C2111)),"Whiskey",
 ISNUMBER(SEARCH("RYE",C2111)),"Whiskey",
 ISNUMBER(SEARCH("VODKA",C2111)),"Vodka",
 ISNUMBER(SEARCH("TEQUILA",C2111)),"Tequila/Mezcal",
 ISNUMBER(SEARCH("MEZCAL",C2111)),"Tequila/Mezcal",
 ISNUMBER(SEARCH("RUM",C2111)),"Rum",
 ISNUMBER(SEARCH("BRAND",C2111)),"Brandy",
 ISNUMBER(SEARCH("COGNAC",C2111)),"Brandy",
 ISNUMBER(SEARCH("LIQUEUR",C2111)),"Liqueurs",
 ISNUMBER(SEARCH("CORDIAL",C2111)),"Liqueurs",
 ISNUMBER(SEARCH("SCHNAPP",C2111)),"Liqueurs",
 ISNUMBER(SEARCH("GIN",C2111)),"Gin",
 TRUE,"Other")</f>
        <v>Other</v>
      </c>
      <c r="E2111" s="5">
        <v>50089</v>
      </c>
      <c r="F2111" s="5">
        <v>602578.09999998694</v>
      </c>
      <c r="G2111" s="5"/>
      <c r="H2111" s="5">
        <v>6245</v>
      </c>
    </row>
    <row r="2112" spans="1:8">
      <c r="A2112" s="5">
        <v>2023</v>
      </c>
      <c r="B2112" s="6">
        <v>45170</v>
      </c>
      <c r="C2112" s="5" t="s">
        <v>21</v>
      </c>
      <c r="D2112" s="3" t="str" cm="1">
        <f t="array" ref="D2112">_xlfn.IFS(
 ISNUMBER(SEARCH("WHISK",C2112)),"Whiskey",
 ISNUMBER(SEARCH("BOURBON",C2112)),"Whiskey",
 ISNUMBER(SEARCH("SCOTCH",C2112)),"Whiskey",
 ISNUMBER(SEARCH("RYE",C2112)),"Whiskey",
 ISNUMBER(SEARCH("VODKA",C2112)),"Vodka",
 ISNUMBER(SEARCH("TEQUILA",C2112)),"Tequila/Mezcal",
 ISNUMBER(SEARCH("MEZCAL",C2112)),"Tequila/Mezcal",
 ISNUMBER(SEARCH("RUM",C2112)),"Rum",
 ISNUMBER(SEARCH("BRAND",C2112)),"Brandy",
 ISNUMBER(SEARCH("COGNAC",C2112)),"Brandy",
 ISNUMBER(SEARCH("LIQUEUR",C2112)),"Liqueurs",
 ISNUMBER(SEARCH("CORDIAL",C2112)),"Liqueurs",
 ISNUMBER(SEARCH("SCHNAPP",C2112)),"Liqueurs",
 ISNUMBER(SEARCH("GIN",C2112)),"Gin",
 TRUE,"Other")</f>
        <v>Whiskey</v>
      </c>
      <c r="E2112" s="5">
        <v>739</v>
      </c>
      <c r="F2112" s="5">
        <v>21595.119999999999</v>
      </c>
      <c r="G2112" s="5"/>
      <c r="H2112" s="5">
        <v>100</v>
      </c>
    </row>
    <row r="2113" spans="1:8">
      <c r="A2113" s="5">
        <v>2023</v>
      </c>
      <c r="B2113" s="6">
        <v>45170</v>
      </c>
      <c r="C2113" s="5" t="s">
        <v>22</v>
      </c>
      <c r="D2113" s="3" t="str" cm="1">
        <f t="array" ref="D2113">_xlfn.IFS(
 ISNUMBER(SEARCH("WHISK",C2113)),"Whiskey",
 ISNUMBER(SEARCH("BOURBON",C2113)),"Whiskey",
 ISNUMBER(SEARCH("SCOTCH",C2113)),"Whiskey",
 ISNUMBER(SEARCH("RYE",C2113)),"Whiskey",
 ISNUMBER(SEARCH("VODKA",C2113)),"Vodka",
 ISNUMBER(SEARCH("TEQUILA",C2113)),"Tequila/Mezcal",
 ISNUMBER(SEARCH("MEZCAL",C2113)),"Tequila/Mezcal",
 ISNUMBER(SEARCH("RUM",C2113)),"Rum",
 ISNUMBER(SEARCH("BRAND",C2113)),"Brandy",
 ISNUMBER(SEARCH("COGNAC",C2113)),"Brandy",
 ISNUMBER(SEARCH("LIQUEUR",C2113)),"Liqueurs",
 ISNUMBER(SEARCH("CORDIAL",C2113)),"Liqueurs",
 ISNUMBER(SEARCH("SCHNAPP",C2113)),"Liqueurs",
 ISNUMBER(SEARCH("GIN",C2113)),"Gin",
 TRUE,"Other")</f>
        <v>Liqueurs</v>
      </c>
      <c r="E2113" s="5">
        <v>34082</v>
      </c>
      <c r="F2113" s="5">
        <v>687871.41999998782</v>
      </c>
      <c r="G2113" s="5"/>
      <c r="H2113" s="5">
        <v>4635</v>
      </c>
    </row>
    <row r="2114" spans="1:8">
      <c r="A2114" s="5">
        <v>2023</v>
      </c>
      <c r="B2114" s="6">
        <v>45170</v>
      </c>
      <c r="C2114" s="5" t="s">
        <v>35</v>
      </c>
      <c r="D2114" s="3" t="str" cm="1">
        <f t="array" ref="D2114">_xlfn.IFS(
 ISNUMBER(SEARCH("WHISK",C2114)),"Whiskey",
 ISNUMBER(SEARCH("BOURBON",C2114)),"Whiskey",
 ISNUMBER(SEARCH("SCOTCH",C2114)),"Whiskey",
 ISNUMBER(SEARCH("RYE",C2114)),"Whiskey",
 ISNUMBER(SEARCH("VODKA",C2114)),"Vodka",
 ISNUMBER(SEARCH("TEQUILA",C2114)),"Tequila/Mezcal",
 ISNUMBER(SEARCH("MEZCAL",C2114)),"Tequila/Mezcal",
 ISNUMBER(SEARCH("RUM",C2114)),"Rum",
 ISNUMBER(SEARCH("BRAND",C2114)),"Brandy",
 ISNUMBER(SEARCH("COGNAC",C2114)),"Brandy",
 ISNUMBER(SEARCH("LIQUEUR",C2114)),"Liqueurs",
 ISNUMBER(SEARCH("CORDIAL",C2114)),"Liqueurs",
 ISNUMBER(SEARCH("SCHNAPP",C2114)),"Liqueurs",
 ISNUMBER(SEARCH("GIN",C2114)),"Gin",
 TRUE,"Other")</f>
        <v>Tequila/Mezcal</v>
      </c>
      <c r="E2114" s="5">
        <v>57615</v>
      </c>
      <c r="F2114" s="5">
        <v>793067.62999999302</v>
      </c>
      <c r="G2114" s="5"/>
      <c r="H2114" s="5">
        <v>4530</v>
      </c>
    </row>
    <row r="2115" spans="1:8">
      <c r="A2115" s="5">
        <v>2023</v>
      </c>
      <c r="B2115" s="6">
        <v>45170</v>
      </c>
      <c r="C2115" s="5" t="s">
        <v>38</v>
      </c>
      <c r="D2115" s="3" t="str" cm="1">
        <f t="array" ref="D2115">_xlfn.IFS(
 ISNUMBER(SEARCH("WHISK",C2115)),"Whiskey",
 ISNUMBER(SEARCH("BOURBON",C2115)),"Whiskey",
 ISNUMBER(SEARCH("SCOTCH",C2115)),"Whiskey",
 ISNUMBER(SEARCH("RYE",C2115)),"Whiskey",
 ISNUMBER(SEARCH("VODKA",C2115)),"Vodka",
 ISNUMBER(SEARCH("TEQUILA",C2115)),"Tequila/Mezcal",
 ISNUMBER(SEARCH("MEZCAL",C2115)),"Tequila/Mezcal",
 ISNUMBER(SEARCH("RUM",C2115)),"Rum",
 ISNUMBER(SEARCH("BRAND",C2115)),"Brandy",
 ISNUMBER(SEARCH("COGNAC",C2115)),"Brandy",
 ISNUMBER(SEARCH("LIQUEUR",C2115)),"Liqueurs",
 ISNUMBER(SEARCH("CORDIAL",C2115)),"Liqueurs",
 ISNUMBER(SEARCH("SCHNAPP",C2115)),"Liqueurs",
 ISNUMBER(SEARCH("GIN",C2115)),"Gin",
 TRUE,"Other")</f>
        <v>Whiskey</v>
      </c>
      <c r="E2115" s="5">
        <v>16713</v>
      </c>
      <c r="F2115" s="5">
        <v>489623.91999999923</v>
      </c>
      <c r="G2115" s="5"/>
      <c r="H2115" s="5">
        <v>2481</v>
      </c>
    </row>
    <row r="2116" spans="1:8">
      <c r="A2116" s="5">
        <v>2023</v>
      </c>
      <c r="B2116" s="6">
        <v>45170</v>
      </c>
      <c r="C2116" s="5" t="s">
        <v>40</v>
      </c>
      <c r="D2116" s="3" t="str" cm="1">
        <f t="array" ref="D2116">_xlfn.IFS(
 ISNUMBER(SEARCH("WHISK",C2116)),"Whiskey",
 ISNUMBER(SEARCH("BOURBON",C2116)),"Whiskey",
 ISNUMBER(SEARCH("SCOTCH",C2116)),"Whiskey",
 ISNUMBER(SEARCH("RYE",C2116)),"Whiskey",
 ISNUMBER(SEARCH("VODKA",C2116)),"Vodka",
 ISNUMBER(SEARCH("TEQUILA",C2116)),"Tequila/Mezcal",
 ISNUMBER(SEARCH("MEZCAL",C2116)),"Tequila/Mezcal",
 ISNUMBER(SEARCH("RUM",C2116)),"Rum",
 ISNUMBER(SEARCH("BRAND",C2116)),"Brandy",
 ISNUMBER(SEARCH("COGNAC",C2116)),"Brandy",
 ISNUMBER(SEARCH("LIQUEUR",C2116)),"Liqueurs",
 ISNUMBER(SEARCH("CORDIAL",C2116)),"Liqueurs",
 ISNUMBER(SEARCH("SCHNAPP",C2116)),"Liqueurs",
 ISNUMBER(SEARCH("GIN",C2116)),"Gin",
 TRUE,"Other")</f>
        <v>Whiskey</v>
      </c>
      <c r="E2116" s="5">
        <v>6504</v>
      </c>
      <c r="F2116" s="5">
        <v>328238.60000000009</v>
      </c>
      <c r="G2116" s="5"/>
      <c r="H2116" s="5">
        <v>1087</v>
      </c>
    </row>
    <row r="2117" spans="1:8">
      <c r="A2117" s="5">
        <v>2023</v>
      </c>
      <c r="B2117" s="6">
        <v>45170</v>
      </c>
      <c r="C2117" s="5" t="s">
        <v>44</v>
      </c>
      <c r="D2117" s="3" t="str" cm="1">
        <f t="array" ref="D2117">_xlfn.IFS(
 ISNUMBER(SEARCH("WHISK",C2117)),"Whiskey",
 ISNUMBER(SEARCH("BOURBON",C2117)),"Whiskey",
 ISNUMBER(SEARCH("SCOTCH",C2117)),"Whiskey",
 ISNUMBER(SEARCH("RYE",C2117)),"Whiskey",
 ISNUMBER(SEARCH("VODKA",C2117)),"Vodka",
 ISNUMBER(SEARCH("TEQUILA",C2117)),"Tequila/Mezcal",
 ISNUMBER(SEARCH("MEZCAL",C2117)),"Tequila/Mezcal",
 ISNUMBER(SEARCH("RUM",C2117)),"Rum",
 ISNUMBER(SEARCH("BRAND",C2117)),"Brandy",
 ISNUMBER(SEARCH("COGNAC",C2117)),"Brandy",
 ISNUMBER(SEARCH("LIQUEUR",C2117)),"Liqueurs",
 ISNUMBER(SEARCH("CORDIAL",C2117)),"Liqueurs",
 ISNUMBER(SEARCH("SCHNAPP",C2117)),"Liqueurs",
 ISNUMBER(SEARCH("GIN",C2117)),"Gin",
 TRUE,"Other")</f>
        <v>Whiskey</v>
      </c>
      <c r="E2117" s="5">
        <v>11375</v>
      </c>
      <c r="F2117" s="5">
        <v>395150.05000000418</v>
      </c>
      <c r="G2117" s="5"/>
      <c r="H2117" s="5">
        <v>1688</v>
      </c>
    </row>
    <row r="2118" spans="1:8">
      <c r="A2118" s="5">
        <v>2023</v>
      </c>
      <c r="B2118" s="6">
        <v>45170</v>
      </c>
      <c r="C2118" s="5" t="s">
        <v>59</v>
      </c>
      <c r="D2118" s="3" t="str" cm="1">
        <f t="array" ref="D2118">_xlfn.IFS(
 ISNUMBER(SEARCH("WHISK",C2118)),"Whiskey",
 ISNUMBER(SEARCH("BOURBON",C2118)),"Whiskey",
 ISNUMBER(SEARCH("SCOTCH",C2118)),"Whiskey",
 ISNUMBER(SEARCH("RYE",C2118)),"Whiskey",
 ISNUMBER(SEARCH("VODKA",C2118)),"Vodka",
 ISNUMBER(SEARCH("TEQUILA",C2118)),"Tequila/Mezcal",
 ISNUMBER(SEARCH("MEZCAL",C2118)),"Tequila/Mezcal",
 ISNUMBER(SEARCH("RUM",C2118)),"Rum",
 ISNUMBER(SEARCH("BRAND",C2118)),"Brandy",
 ISNUMBER(SEARCH("COGNAC",C2118)),"Brandy",
 ISNUMBER(SEARCH("LIQUEUR",C2118)),"Liqueurs",
 ISNUMBER(SEARCH("CORDIAL",C2118)),"Liqueurs",
 ISNUMBER(SEARCH("SCHNAPP",C2118)),"Liqueurs",
 ISNUMBER(SEARCH("GIN",C2118)),"Gin",
 TRUE,"Other")</f>
        <v>Liqueurs</v>
      </c>
      <c r="E2118" s="5">
        <v>30554</v>
      </c>
      <c r="F2118" s="5">
        <v>327922.51000000339</v>
      </c>
      <c r="G2118" s="5"/>
      <c r="H2118" s="5">
        <v>4661</v>
      </c>
    </row>
    <row r="2119" spans="1:8">
      <c r="A2119" s="5">
        <v>2023</v>
      </c>
      <c r="B2119" s="6">
        <v>45170</v>
      </c>
      <c r="C2119" s="5" t="s">
        <v>10</v>
      </c>
      <c r="D2119" s="3" t="str" cm="1">
        <f t="array" ref="D2119">_xlfn.IFS(
 ISNUMBER(SEARCH("WHISK",C2119)),"Whiskey",
 ISNUMBER(SEARCH("BOURBON",C2119)),"Whiskey",
 ISNUMBER(SEARCH("SCOTCH",C2119)),"Whiskey",
 ISNUMBER(SEARCH("RYE",C2119)),"Whiskey",
 ISNUMBER(SEARCH("VODKA",C2119)),"Vodka",
 ISNUMBER(SEARCH("TEQUILA",C2119)),"Tequila/Mezcal",
 ISNUMBER(SEARCH("MEZCAL",C2119)),"Tequila/Mezcal",
 ISNUMBER(SEARCH("RUM",C2119)),"Rum",
 ISNUMBER(SEARCH("BRAND",C2119)),"Brandy",
 ISNUMBER(SEARCH("COGNAC",C2119)),"Brandy",
 ISNUMBER(SEARCH("LIQUEUR",C2119)),"Liqueurs",
 ISNUMBER(SEARCH("CORDIAL",C2119)),"Liqueurs",
 ISNUMBER(SEARCH("SCHNAPP",C2119)),"Liqueurs",
 ISNUMBER(SEARCH("GIN",C2119)),"Gin",
 TRUE,"Other")</f>
        <v>Other</v>
      </c>
      <c r="E2119" s="5">
        <v>8346</v>
      </c>
      <c r="F2119" s="5">
        <v>183464.10999999972</v>
      </c>
      <c r="G2119" s="5"/>
      <c r="H2119" s="5">
        <v>758</v>
      </c>
    </row>
    <row r="2120" spans="1:8">
      <c r="A2120" s="5">
        <v>2023</v>
      </c>
      <c r="B2120" s="6">
        <v>45170</v>
      </c>
      <c r="C2120" s="5" t="s">
        <v>26</v>
      </c>
      <c r="D2120" s="3" t="str" cm="1">
        <f t="array" ref="D2120">_xlfn.IFS(
 ISNUMBER(SEARCH("WHISK",C2120)),"Whiskey",
 ISNUMBER(SEARCH("BOURBON",C2120)),"Whiskey",
 ISNUMBER(SEARCH("SCOTCH",C2120)),"Whiskey",
 ISNUMBER(SEARCH("RYE",C2120)),"Whiskey",
 ISNUMBER(SEARCH("VODKA",C2120)),"Vodka",
 ISNUMBER(SEARCH("TEQUILA",C2120)),"Tequila/Mezcal",
 ISNUMBER(SEARCH("MEZCAL",C2120)),"Tequila/Mezcal",
 ISNUMBER(SEARCH("RUM",C2120)),"Rum",
 ISNUMBER(SEARCH("BRAND",C2120)),"Brandy",
 ISNUMBER(SEARCH("COGNAC",C2120)),"Brandy",
 ISNUMBER(SEARCH("LIQUEUR",C2120)),"Liqueurs",
 ISNUMBER(SEARCH("CORDIAL",C2120)),"Liqueurs",
 ISNUMBER(SEARCH("SCHNAPP",C2120)),"Liqueurs",
 ISNUMBER(SEARCH("GIN",C2120)),"Gin",
 TRUE,"Other")</f>
        <v>Brandy</v>
      </c>
      <c r="E2120" s="5">
        <v>35537</v>
      </c>
      <c r="F2120" s="5">
        <v>844231.93999999273</v>
      </c>
      <c r="G2120" s="5"/>
      <c r="H2120" s="5">
        <v>3150</v>
      </c>
    </row>
    <row r="2121" spans="1:8">
      <c r="A2121" s="5">
        <v>2023</v>
      </c>
      <c r="B2121" s="6">
        <v>45170</v>
      </c>
      <c r="C2121" s="5" t="s">
        <v>60</v>
      </c>
      <c r="D2121" s="3" t="str" cm="1">
        <f t="array" ref="D2121">_xlfn.IFS(
 ISNUMBER(SEARCH("WHISK",C2121)),"Whiskey",
 ISNUMBER(SEARCH("BOURBON",C2121)),"Whiskey",
 ISNUMBER(SEARCH("SCOTCH",C2121)),"Whiskey",
 ISNUMBER(SEARCH("RYE",C2121)),"Whiskey",
 ISNUMBER(SEARCH("VODKA",C2121)),"Vodka",
 ISNUMBER(SEARCH("TEQUILA",C2121)),"Tequila/Mezcal",
 ISNUMBER(SEARCH("MEZCAL",C2121)),"Tequila/Mezcal",
 ISNUMBER(SEARCH("RUM",C2121)),"Rum",
 ISNUMBER(SEARCH("BRAND",C2121)),"Brandy",
 ISNUMBER(SEARCH("COGNAC",C2121)),"Brandy",
 ISNUMBER(SEARCH("LIQUEUR",C2121)),"Liqueurs",
 ISNUMBER(SEARCH("CORDIAL",C2121)),"Liqueurs",
 ISNUMBER(SEARCH("SCHNAPP",C2121)),"Liqueurs",
 ISNUMBER(SEARCH("GIN",C2121)),"Gin",
 TRUE,"Other")</f>
        <v>Liqueurs</v>
      </c>
      <c r="E2121" s="5">
        <v>41098</v>
      </c>
      <c r="F2121" s="5">
        <v>954635.42000000249</v>
      </c>
      <c r="G2121" s="5"/>
      <c r="H2121" s="5">
        <v>4489</v>
      </c>
    </row>
    <row r="2122" spans="1:8">
      <c r="A2122" s="5">
        <v>2023</v>
      </c>
      <c r="B2122" s="6">
        <v>45170</v>
      </c>
      <c r="C2122" s="5" t="s">
        <v>32</v>
      </c>
      <c r="D2122" s="3" t="str" cm="1">
        <f t="array" ref="D2122">_xlfn.IFS(
 ISNUMBER(SEARCH("WHISK",C2122)),"Whiskey",
 ISNUMBER(SEARCH("BOURBON",C2122)),"Whiskey",
 ISNUMBER(SEARCH("SCOTCH",C2122)),"Whiskey",
 ISNUMBER(SEARCH("RYE",C2122)),"Whiskey",
 ISNUMBER(SEARCH("VODKA",C2122)),"Vodka",
 ISNUMBER(SEARCH("TEQUILA",C2122)),"Tequila/Mezcal",
 ISNUMBER(SEARCH("MEZCAL",C2122)),"Tequila/Mezcal",
 ISNUMBER(SEARCH("RUM",C2122)),"Rum",
 ISNUMBER(SEARCH("BRAND",C2122)),"Brandy",
 ISNUMBER(SEARCH("COGNAC",C2122)),"Brandy",
 ISNUMBER(SEARCH("LIQUEUR",C2122)),"Liqueurs",
 ISNUMBER(SEARCH("CORDIAL",C2122)),"Liqueurs",
 ISNUMBER(SEARCH("SCHNAPP",C2122)),"Liqueurs",
 ISNUMBER(SEARCH("GIN",C2122)),"Gin",
 TRUE,"Other")</f>
        <v>Vodka</v>
      </c>
      <c r="E2122" s="5">
        <v>51360</v>
      </c>
      <c r="F2122" s="5">
        <v>907744.40999998525</v>
      </c>
      <c r="G2122" s="5"/>
      <c r="H2122" s="5">
        <v>4690</v>
      </c>
    </row>
    <row r="2123" spans="1:8">
      <c r="A2123" s="5">
        <v>2023</v>
      </c>
      <c r="B2123" s="6">
        <v>45170</v>
      </c>
      <c r="C2123" s="5" t="s">
        <v>33</v>
      </c>
      <c r="D2123" s="3" t="str" cm="1">
        <f t="array" ref="D2123">_xlfn.IFS(
 ISNUMBER(SEARCH("WHISK",C2123)),"Whiskey",
 ISNUMBER(SEARCH("BOURBON",C2123)),"Whiskey",
 ISNUMBER(SEARCH("SCOTCH",C2123)),"Whiskey",
 ISNUMBER(SEARCH("RYE",C2123)),"Whiskey",
 ISNUMBER(SEARCH("VODKA",C2123)),"Vodka",
 ISNUMBER(SEARCH("TEQUILA",C2123)),"Tequila/Mezcal",
 ISNUMBER(SEARCH("MEZCAL",C2123)),"Tequila/Mezcal",
 ISNUMBER(SEARCH("RUM",C2123)),"Rum",
 ISNUMBER(SEARCH("BRAND",C2123)),"Brandy",
 ISNUMBER(SEARCH("COGNAC",C2123)),"Brandy",
 ISNUMBER(SEARCH("LIQUEUR",C2123)),"Liqueurs",
 ISNUMBER(SEARCH("CORDIAL",C2123)),"Liqueurs",
 ISNUMBER(SEARCH("SCHNAPP",C2123)),"Liqueurs",
 ISNUMBER(SEARCH("GIN",C2123)),"Gin",
 TRUE,"Other")</f>
        <v>Whiskey</v>
      </c>
      <c r="E2123" s="5">
        <v>26575</v>
      </c>
      <c r="F2123" s="5">
        <v>727968.28999999049</v>
      </c>
      <c r="G2123" s="5"/>
      <c r="H2123" s="5">
        <v>2442</v>
      </c>
    </row>
    <row r="2124" spans="1:8">
      <c r="A2124" s="5">
        <v>2023</v>
      </c>
      <c r="B2124" s="6">
        <v>45170</v>
      </c>
      <c r="C2124" s="5" t="s">
        <v>46</v>
      </c>
      <c r="D2124" s="3" t="str" cm="1">
        <f t="array" ref="D2124">_xlfn.IFS(
 ISNUMBER(SEARCH("WHISK",C2124)),"Whiskey",
 ISNUMBER(SEARCH("BOURBON",C2124)),"Whiskey",
 ISNUMBER(SEARCH("SCOTCH",C2124)),"Whiskey",
 ISNUMBER(SEARCH("RYE",C2124)),"Whiskey",
 ISNUMBER(SEARCH("VODKA",C2124)),"Vodka",
 ISNUMBER(SEARCH("TEQUILA",C2124)),"Tequila/Mezcal",
 ISNUMBER(SEARCH("MEZCAL",C2124)),"Tequila/Mezcal",
 ISNUMBER(SEARCH("RUM",C2124)),"Rum",
 ISNUMBER(SEARCH("BRAND",C2124)),"Brandy",
 ISNUMBER(SEARCH("COGNAC",C2124)),"Brandy",
 ISNUMBER(SEARCH("LIQUEUR",C2124)),"Liqueurs",
 ISNUMBER(SEARCH("CORDIAL",C2124)),"Liqueurs",
 ISNUMBER(SEARCH("SCHNAPP",C2124)),"Liqueurs",
 ISNUMBER(SEARCH("GIN",C2124)),"Gin",
 TRUE,"Other")</f>
        <v>Whiskey</v>
      </c>
      <c r="E2124" s="5">
        <v>48068</v>
      </c>
      <c r="F2124" s="5">
        <v>1008882.009999991</v>
      </c>
      <c r="G2124" s="5"/>
      <c r="H2124" s="5">
        <v>5727</v>
      </c>
    </row>
    <row r="2125" spans="1:8">
      <c r="A2125" s="5">
        <v>2023</v>
      </c>
      <c r="B2125" s="6">
        <v>45170</v>
      </c>
      <c r="C2125" s="5" t="s">
        <v>11</v>
      </c>
      <c r="D2125" s="3" t="str" cm="1">
        <f t="array" ref="D2125">_xlfn.IFS(
 ISNUMBER(SEARCH("WHISK",C2125)),"Whiskey",
 ISNUMBER(SEARCH("BOURBON",C2125)),"Whiskey",
 ISNUMBER(SEARCH("SCOTCH",C2125)),"Whiskey",
 ISNUMBER(SEARCH("RYE",C2125)),"Whiskey",
 ISNUMBER(SEARCH("VODKA",C2125)),"Vodka",
 ISNUMBER(SEARCH("TEQUILA",C2125)),"Tequila/Mezcal",
 ISNUMBER(SEARCH("MEZCAL",C2125)),"Tequila/Mezcal",
 ISNUMBER(SEARCH("RUM",C2125)),"Rum",
 ISNUMBER(SEARCH("BRAND",C2125)),"Brandy",
 ISNUMBER(SEARCH("COGNAC",C2125)),"Brandy",
 ISNUMBER(SEARCH("LIQUEUR",C2125)),"Liqueurs",
 ISNUMBER(SEARCH("CORDIAL",C2125)),"Liqueurs",
 ISNUMBER(SEARCH("SCHNAPP",C2125)),"Liqueurs",
 ISNUMBER(SEARCH("GIN",C2125)),"Gin",
 TRUE,"Other")</f>
        <v>Gin</v>
      </c>
      <c r="E2125" s="5">
        <v>30706</v>
      </c>
      <c r="F2125" s="5">
        <v>263980.25000000186</v>
      </c>
      <c r="G2125" s="5"/>
      <c r="H2125" s="5">
        <v>2732</v>
      </c>
    </row>
    <row r="2126" spans="1:8">
      <c r="A2126" s="5">
        <v>2023</v>
      </c>
      <c r="B2126" s="6">
        <v>45170</v>
      </c>
      <c r="C2126" s="5" t="s">
        <v>23</v>
      </c>
      <c r="D2126" s="3" t="str" cm="1">
        <f t="array" ref="D2126">_xlfn.IFS(
 ISNUMBER(SEARCH("WHISK",C2126)),"Whiskey",
 ISNUMBER(SEARCH("BOURBON",C2126)),"Whiskey",
 ISNUMBER(SEARCH("SCOTCH",C2126)),"Whiskey",
 ISNUMBER(SEARCH("RYE",C2126)),"Whiskey",
 ISNUMBER(SEARCH("VODKA",C2126)),"Vodka",
 ISNUMBER(SEARCH("TEQUILA",C2126)),"Tequila/Mezcal",
 ISNUMBER(SEARCH("MEZCAL",C2126)),"Tequila/Mezcal",
 ISNUMBER(SEARCH("RUM",C2126)),"Rum",
 ISNUMBER(SEARCH("BRAND",C2126)),"Brandy",
 ISNUMBER(SEARCH("COGNAC",C2126)),"Brandy",
 ISNUMBER(SEARCH("LIQUEUR",C2126)),"Liqueurs",
 ISNUMBER(SEARCH("CORDIAL",C2126)),"Liqueurs",
 ISNUMBER(SEARCH("SCHNAPP",C2126)),"Liqueurs",
 ISNUMBER(SEARCH("GIN",C2126)),"Gin",
 TRUE,"Other")</f>
        <v>Gin</v>
      </c>
      <c r="E2126" s="5">
        <v>3107</v>
      </c>
      <c r="F2126" s="5">
        <v>82830.990000000034</v>
      </c>
      <c r="G2126" s="5"/>
      <c r="H2126" s="5">
        <v>416</v>
      </c>
    </row>
    <row r="2127" spans="1:8">
      <c r="A2127" s="5">
        <v>2023</v>
      </c>
      <c r="B2127" s="6">
        <v>45170</v>
      </c>
      <c r="C2127" s="5" t="s">
        <v>24</v>
      </c>
      <c r="D2127" s="3" t="str" cm="1">
        <f t="array" ref="D2127">_xlfn.IFS(
 ISNUMBER(SEARCH("WHISK",C2127)),"Whiskey",
 ISNUMBER(SEARCH("BOURBON",C2127)),"Whiskey",
 ISNUMBER(SEARCH("SCOTCH",C2127)),"Whiskey",
 ISNUMBER(SEARCH("RYE",C2127)),"Whiskey",
 ISNUMBER(SEARCH("VODKA",C2127)),"Vodka",
 ISNUMBER(SEARCH("TEQUILA",C2127)),"Tequila/Mezcal",
 ISNUMBER(SEARCH("MEZCAL",C2127)),"Tequila/Mezcal",
 ISNUMBER(SEARCH("RUM",C2127)),"Rum",
 ISNUMBER(SEARCH("BRAND",C2127)),"Brandy",
 ISNUMBER(SEARCH("COGNAC",C2127)),"Brandy",
 ISNUMBER(SEARCH("LIQUEUR",C2127)),"Liqueurs",
 ISNUMBER(SEARCH("CORDIAL",C2127)),"Liqueurs",
 ISNUMBER(SEARCH("SCHNAPP",C2127)),"Liqueurs",
 ISNUMBER(SEARCH("GIN",C2127)),"Gin",
 TRUE,"Other")</f>
        <v>Rum</v>
      </c>
      <c r="E2127" s="5">
        <v>37248</v>
      </c>
      <c r="F2127" s="5">
        <v>576378.29999999958</v>
      </c>
      <c r="G2127" s="5"/>
      <c r="H2127" s="5">
        <v>3936</v>
      </c>
    </row>
    <row r="2128" spans="1:8">
      <c r="A2128" s="5">
        <v>2023</v>
      </c>
      <c r="B2128" s="6">
        <v>45170</v>
      </c>
      <c r="C2128" s="5" t="s">
        <v>28</v>
      </c>
      <c r="D2128" s="3" t="str" cm="1">
        <f t="array" ref="D2128">_xlfn.IFS(
 ISNUMBER(SEARCH("WHISK",C2128)),"Whiskey",
 ISNUMBER(SEARCH("BOURBON",C2128)),"Whiskey",
 ISNUMBER(SEARCH("SCOTCH",C2128)),"Whiskey",
 ISNUMBER(SEARCH("RYE",C2128)),"Whiskey",
 ISNUMBER(SEARCH("VODKA",C2128)),"Vodka",
 ISNUMBER(SEARCH("TEQUILA",C2128)),"Tequila/Mezcal",
 ISNUMBER(SEARCH("MEZCAL",C2128)),"Tequila/Mezcal",
 ISNUMBER(SEARCH("RUM",C2128)),"Rum",
 ISNUMBER(SEARCH("BRAND",C2128)),"Brandy",
 ISNUMBER(SEARCH("COGNAC",C2128)),"Brandy",
 ISNUMBER(SEARCH("LIQUEUR",C2128)),"Liqueurs",
 ISNUMBER(SEARCH("CORDIAL",C2128)),"Liqueurs",
 ISNUMBER(SEARCH("SCHNAPP",C2128)),"Liqueurs",
 ISNUMBER(SEARCH("GIN",C2128)),"Gin",
 TRUE,"Other")</f>
        <v>Other</v>
      </c>
      <c r="E2128" s="5">
        <v>36173</v>
      </c>
      <c r="F2128" s="5">
        <v>275133.79000000021</v>
      </c>
      <c r="G2128" s="5"/>
      <c r="H2128" s="5">
        <v>558</v>
      </c>
    </row>
    <row r="2129" spans="1:8">
      <c r="A2129" s="5">
        <v>2023</v>
      </c>
      <c r="B2129" s="6">
        <v>45170</v>
      </c>
      <c r="C2129" s="5" t="s">
        <v>31</v>
      </c>
      <c r="D2129" s="3" t="str" cm="1">
        <f t="array" ref="D2129">_xlfn.IFS(
 ISNUMBER(SEARCH("WHISK",C2129)),"Whiskey",
 ISNUMBER(SEARCH("BOURBON",C2129)),"Whiskey",
 ISNUMBER(SEARCH("SCOTCH",C2129)),"Whiskey",
 ISNUMBER(SEARCH("RYE",C2129)),"Whiskey",
 ISNUMBER(SEARCH("VODKA",C2129)),"Vodka",
 ISNUMBER(SEARCH("TEQUILA",C2129)),"Tequila/Mezcal",
 ISNUMBER(SEARCH("MEZCAL",C2129)),"Tequila/Mezcal",
 ISNUMBER(SEARCH("RUM",C2129)),"Rum",
 ISNUMBER(SEARCH("BRAND",C2129)),"Brandy",
 ISNUMBER(SEARCH("COGNAC",C2129)),"Brandy",
 ISNUMBER(SEARCH("LIQUEUR",C2129)),"Liqueurs",
 ISNUMBER(SEARCH("CORDIAL",C2129)),"Liqueurs",
 ISNUMBER(SEARCH("SCHNAPP",C2129)),"Liqueurs",
 ISNUMBER(SEARCH("GIN",C2129)),"Gin",
 TRUE,"Other")</f>
        <v>Liqueurs</v>
      </c>
      <c r="E2129" s="5">
        <v>27257</v>
      </c>
      <c r="F2129" s="5">
        <v>478782.21999999922</v>
      </c>
      <c r="G2129" s="5"/>
      <c r="H2129" s="5">
        <v>2723</v>
      </c>
    </row>
    <row r="2130" spans="1:8">
      <c r="A2130" s="5">
        <v>2023</v>
      </c>
      <c r="B2130" s="6">
        <v>45170</v>
      </c>
      <c r="C2130" s="5" t="s">
        <v>45</v>
      </c>
      <c r="D2130" s="3" t="str" cm="1">
        <f t="array" ref="D2130">_xlfn.IFS(
 ISNUMBER(SEARCH("WHISK",C2130)),"Whiskey",
 ISNUMBER(SEARCH("BOURBON",C2130)),"Whiskey",
 ISNUMBER(SEARCH("SCOTCH",C2130)),"Whiskey",
 ISNUMBER(SEARCH("RYE",C2130)),"Whiskey",
 ISNUMBER(SEARCH("VODKA",C2130)),"Vodka",
 ISNUMBER(SEARCH("TEQUILA",C2130)),"Tequila/Mezcal",
 ISNUMBER(SEARCH("MEZCAL",C2130)),"Tequila/Mezcal",
 ISNUMBER(SEARCH("RUM",C2130)),"Rum",
 ISNUMBER(SEARCH("BRAND",C2130)),"Brandy",
 ISNUMBER(SEARCH("COGNAC",C2130)),"Brandy",
 ISNUMBER(SEARCH("LIQUEUR",C2130)),"Liqueurs",
 ISNUMBER(SEARCH("CORDIAL",C2130)),"Liqueurs",
 ISNUMBER(SEARCH("SCHNAPP",C2130)),"Liqueurs",
 ISNUMBER(SEARCH("GIN",C2130)),"Gin",
 TRUE,"Other")</f>
        <v>Other</v>
      </c>
      <c r="E2130" s="5">
        <v>44304</v>
      </c>
      <c r="F2130" s="5">
        <v>1224532.9999999737</v>
      </c>
      <c r="G2130" s="5"/>
      <c r="H2130" s="5">
        <v>6611</v>
      </c>
    </row>
    <row r="2131" spans="1:8">
      <c r="A2131" s="5">
        <v>2023</v>
      </c>
      <c r="B2131" s="6">
        <v>45170</v>
      </c>
      <c r="C2131" s="5" t="s">
        <v>13</v>
      </c>
      <c r="D2131" s="3" t="str" cm="1">
        <f t="array" ref="D2131">_xlfn.IFS(
 ISNUMBER(SEARCH("WHISK",C2131)),"Whiskey",
 ISNUMBER(SEARCH("BOURBON",C2131)),"Whiskey",
 ISNUMBER(SEARCH("SCOTCH",C2131)),"Whiskey",
 ISNUMBER(SEARCH("RYE",C2131)),"Whiskey",
 ISNUMBER(SEARCH("VODKA",C2131)),"Vodka",
 ISNUMBER(SEARCH("TEQUILA",C2131)),"Tequila/Mezcal",
 ISNUMBER(SEARCH("MEZCAL",C2131)),"Tequila/Mezcal",
 ISNUMBER(SEARCH("RUM",C2131)),"Rum",
 ISNUMBER(SEARCH("BRAND",C2131)),"Brandy",
 ISNUMBER(SEARCH("COGNAC",C2131)),"Brandy",
 ISNUMBER(SEARCH("LIQUEUR",C2131)),"Liqueurs",
 ISNUMBER(SEARCH("CORDIAL",C2131)),"Liqueurs",
 ISNUMBER(SEARCH("SCHNAPP",C2131)),"Liqueurs",
 ISNUMBER(SEARCH("GIN",C2131)),"Gin",
 TRUE,"Other")</f>
        <v>Liqueurs</v>
      </c>
      <c r="E2131" s="5">
        <v>71774</v>
      </c>
      <c r="F2131" s="5">
        <v>553718.51000001712</v>
      </c>
      <c r="G2131" s="5"/>
      <c r="H2131" s="5">
        <v>6218</v>
      </c>
    </row>
    <row r="2132" spans="1:8">
      <c r="A2132" s="5">
        <v>2023</v>
      </c>
      <c r="B2132" s="6">
        <v>45170</v>
      </c>
      <c r="C2132" s="5" t="s">
        <v>30</v>
      </c>
      <c r="D2132" s="3" t="str" cm="1">
        <f t="array" ref="D2132">_xlfn.IFS(
 ISNUMBER(SEARCH("WHISK",C2132)),"Whiskey",
 ISNUMBER(SEARCH("BOURBON",C2132)),"Whiskey",
 ISNUMBER(SEARCH("SCOTCH",C2132)),"Whiskey",
 ISNUMBER(SEARCH("RYE",C2132)),"Whiskey",
 ISNUMBER(SEARCH("VODKA",C2132)),"Vodka",
 ISNUMBER(SEARCH("TEQUILA",C2132)),"Tequila/Mezcal",
 ISNUMBER(SEARCH("MEZCAL",C2132)),"Tequila/Mezcal",
 ISNUMBER(SEARCH("RUM",C2132)),"Rum",
 ISNUMBER(SEARCH("BRAND",C2132)),"Brandy",
 ISNUMBER(SEARCH("COGNAC",C2132)),"Brandy",
 ISNUMBER(SEARCH("LIQUEUR",C2132)),"Liqueurs",
 ISNUMBER(SEARCH("CORDIAL",C2132)),"Liqueurs",
 ISNUMBER(SEARCH("SCHNAPP",C2132)),"Liqueurs",
 ISNUMBER(SEARCH("GIN",C2132)),"Gin",
 TRUE,"Other")</f>
        <v>Vodka</v>
      </c>
      <c r="E2132" s="5">
        <v>16638</v>
      </c>
      <c r="F2132" s="5">
        <v>284526.36000000243</v>
      </c>
      <c r="G2132" s="5"/>
      <c r="H2132" s="5">
        <v>2246</v>
      </c>
    </row>
    <row r="2133" spans="1:8">
      <c r="A2133" s="5">
        <v>2023</v>
      </c>
      <c r="B2133" s="6">
        <v>45170</v>
      </c>
      <c r="C2133" s="5" t="s">
        <v>7</v>
      </c>
      <c r="D2133" s="3" t="str" cm="1">
        <f t="array" ref="D2133">_xlfn.IFS(
 ISNUMBER(SEARCH("WHISK",C2133)),"Whiskey",
 ISNUMBER(SEARCH("BOURBON",C2133)),"Whiskey",
 ISNUMBER(SEARCH("SCOTCH",C2133)),"Whiskey",
 ISNUMBER(SEARCH("RYE",C2133)),"Whiskey",
 ISNUMBER(SEARCH("VODKA",C2133)),"Vodka",
 ISNUMBER(SEARCH("TEQUILA",C2133)),"Tequila/Mezcal",
 ISNUMBER(SEARCH("MEZCAL",C2133)),"Tequila/Mezcal",
 ISNUMBER(SEARCH("RUM",C2133)),"Rum",
 ISNUMBER(SEARCH("BRAND",C2133)),"Brandy",
 ISNUMBER(SEARCH("COGNAC",C2133)),"Brandy",
 ISNUMBER(SEARCH("LIQUEUR",C2133)),"Liqueurs",
 ISNUMBER(SEARCH("CORDIAL",C2133)),"Liqueurs",
 ISNUMBER(SEARCH("SCHNAPP",C2133)),"Liqueurs",
 ISNUMBER(SEARCH("GIN",C2133)),"Gin",
 TRUE,"Other")</f>
        <v>Rum</v>
      </c>
      <c r="E2133" s="5">
        <v>3085</v>
      </c>
      <c r="F2133" s="5">
        <v>67794.640000000029</v>
      </c>
      <c r="G2133" s="5"/>
      <c r="H2133" s="5">
        <v>529</v>
      </c>
    </row>
    <row r="2134" spans="1:8">
      <c r="A2134" s="5">
        <v>2023</v>
      </c>
      <c r="B2134" s="6">
        <v>45170</v>
      </c>
      <c r="C2134" s="5" t="s">
        <v>20</v>
      </c>
      <c r="D2134" s="3" t="str" cm="1">
        <f t="array" ref="D2134">_xlfn.IFS(
 ISNUMBER(SEARCH("WHISK",C2134)),"Whiskey",
 ISNUMBER(SEARCH("BOURBON",C2134)),"Whiskey",
 ISNUMBER(SEARCH("SCOTCH",C2134)),"Whiskey",
 ISNUMBER(SEARCH("RYE",C2134)),"Whiskey",
 ISNUMBER(SEARCH("VODKA",C2134)),"Vodka",
 ISNUMBER(SEARCH("TEQUILA",C2134)),"Tequila/Mezcal",
 ISNUMBER(SEARCH("MEZCAL",C2134)),"Tequila/Mezcal",
 ISNUMBER(SEARCH("RUM",C2134)),"Rum",
 ISNUMBER(SEARCH("BRAND",C2134)),"Brandy",
 ISNUMBER(SEARCH("COGNAC",C2134)),"Brandy",
 ISNUMBER(SEARCH("LIQUEUR",C2134)),"Liqueurs",
 ISNUMBER(SEARCH("CORDIAL",C2134)),"Liqueurs",
 ISNUMBER(SEARCH("SCHNAPP",C2134)),"Liqueurs",
 ISNUMBER(SEARCH("GIN",C2134)),"Gin",
 TRUE,"Other")</f>
        <v>Liqueurs</v>
      </c>
      <c r="E2134" s="5">
        <v>6619</v>
      </c>
      <c r="F2134" s="5">
        <v>140628.34000000043</v>
      </c>
      <c r="G2134" s="5"/>
      <c r="H2134" s="5">
        <v>769</v>
      </c>
    </row>
    <row r="2135" spans="1:8">
      <c r="A2135" s="5">
        <v>2023</v>
      </c>
      <c r="B2135" s="6">
        <v>45170</v>
      </c>
      <c r="C2135" s="5" t="s">
        <v>29</v>
      </c>
      <c r="D2135" s="3" t="str" cm="1">
        <f t="array" ref="D2135">_xlfn.IFS(
 ISNUMBER(SEARCH("WHISK",C2135)),"Whiskey",
 ISNUMBER(SEARCH("BOURBON",C2135)),"Whiskey",
 ISNUMBER(SEARCH("SCOTCH",C2135)),"Whiskey",
 ISNUMBER(SEARCH("RYE",C2135)),"Whiskey",
 ISNUMBER(SEARCH("VODKA",C2135)),"Vodka",
 ISNUMBER(SEARCH("TEQUILA",C2135)),"Tequila/Mezcal",
 ISNUMBER(SEARCH("MEZCAL",C2135)),"Tequila/Mezcal",
 ISNUMBER(SEARCH("RUM",C2135)),"Rum",
 ISNUMBER(SEARCH("BRAND",C2135)),"Brandy",
 ISNUMBER(SEARCH("COGNAC",C2135)),"Brandy",
 ISNUMBER(SEARCH("LIQUEUR",C2135)),"Liqueurs",
 ISNUMBER(SEARCH("CORDIAL",C2135)),"Liqueurs",
 ISNUMBER(SEARCH("SCHNAPP",C2135)),"Liqueurs",
 ISNUMBER(SEARCH("GIN",C2135)),"Gin",
 TRUE,"Other")</f>
        <v>Gin</v>
      </c>
      <c r="E2135" s="5">
        <v>16316</v>
      </c>
      <c r="F2135" s="5">
        <v>415385.39999999973</v>
      </c>
      <c r="G2135" s="5"/>
      <c r="H2135" s="5">
        <v>1931</v>
      </c>
    </row>
    <row r="2136" spans="1:8">
      <c r="A2136" s="5">
        <v>2023</v>
      </c>
      <c r="B2136" s="6">
        <v>45170</v>
      </c>
      <c r="C2136" s="5" t="s">
        <v>36</v>
      </c>
      <c r="D2136" s="3" t="str" cm="1">
        <f t="array" ref="D2136">_xlfn.IFS(
 ISNUMBER(SEARCH("WHISK",C2136)),"Whiskey",
 ISNUMBER(SEARCH("BOURBON",C2136)),"Whiskey",
 ISNUMBER(SEARCH("SCOTCH",C2136)),"Whiskey",
 ISNUMBER(SEARCH("RYE",C2136)),"Whiskey",
 ISNUMBER(SEARCH("VODKA",C2136)),"Vodka",
 ISNUMBER(SEARCH("TEQUILA",C2136)),"Tequila/Mezcal",
 ISNUMBER(SEARCH("MEZCAL",C2136)),"Tequila/Mezcal",
 ISNUMBER(SEARCH("RUM",C2136)),"Rum",
 ISNUMBER(SEARCH("BRAND",C2136)),"Brandy",
 ISNUMBER(SEARCH("COGNAC",C2136)),"Brandy",
 ISNUMBER(SEARCH("LIQUEUR",C2136)),"Liqueurs",
 ISNUMBER(SEARCH("CORDIAL",C2136)),"Liqueurs",
 ISNUMBER(SEARCH("SCHNAPP",C2136)),"Liqueurs",
 ISNUMBER(SEARCH("GIN",C2136)),"Gin",
 TRUE,"Other")</f>
        <v>Other</v>
      </c>
      <c r="E2136" s="5">
        <v>4275</v>
      </c>
      <c r="F2136" s="5">
        <v>59948.829999999965</v>
      </c>
      <c r="G2136" s="5"/>
      <c r="H2136" s="5">
        <v>444</v>
      </c>
    </row>
    <row r="2137" spans="1:8">
      <c r="A2137" s="5">
        <v>2023</v>
      </c>
      <c r="B2137" s="6">
        <v>45170</v>
      </c>
      <c r="C2137" s="5" t="s">
        <v>47</v>
      </c>
      <c r="D2137" s="3" t="str" cm="1">
        <f t="array" ref="D2137">_xlfn.IFS(
 ISNUMBER(SEARCH("WHISK",C2137)),"Whiskey",
 ISNUMBER(SEARCH("BOURBON",C2137)),"Whiskey",
 ISNUMBER(SEARCH("SCOTCH",C2137)),"Whiskey",
 ISNUMBER(SEARCH("RYE",C2137)),"Whiskey",
 ISNUMBER(SEARCH("VODKA",C2137)),"Vodka",
 ISNUMBER(SEARCH("TEQUILA",C2137)),"Tequila/Mezcal",
 ISNUMBER(SEARCH("MEZCAL",C2137)),"Tequila/Mezcal",
 ISNUMBER(SEARCH("RUM",C2137)),"Rum",
 ISNUMBER(SEARCH("BRAND",C2137)),"Brandy",
 ISNUMBER(SEARCH("COGNAC",C2137)),"Brandy",
 ISNUMBER(SEARCH("LIQUEUR",C2137)),"Liqueurs",
 ISNUMBER(SEARCH("CORDIAL",C2137)),"Liqueurs",
 ISNUMBER(SEARCH("SCHNAPP",C2137)),"Liqueurs",
 ISNUMBER(SEARCH("GIN",C2137)),"Gin",
 TRUE,"Other")</f>
        <v>Other</v>
      </c>
      <c r="E2137" s="5">
        <v>15271</v>
      </c>
      <c r="F2137" s="5">
        <v>63255.420000000049</v>
      </c>
      <c r="G2137" s="5"/>
      <c r="H2137" s="5">
        <v>646</v>
      </c>
    </row>
    <row r="2138" spans="1:8">
      <c r="A2138" s="5">
        <v>2023</v>
      </c>
      <c r="B2138" s="6">
        <v>45170</v>
      </c>
      <c r="C2138" s="5" t="s">
        <v>17</v>
      </c>
      <c r="D2138" s="3" t="str" cm="1">
        <f t="array" ref="D2138">_xlfn.IFS(
 ISNUMBER(SEARCH("WHISK",C2138)),"Whiskey",
 ISNUMBER(SEARCH("BOURBON",C2138)),"Whiskey",
 ISNUMBER(SEARCH("SCOTCH",C2138)),"Whiskey",
 ISNUMBER(SEARCH("RYE",C2138)),"Whiskey",
 ISNUMBER(SEARCH("VODKA",C2138)),"Vodka",
 ISNUMBER(SEARCH("TEQUILA",C2138)),"Tequila/Mezcal",
 ISNUMBER(SEARCH("MEZCAL",C2138)),"Tequila/Mezcal",
 ISNUMBER(SEARCH("RUM",C2138)),"Rum",
 ISNUMBER(SEARCH("BRAND",C2138)),"Brandy",
 ISNUMBER(SEARCH("COGNAC",C2138)),"Brandy",
 ISNUMBER(SEARCH("LIQUEUR",C2138)),"Liqueurs",
 ISNUMBER(SEARCH("CORDIAL",C2138)),"Liqueurs",
 ISNUMBER(SEARCH("SCHNAPP",C2138)),"Liqueurs",
 ISNUMBER(SEARCH("GIN",C2138)),"Gin",
 TRUE,"Other")</f>
        <v>Whiskey</v>
      </c>
      <c r="E2138" s="5">
        <v>3588</v>
      </c>
      <c r="F2138" s="5">
        <v>118458.73000000004</v>
      </c>
      <c r="G2138" s="5"/>
      <c r="H2138" s="5">
        <v>915</v>
      </c>
    </row>
    <row r="2139" spans="1:8">
      <c r="A2139" s="5">
        <v>2023</v>
      </c>
      <c r="B2139" s="6">
        <v>45170</v>
      </c>
      <c r="C2139" s="5" t="s">
        <v>25</v>
      </c>
      <c r="D2139" s="3" t="str" cm="1">
        <f t="array" ref="D2139">_xlfn.IFS(
 ISNUMBER(SEARCH("WHISK",C2139)),"Whiskey",
 ISNUMBER(SEARCH("BOURBON",C2139)),"Whiskey",
 ISNUMBER(SEARCH("SCOTCH",C2139)),"Whiskey",
 ISNUMBER(SEARCH("RYE",C2139)),"Whiskey",
 ISNUMBER(SEARCH("VODKA",C2139)),"Vodka",
 ISNUMBER(SEARCH("TEQUILA",C2139)),"Tequila/Mezcal",
 ISNUMBER(SEARCH("MEZCAL",C2139)),"Tequila/Mezcal",
 ISNUMBER(SEARCH("RUM",C2139)),"Rum",
 ISNUMBER(SEARCH("BRAND",C2139)),"Brandy",
 ISNUMBER(SEARCH("COGNAC",C2139)),"Brandy",
 ISNUMBER(SEARCH("LIQUEUR",C2139)),"Liqueurs",
 ISNUMBER(SEARCH("CORDIAL",C2139)),"Liqueurs",
 ISNUMBER(SEARCH("SCHNAPP",C2139)),"Liqueurs",
 ISNUMBER(SEARCH("GIN",C2139)),"Gin",
 TRUE,"Other")</f>
        <v>Rum</v>
      </c>
      <c r="E2139" s="5">
        <v>5576</v>
      </c>
      <c r="F2139" s="5">
        <v>74149.099999999788</v>
      </c>
      <c r="G2139" s="5"/>
      <c r="H2139" s="5">
        <v>821</v>
      </c>
    </row>
    <row r="2140" spans="1:8">
      <c r="A2140" s="5">
        <v>2023</v>
      </c>
      <c r="B2140" s="6">
        <v>45170</v>
      </c>
      <c r="C2140" s="5" t="s">
        <v>34</v>
      </c>
      <c r="D2140" s="3" t="str" cm="1">
        <f t="array" ref="D2140">_xlfn.IFS(
 ISNUMBER(SEARCH("WHISK",C2140)),"Whiskey",
 ISNUMBER(SEARCH("BOURBON",C2140)),"Whiskey",
 ISNUMBER(SEARCH("SCOTCH",C2140)),"Whiskey",
 ISNUMBER(SEARCH("RYE",C2140)),"Whiskey",
 ISNUMBER(SEARCH("VODKA",C2140)),"Vodka",
 ISNUMBER(SEARCH("TEQUILA",C2140)),"Tequila/Mezcal",
 ISNUMBER(SEARCH("MEZCAL",C2140)),"Tequila/Mezcal",
 ISNUMBER(SEARCH("RUM",C2140)),"Rum",
 ISNUMBER(SEARCH("BRAND",C2140)),"Brandy",
 ISNUMBER(SEARCH("COGNAC",C2140)),"Brandy",
 ISNUMBER(SEARCH("LIQUEUR",C2140)),"Liqueurs",
 ISNUMBER(SEARCH("CORDIAL",C2140)),"Liqueurs",
 ISNUMBER(SEARCH("SCHNAPP",C2140)),"Liqueurs",
 ISNUMBER(SEARCH("GIN",C2140)),"Gin",
 TRUE,"Other")</f>
        <v>Tequila/Mezcal</v>
      </c>
      <c r="E2140" s="5">
        <v>1280</v>
      </c>
      <c r="F2140" s="5">
        <v>45646.390000000029</v>
      </c>
      <c r="G2140" s="5"/>
      <c r="H2140" s="5">
        <v>215</v>
      </c>
    </row>
    <row r="2141" spans="1:8">
      <c r="A2141" s="5">
        <v>2023</v>
      </c>
      <c r="B2141" s="6">
        <v>45170</v>
      </c>
      <c r="C2141" s="5" t="s">
        <v>39</v>
      </c>
      <c r="D2141" s="3" t="str" cm="1">
        <f t="array" ref="D2141">_xlfn.IFS(
 ISNUMBER(SEARCH("WHISK",C2141)),"Whiskey",
 ISNUMBER(SEARCH("BOURBON",C2141)),"Whiskey",
 ISNUMBER(SEARCH("SCOTCH",C2141)),"Whiskey",
 ISNUMBER(SEARCH("RYE",C2141)),"Whiskey",
 ISNUMBER(SEARCH("VODKA",C2141)),"Vodka",
 ISNUMBER(SEARCH("TEQUILA",C2141)),"Tequila/Mezcal",
 ISNUMBER(SEARCH("MEZCAL",C2141)),"Tequila/Mezcal",
 ISNUMBER(SEARCH("RUM",C2141)),"Rum",
 ISNUMBER(SEARCH("BRAND",C2141)),"Brandy",
 ISNUMBER(SEARCH("COGNAC",C2141)),"Brandy",
 ISNUMBER(SEARCH("LIQUEUR",C2141)),"Liqueurs",
 ISNUMBER(SEARCH("CORDIAL",C2141)),"Liqueurs",
 ISNUMBER(SEARCH("SCHNAPP",C2141)),"Liqueurs",
 ISNUMBER(SEARCH("GIN",C2141)),"Gin",
 TRUE,"Other")</f>
        <v>Whiskey</v>
      </c>
      <c r="E2141" s="5">
        <v>6183</v>
      </c>
      <c r="F2141" s="5">
        <v>272528.32</v>
      </c>
      <c r="G2141" s="5"/>
      <c r="H2141" s="5">
        <v>760</v>
      </c>
    </row>
    <row r="2142" spans="1:8">
      <c r="A2142" s="5">
        <v>2023</v>
      </c>
      <c r="B2142" s="6">
        <v>45170</v>
      </c>
      <c r="C2142" s="5" t="s">
        <v>41</v>
      </c>
      <c r="D2142" s="3" t="str" cm="1">
        <f t="array" ref="D2142">_xlfn.IFS(
 ISNUMBER(SEARCH("WHISK",C2142)),"Whiskey",
 ISNUMBER(SEARCH("BOURBON",C2142)),"Whiskey",
 ISNUMBER(SEARCH("SCOTCH",C2142)),"Whiskey",
 ISNUMBER(SEARCH("RYE",C2142)),"Whiskey",
 ISNUMBER(SEARCH("VODKA",C2142)),"Vodka",
 ISNUMBER(SEARCH("TEQUILA",C2142)),"Tequila/Mezcal",
 ISNUMBER(SEARCH("MEZCAL",C2142)),"Tequila/Mezcal",
 ISNUMBER(SEARCH("RUM",C2142)),"Rum",
 ISNUMBER(SEARCH("BRAND",C2142)),"Brandy",
 ISNUMBER(SEARCH("COGNAC",C2142)),"Brandy",
 ISNUMBER(SEARCH("LIQUEUR",C2142)),"Liqueurs",
 ISNUMBER(SEARCH("CORDIAL",C2142)),"Liqueurs",
 ISNUMBER(SEARCH("SCHNAPP",C2142)),"Liqueurs",
 ISNUMBER(SEARCH("GIN",C2142)),"Gin",
 TRUE,"Other")</f>
        <v>Other</v>
      </c>
      <c r="E2142" s="5">
        <v>10797</v>
      </c>
      <c r="F2142" s="5">
        <v>129324.15000000001</v>
      </c>
      <c r="G2142" s="5"/>
      <c r="H2142" s="5">
        <v>202</v>
      </c>
    </row>
    <row r="2143" spans="1:8">
      <c r="A2143" s="5">
        <v>2023</v>
      </c>
      <c r="B2143" s="6">
        <v>45170</v>
      </c>
      <c r="C2143" s="5" t="s">
        <v>14</v>
      </c>
      <c r="D2143" s="3" t="str" cm="1">
        <f t="array" ref="D2143">_xlfn.IFS(
 ISNUMBER(SEARCH("WHISK",C2143)),"Whiskey",
 ISNUMBER(SEARCH("BOURBON",C2143)),"Whiskey",
 ISNUMBER(SEARCH("SCOTCH",C2143)),"Whiskey",
 ISNUMBER(SEARCH("RYE",C2143)),"Whiskey",
 ISNUMBER(SEARCH("VODKA",C2143)),"Vodka",
 ISNUMBER(SEARCH("TEQUILA",C2143)),"Tequila/Mezcal",
 ISNUMBER(SEARCH("MEZCAL",C2143)),"Tequila/Mezcal",
 ISNUMBER(SEARCH("RUM",C2143)),"Rum",
 ISNUMBER(SEARCH("BRAND",C2143)),"Brandy",
 ISNUMBER(SEARCH("COGNAC",C2143)),"Brandy",
 ISNUMBER(SEARCH("LIQUEUR",C2143)),"Liqueurs",
 ISNUMBER(SEARCH("CORDIAL",C2143)),"Liqueurs",
 ISNUMBER(SEARCH("SCHNAPP",C2143)),"Liqueurs",
 ISNUMBER(SEARCH("GIN",C2143)),"Gin",
 TRUE,"Other")</f>
        <v>Gin</v>
      </c>
      <c r="E2143" s="5">
        <v>207</v>
      </c>
      <c r="F2143" s="5">
        <v>1753.4599999999991</v>
      </c>
      <c r="G2143" s="5"/>
      <c r="H2143" s="5">
        <v>35</v>
      </c>
    </row>
    <row r="2144" spans="1:8">
      <c r="A2144" s="5">
        <v>2025</v>
      </c>
      <c r="B2144" s="6">
        <v>45839</v>
      </c>
      <c r="C2144" s="5" t="s">
        <v>12</v>
      </c>
      <c r="D2144" s="3" t="str" cm="1">
        <f t="array" ref="D2144">_xlfn.IFS(
 ISNUMBER(SEARCH("WHISK",C2144)),"Whiskey",
 ISNUMBER(SEARCH("BOURBON",C2144)),"Whiskey",
 ISNUMBER(SEARCH("SCOTCH",C2144)),"Whiskey",
 ISNUMBER(SEARCH("RYE",C2144)),"Whiskey",
 ISNUMBER(SEARCH("VODKA",C2144)),"Vodka",
 ISNUMBER(SEARCH("TEQUILA",C2144)),"Tequila/Mezcal",
 ISNUMBER(SEARCH("MEZCAL",C2144)),"Tequila/Mezcal",
 ISNUMBER(SEARCH("RUM",C2144)),"Rum",
 ISNUMBER(SEARCH("BRAND",C2144)),"Brandy",
 ISNUMBER(SEARCH("COGNAC",C2144)),"Brandy",
 ISNUMBER(SEARCH("LIQUEUR",C2144)),"Liqueurs",
 ISNUMBER(SEARCH("CORDIAL",C2144)),"Liqueurs",
 ISNUMBER(SEARCH("SCHNAPP",C2144)),"Liqueurs",
 ISNUMBER(SEARCH("GIN",C2144)),"Gin",
 TRUE,"Other")</f>
        <v>Vodka</v>
      </c>
      <c r="E2144" s="5">
        <v>84113</v>
      </c>
      <c r="F2144" s="5">
        <v>971232.61000004504</v>
      </c>
      <c r="G2144" s="5"/>
      <c r="H2144" s="5">
        <v>10209</v>
      </c>
    </row>
    <row r="2145" spans="1:8">
      <c r="A2145" s="5">
        <v>2025</v>
      </c>
      <c r="B2145" s="6">
        <v>45839</v>
      </c>
      <c r="C2145" s="5" t="s">
        <v>13</v>
      </c>
      <c r="D2145" s="3" t="str" cm="1">
        <f t="array" ref="D2145">_xlfn.IFS(
 ISNUMBER(SEARCH("WHISK",C2145)),"Whiskey",
 ISNUMBER(SEARCH("BOURBON",C2145)),"Whiskey",
 ISNUMBER(SEARCH("SCOTCH",C2145)),"Whiskey",
 ISNUMBER(SEARCH("RYE",C2145)),"Whiskey",
 ISNUMBER(SEARCH("VODKA",C2145)),"Vodka",
 ISNUMBER(SEARCH("TEQUILA",C2145)),"Tequila/Mezcal",
 ISNUMBER(SEARCH("MEZCAL",C2145)),"Tequila/Mezcal",
 ISNUMBER(SEARCH("RUM",C2145)),"Rum",
 ISNUMBER(SEARCH("BRAND",C2145)),"Brandy",
 ISNUMBER(SEARCH("COGNAC",C2145)),"Brandy",
 ISNUMBER(SEARCH("LIQUEUR",C2145)),"Liqueurs",
 ISNUMBER(SEARCH("CORDIAL",C2145)),"Liqueurs",
 ISNUMBER(SEARCH("SCHNAPP",C2145)),"Liqueurs",
 ISNUMBER(SEARCH("GIN",C2145)),"Gin",
 TRUE,"Other")</f>
        <v>Liqueurs</v>
      </c>
      <c r="E2145" s="5">
        <v>87989</v>
      </c>
      <c r="F2145" s="5">
        <v>662842.93999997107</v>
      </c>
      <c r="G2145" s="5"/>
      <c r="H2145" s="5">
        <v>7630</v>
      </c>
    </row>
    <row r="2146" spans="1:8">
      <c r="A2146" s="5">
        <v>2025</v>
      </c>
      <c r="B2146" s="6">
        <v>45839</v>
      </c>
      <c r="C2146" s="5" t="s">
        <v>15</v>
      </c>
      <c r="D2146" s="3" t="str" cm="1">
        <f t="array" ref="D2146">_xlfn.IFS(
 ISNUMBER(SEARCH("WHISK",C2146)),"Whiskey",
 ISNUMBER(SEARCH("BOURBON",C2146)),"Whiskey",
 ISNUMBER(SEARCH("SCOTCH",C2146)),"Whiskey",
 ISNUMBER(SEARCH("RYE",C2146)),"Whiskey",
 ISNUMBER(SEARCH("VODKA",C2146)),"Vodka",
 ISNUMBER(SEARCH("TEQUILA",C2146)),"Tequila/Mezcal",
 ISNUMBER(SEARCH("MEZCAL",C2146)),"Tequila/Mezcal",
 ISNUMBER(SEARCH("RUM",C2146)),"Rum",
 ISNUMBER(SEARCH("BRAND",C2146)),"Brandy",
 ISNUMBER(SEARCH("COGNAC",C2146)),"Brandy",
 ISNUMBER(SEARCH("LIQUEUR",C2146)),"Liqueurs",
 ISNUMBER(SEARCH("CORDIAL",C2146)),"Liqueurs",
 ISNUMBER(SEARCH("SCHNAPP",C2146)),"Liqueurs",
 ISNUMBER(SEARCH("GIN",C2146)),"Gin",
 TRUE,"Other")</f>
        <v>Vodka</v>
      </c>
      <c r="E2146" s="5">
        <v>556309</v>
      </c>
      <c r="F2146" s="5">
        <v>5686429.3500000583</v>
      </c>
      <c r="G2146" s="5"/>
      <c r="H2146" s="5">
        <v>33973</v>
      </c>
    </row>
    <row r="2147" spans="1:8">
      <c r="A2147" s="5">
        <v>2025</v>
      </c>
      <c r="B2147" s="6">
        <v>45839</v>
      </c>
      <c r="C2147" s="5" t="s">
        <v>16</v>
      </c>
      <c r="D2147" s="3" t="str" cm="1">
        <f t="array" ref="D2147">_xlfn.IFS(
 ISNUMBER(SEARCH("WHISK",C2147)),"Whiskey",
 ISNUMBER(SEARCH("BOURBON",C2147)),"Whiskey",
 ISNUMBER(SEARCH("SCOTCH",C2147)),"Whiskey",
 ISNUMBER(SEARCH("RYE",C2147)),"Whiskey",
 ISNUMBER(SEARCH("VODKA",C2147)),"Vodka",
 ISNUMBER(SEARCH("TEQUILA",C2147)),"Tequila/Mezcal",
 ISNUMBER(SEARCH("MEZCAL",C2147)),"Tequila/Mezcal",
 ISNUMBER(SEARCH("RUM",C2147)),"Rum",
 ISNUMBER(SEARCH("BRAND",C2147)),"Brandy",
 ISNUMBER(SEARCH("COGNAC",C2147)),"Brandy",
 ISNUMBER(SEARCH("LIQUEUR",C2147)),"Liqueurs",
 ISNUMBER(SEARCH("CORDIAL",C2147)),"Liqueurs",
 ISNUMBER(SEARCH("SCHNAPP",C2147)),"Liqueurs",
 ISNUMBER(SEARCH("GIN",C2147)),"Gin",
 TRUE,"Other")</f>
        <v>Whiskey</v>
      </c>
      <c r="E2147" s="5">
        <v>58206</v>
      </c>
      <c r="F2147" s="5">
        <v>892850.2599999886</v>
      </c>
      <c r="G2147" s="5"/>
      <c r="H2147" s="5">
        <v>6732</v>
      </c>
    </row>
    <row r="2148" spans="1:8">
      <c r="A2148" s="5">
        <v>2025</v>
      </c>
      <c r="B2148" s="6">
        <v>45839</v>
      </c>
      <c r="C2148" s="5" t="s">
        <v>18</v>
      </c>
      <c r="D2148" s="3" t="str" cm="1">
        <f t="array" ref="D2148">_xlfn.IFS(
 ISNUMBER(SEARCH("WHISK",C2148)),"Whiskey",
 ISNUMBER(SEARCH("BOURBON",C2148)),"Whiskey",
 ISNUMBER(SEARCH("SCOTCH",C2148)),"Whiskey",
 ISNUMBER(SEARCH("RYE",C2148)),"Whiskey",
 ISNUMBER(SEARCH("VODKA",C2148)),"Vodka",
 ISNUMBER(SEARCH("TEQUILA",C2148)),"Tequila/Mezcal",
 ISNUMBER(SEARCH("MEZCAL",C2148)),"Tequila/Mezcal",
 ISNUMBER(SEARCH("RUM",C2148)),"Rum",
 ISNUMBER(SEARCH("BRAND",C2148)),"Brandy",
 ISNUMBER(SEARCH("COGNAC",C2148)),"Brandy",
 ISNUMBER(SEARCH("LIQUEUR",C2148)),"Liqueurs",
 ISNUMBER(SEARCH("CORDIAL",C2148)),"Liqueurs",
 ISNUMBER(SEARCH("SCHNAPP",C2148)),"Liqueurs",
 ISNUMBER(SEARCH("GIN",C2148)),"Gin",
 TRUE,"Other")</f>
        <v>Whiskey</v>
      </c>
      <c r="E2148" s="5">
        <v>256938</v>
      </c>
      <c r="F2148" s="5">
        <v>4502230.5299998336</v>
      </c>
      <c r="G2148" s="5"/>
      <c r="H2148" s="5">
        <v>20014</v>
      </c>
    </row>
    <row r="2149" spans="1:8">
      <c r="A2149" s="5">
        <v>2025</v>
      </c>
      <c r="B2149" s="6">
        <v>45839</v>
      </c>
      <c r="C2149" s="5" t="s">
        <v>19</v>
      </c>
      <c r="D2149" s="3" t="str" cm="1">
        <f t="array" ref="D2149">_xlfn.IFS(
 ISNUMBER(SEARCH("WHISK",C2149)),"Whiskey",
 ISNUMBER(SEARCH("BOURBON",C2149)),"Whiskey",
 ISNUMBER(SEARCH("SCOTCH",C2149)),"Whiskey",
 ISNUMBER(SEARCH("RYE",C2149)),"Whiskey",
 ISNUMBER(SEARCH("VODKA",C2149)),"Vodka",
 ISNUMBER(SEARCH("TEQUILA",C2149)),"Tequila/Mezcal",
 ISNUMBER(SEARCH("MEZCAL",C2149)),"Tequila/Mezcal",
 ISNUMBER(SEARCH("RUM",C2149)),"Rum",
 ISNUMBER(SEARCH("BRAND",C2149)),"Brandy",
 ISNUMBER(SEARCH("COGNAC",C2149)),"Brandy",
 ISNUMBER(SEARCH("LIQUEUR",C2149)),"Liqueurs",
 ISNUMBER(SEARCH("CORDIAL",C2149)),"Liqueurs",
 ISNUMBER(SEARCH("SCHNAPP",C2149)),"Liqueurs",
 ISNUMBER(SEARCH("GIN",C2149)),"Gin",
 TRUE,"Other")</f>
        <v>Other</v>
      </c>
      <c r="E2149" s="5">
        <v>66361</v>
      </c>
      <c r="F2149" s="5">
        <v>797364.75999999582</v>
      </c>
      <c r="G2149" s="5"/>
      <c r="H2149" s="5">
        <v>7764</v>
      </c>
    </row>
    <row r="2150" spans="1:8">
      <c r="A2150" s="5">
        <v>2025</v>
      </c>
      <c r="B2150" s="6">
        <v>45839</v>
      </c>
      <c r="C2150" s="5" t="s">
        <v>22</v>
      </c>
      <c r="D2150" s="3" t="str" cm="1">
        <f t="array" ref="D2150">_xlfn.IFS(
 ISNUMBER(SEARCH("WHISK",C2150)),"Whiskey",
 ISNUMBER(SEARCH("BOURBON",C2150)),"Whiskey",
 ISNUMBER(SEARCH("SCOTCH",C2150)),"Whiskey",
 ISNUMBER(SEARCH("RYE",C2150)),"Whiskey",
 ISNUMBER(SEARCH("VODKA",C2150)),"Vodka",
 ISNUMBER(SEARCH("TEQUILA",C2150)),"Tequila/Mezcal",
 ISNUMBER(SEARCH("MEZCAL",C2150)),"Tequila/Mezcal",
 ISNUMBER(SEARCH("RUM",C2150)),"Rum",
 ISNUMBER(SEARCH("BRAND",C2150)),"Brandy",
 ISNUMBER(SEARCH("COGNAC",C2150)),"Brandy",
 ISNUMBER(SEARCH("LIQUEUR",C2150)),"Liqueurs",
 ISNUMBER(SEARCH("CORDIAL",C2150)),"Liqueurs",
 ISNUMBER(SEARCH("SCHNAPP",C2150)),"Liqueurs",
 ISNUMBER(SEARCH("GIN",C2150)),"Gin",
 TRUE,"Other")</f>
        <v>Liqueurs</v>
      </c>
      <c r="E2150" s="5">
        <v>20010</v>
      </c>
      <c r="F2150" s="5">
        <v>396936.05999999709</v>
      </c>
      <c r="G2150" s="5"/>
      <c r="H2150" s="5">
        <v>2905</v>
      </c>
    </row>
    <row r="2151" spans="1:8">
      <c r="A2151" s="5">
        <v>2025</v>
      </c>
      <c r="B2151" s="6">
        <v>45839</v>
      </c>
      <c r="C2151" s="5" t="s">
        <v>23</v>
      </c>
      <c r="D2151" s="3" t="str" cm="1">
        <f t="array" ref="D2151">_xlfn.IFS(
 ISNUMBER(SEARCH("WHISK",C2151)),"Whiskey",
 ISNUMBER(SEARCH("BOURBON",C2151)),"Whiskey",
 ISNUMBER(SEARCH("SCOTCH",C2151)),"Whiskey",
 ISNUMBER(SEARCH("RYE",C2151)),"Whiskey",
 ISNUMBER(SEARCH("VODKA",C2151)),"Vodka",
 ISNUMBER(SEARCH("TEQUILA",C2151)),"Tequila/Mezcal",
 ISNUMBER(SEARCH("MEZCAL",C2151)),"Tequila/Mezcal",
 ISNUMBER(SEARCH("RUM",C2151)),"Rum",
 ISNUMBER(SEARCH("BRAND",C2151)),"Brandy",
 ISNUMBER(SEARCH("COGNAC",C2151)),"Brandy",
 ISNUMBER(SEARCH("LIQUEUR",C2151)),"Liqueurs",
 ISNUMBER(SEARCH("CORDIAL",C2151)),"Liqueurs",
 ISNUMBER(SEARCH("SCHNAPP",C2151)),"Liqueurs",
 ISNUMBER(SEARCH("GIN",C2151)),"Gin",
 TRUE,"Other")</f>
        <v>Gin</v>
      </c>
      <c r="E2151" s="5">
        <v>4753</v>
      </c>
      <c r="F2151" s="5">
        <v>120885.94000000005</v>
      </c>
      <c r="G2151" s="5"/>
      <c r="H2151" s="5">
        <v>508</v>
      </c>
    </row>
    <row r="2152" spans="1:8">
      <c r="A2152" s="5">
        <v>2025</v>
      </c>
      <c r="B2152" s="6">
        <v>45839</v>
      </c>
      <c r="C2152" s="5" t="s">
        <v>25</v>
      </c>
      <c r="D2152" s="3" t="str" cm="1">
        <f t="array" ref="D2152">_xlfn.IFS(
 ISNUMBER(SEARCH("WHISK",C2152)),"Whiskey",
 ISNUMBER(SEARCH("BOURBON",C2152)),"Whiskey",
 ISNUMBER(SEARCH("SCOTCH",C2152)),"Whiskey",
 ISNUMBER(SEARCH("RYE",C2152)),"Whiskey",
 ISNUMBER(SEARCH("VODKA",C2152)),"Vodka",
 ISNUMBER(SEARCH("TEQUILA",C2152)),"Tequila/Mezcal",
 ISNUMBER(SEARCH("MEZCAL",C2152)),"Tequila/Mezcal",
 ISNUMBER(SEARCH("RUM",C2152)),"Rum",
 ISNUMBER(SEARCH("BRAND",C2152)),"Brandy",
 ISNUMBER(SEARCH("COGNAC",C2152)),"Brandy",
 ISNUMBER(SEARCH("LIQUEUR",C2152)),"Liqueurs",
 ISNUMBER(SEARCH("CORDIAL",C2152)),"Liqueurs",
 ISNUMBER(SEARCH("SCHNAPP",C2152)),"Liqueurs",
 ISNUMBER(SEARCH("GIN",C2152)),"Gin",
 TRUE,"Other")</f>
        <v>Rum</v>
      </c>
      <c r="E2152" s="5">
        <v>5754</v>
      </c>
      <c r="F2152" s="5">
        <v>79145.260000000009</v>
      </c>
      <c r="G2152" s="5"/>
      <c r="H2152" s="5">
        <v>826</v>
      </c>
    </row>
    <row r="2153" spans="1:8">
      <c r="A2153" s="5">
        <v>2025</v>
      </c>
      <c r="B2153" s="6">
        <v>45839</v>
      </c>
      <c r="C2153" s="5" t="s">
        <v>31</v>
      </c>
      <c r="D2153" s="3" t="str" cm="1">
        <f t="array" ref="D2153">_xlfn.IFS(
 ISNUMBER(SEARCH("WHISK",C2153)),"Whiskey",
 ISNUMBER(SEARCH("BOURBON",C2153)),"Whiskey",
 ISNUMBER(SEARCH("SCOTCH",C2153)),"Whiskey",
 ISNUMBER(SEARCH("RYE",C2153)),"Whiskey",
 ISNUMBER(SEARCH("VODKA",C2153)),"Vodka",
 ISNUMBER(SEARCH("TEQUILA",C2153)),"Tequila/Mezcal",
 ISNUMBER(SEARCH("MEZCAL",C2153)),"Tequila/Mezcal",
 ISNUMBER(SEARCH("RUM",C2153)),"Rum",
 ISNUMBER(SEARCH("BRAND",C2153)),"Brandy",
 ISNUMBER(SEARCH("COGNAC",C2153)),"Brandy",
 ISNUMBER(SEARCH("LIQUEUR",C2153)),"Liqueurs",
 ISNUMBER(SEARCH("CORDIAL",C2153)),"Liqueurs",
 ISNUMBER(SEARCH("SCHNAPP",C2153)),"Liqueurs",
 ISNUMBER(SEARCH("GIN",C2153)),"Gin",
 TRUE,"Other")</f>
        <v>Liqueurs</v>
      </c>
      <c r="E2153" s="5">
        <v>26446</v>
      </c>
      <c r="F2153" s="5">
        <v>479266.94000000146</v>
      </c>
      <c r="G2153" s="5"/>
      <c r="H2153" s="5">
        <v>2651</v>
      </c>
    </row>
    <row r="2154" spans="1:8">
      <c r="A2154" s="5">
        <v>2025</v>
      </c>
      <c r="B2154" s="6">
        <v>45839</v>
      </c>
      <c r="C2154" s="5" t="s">
        <v>32</v>
      </c>
      <c r="D2154" s="3" t="str" cm="1">
        <f t="array" ref="D2154">_xlfn.IFS(
 ISNUMBER(SEARCH("WHISK",C2154)),"Whiskey",
 ISNUMBER(SEARCH("BOURBON",C2154)),"Whiskey",
 ISNUMBER(SEARCH("SCOTCH",C2154)),"Whiskey",
 ISNUMBER(SEARCH("RYE",C2154)),"Whiskey",
 ISNUMBER(SEARCH("VODKA",C2154)),"Vodka",
 ISNUMBER(SEARCH("TEQUILA",C2154)),"Tequila/Mezcal",
 ISNUMBER(SEARCH("MEZCAL",C2154)),"Tequila/Mezcal",
 ISNUMBER(SEARCH("RUM",C2154)),"Rum",
 ISNUMBER(SEARCH("BRAND",C2154)),"Brandy",
 ISNUMBER(SEARCH("COGNAC",C2154)),"Brandy",
 ISNUMBER(SEARCH("LIQUEUR",C2154)),"Liqueurs",
 ISNUMBER(SEARCH("CORDIAL",C2154)),"Liqueurs",
 ISNUMBER(SEARCH("SCHNAPP",C2154)),"Liqueurs",
 ISNUMBER(SEARCH("GIN",C2154)),"Gin",
 TRUE,"Other")</f>
        <v>Vodka</v>
      </c>
      <c r="E2154" s="5">
        <v>67856</v>
      </c>
      <c r="F2154" s="5">
        <v>1101654.4599999709</v>
      </c>
      <c r="G2154" s="5"/>
      <c r="H2154" s="5">
        <v>5027</v>
      </c>
    </row>
    <row r="2155" spans="1:8">
      <c r="A2155" s="5">
        <v>2025</v>
      </c>
      <c r="B2155" s="6">
        <v>45839</v>
      </c>
      <c r="C2155" s="5" t="s">
        <v>35</v>
      </c>
      <c r="D2155" s="3" t="str" cm="1">
        <f t="array" ref="D2155">_xlfn.IFS(
 ISNUMBER(SEARCH("WHISK",C2155)),"Whiskey",
 ISNUMBER(SEARCH("BOURBON",C2155)),"Whiskey",
 ISNUMBER(SEARCH("SCOTCH",C2155)),"Whiskey",
 ISNUMBER(SEARCH("RYE",C2155)),"Whiskey",
 ISNUMBER(SEARCH("VODKA",C2155)),"Vodka",
 ISNUMBER(SEARCH("TEQUILA",C2155)),"Tequila/Mezcal",
 ISNUMBER(SEARCH("MEZCAL",C2155)),"Tequila/Mezcal",
 ISNUMBER(SEARCH("RUM",C2155)),"Rum",
 ISNUMBER(SEARCH("BRAND",C2155)),"Brandy",
 ISNUMBER(SEARCH("COGNAC",C2155)),"Brandy",
 ISNUMBER(SEARCH("LIQUEUR",C2155)),"Liqueurs",
 ISNUMBER(SEARCH("CORDIAL",C2155)),"Liqueurs",
 ISNUMBER(SEARCH("SCHNAPP",C2155)),"Liqueurs",
 ISNUMBER(SEARCH("GIN",C2155)),"Gin",
 TRUE,"Other")</f>
        <v>Tequila/Mezcal</v>
      </c>
      <c r="E2155" s="5">
        <v>68281</v>
      </c>
      <c r="F2155" s="5">
        <v>963944.67999999144</v>
      </c>
      <c r="G2155" s="5"/>
      <c r="H2155" s="5">
        <v>4816</v>
      </c>
    </row>
    <row r="2156" spans="1:8">
      <c r="A2156" s="5">
        <v>2025</v>
      </c>
      <c r="B2156" s="6">
        <v>45839</v>
      </c>
      <c r="C2156" s="5" t="s">
        <v>38</v>
      </c>
      <c r="D2156" s="3" t="str" cm="1">
        <f t="array" ref="D2156">_xlfn.IFS(
 ISNUMBER(SEARCH("WHISK",C2156)),"Whiskey",
 ISNUMBER(SEARCH("BOURBON",C2156)),"Whiskey",
 ISNUMBER(SEARCH("SCOTCH",C2156)),"Whiskey",
 ISNUMBER(SEARCH("RYE",C2156)),"Whiskey",
 ISNUMBER(SEARCH("VODKA",C2156)),"Vodka",
 ISNUMBER(SEARCH("TEQUILA",C2156)),"Tequila/Mezcal",
 ISNUMBER(SEARCH("MEZCAL",C2156)),"Tequila/Mezcal",
 ISNUMBER(SEARCH("RUM",C2156)),"Rum",
 ISNUMBER(SEARCH("BRAND",C2156)),"Brandy",
 ISNUMBER(SEARCH("COGNAC",C2156)),"Brandy",
 ISNUMBER(SEARCH("LIQUEUR",C2156)),"Liqueurs",
 ISNUMBER(SEARCH("CORDIAL",C2156)),"Liqueurs",
 ISNUMBER(SEARCH("SCHNAPP",C2156)),"Liqueurs",
 ISNUMBER(SEARCH("GIN",C2156)),"Gin",
 TRUE,"Other")</f>
        <v>Whiskey</v>
      </c>
      <c r="E2156" s="5">
        <v>12629</v>
      </c>
      <c r="F2156" s="5">
        <v>346406.16999999981</v>
      </c>
      <c r="G2156" s="5"/>
      <c r="H2156" s="5">
        <v>2285</v>
      </c>
    </row>
    <row r="2157" spans="1:8">
      <c r="A2157" s="5">
        <v>2025</v>
      </c>
      <c r="B2157" s="6">
        <v>45839</v>
      </c>
      <c r="C2157" s="5" t="s">
        <v>40</v>
      </c>
      <c r="D2157" s="3" t="str" cm="1">
        <f t="array" ref="D2157">_xlfn.IFS(
 ISNUMBER(SEARCH("WHISK",C2157)),"Whiskey",
 ISNUMBER(SEARCH("BOURBON",C2157)),"Whiskey",
 ISNUMBER(SEARCH("SCOTCH",C2157)),"Whiskey",
 ISNUMBER(SEARCH("RYE",C2157)),"Whiskey",
 ISNUMBER(SEARCH("VODKA",C2157)),"Vodka",
 ISNUMBER(SEARCH("TEQUILA",C2157)),"Tequila/Mezcal",
 ISNUMBER(SEARCH("MEZCAL",C2157)),"Tequila/Mezcal",
 ISNUMBER(SEARCH("RUM",C2157)),"Rum",
 ISNUMBER(SEARCH("BRAND",C2157)),"Brandy",
 ISNUMBER(SEARCH("COGNAC",C2157)),"Brandy",
 ISNUMBER(SEARCH("LIQUEUR",C2157)),"Liqueurs",
 ISNUMBER(SEARCH("CORDIAL",C2157)),"Liqueurs",
 ISNUMBER(SEARCH("SCHNAPP",C2157)),"Liqueurs",
 ISNUMBER(SEARCH("GIN",C2157)),"Gin",
 TRUE,"Other")</f>
        <v>Whiskey</v>
      </c>
      <c r="E2157" s="5">
        <v>4072</v>
      </c>
      <c r="F2157" s="5">
        <v>234623.70000000051</v>
      </c>
      <c r="G2157" s="5"/>
      <c r="H2157" s="5">
        <v>1139</v>
      </c>
    </row>
    <row r="2158" spans="1:8">
      <c r="A2158" s="5">
        <v>2025</v>
      </c>
      <c r="B2158" s="6">
        <v>45839</v>
      </c>
      <c r="C2158" s="5" t="s">
        <v>42</v>
      </c>
      <c r="D2158" s="3" t="str" cm="1">
        <f t="array" ref="D2158">_xlfn.IFS(
 ISNUMBER(SEARCH("WHISK",C2158)),"Whiskey",
 ISNUMBER(SEARCH("BOURBON",C2158)),"Whiskey",
 ISNUMBER(SEARCH("SCOTCH",C2158)),"Whiskey",
 ISNUMBER(SEARCH("RYE",C2158)),"Whiskey",
 ISNUMBER(SEARCH("VODKA",C2158)),"Vodka",
 ISNUMBER(SEARCH("TEQUILA",C2158)),"Tequila/Mezcal",
 ISNUMBER(SEARCH("MEZCAL",C2158)),"Tequila/Mezcal",
 ISNUMBER(SEARCH("RUM",C2158)),"Rum",
 ISNUMBER(SEARCH("BRAND",C2158)),"Brandy",
 ISNUMBER(SEARCH("COGNAC",C2158)),"Brandy",
 ISNUMBER(SEARCH("LIQUEUR",C2158)),"Liqueurs",
 ISNUMBER(SEARCH("CORDIAL",C2158)),"Liqueurs",
 ISNUMBER(SEARCH("SCHNAPP",C2158)),"Liqueurs",
 ISNUMBER(SEARCH("GIN",C2158)),"Gin",
 TRUE,"Other")</f>
        <v>Rum</v>
      </c>
      <c r="E2158" s="5">
        <v>108726</v>
      </c>
      <c r="F2158" s="5">
        <v>1679737.6199998874</v>
      </c>
      <c r="G2158" s="5"/>
      <c r="H2158" s="5">
        <v>7358</v>
      </c>
    </row>
    <row r="2159" spans="1:8">
      <c r="A2159" s="5">
        <v>2025</v>
      </c>
      <c r="B2159" s="6">
        <v>45839</v>
      </c>
      <c r="C2159" s="5" t="s">
        <v>43</v>
      </c>
      <c r="D2159" s="3" t="str" cm="1">
        <f t="array" ref="D2159">_xlfn.IFS(
 ISNUMBER(SEARCH("WHISK",C2159)),"Whiskey",
 ISNUMBER(SEARCH("BOURBON",C2159)),"Whiskey",
 ISNUMBER(SEARCH("SCOTCH",C2159)),"Whiskey",
 ISNUMBER(SEARCH("RYE",C2159)),"Whiskey",
 ISNUMBER(SEARCH("VODKA",C2159)),"Vodka",
 ISNUMBER(SEARCH("TEQUILA",C2159)),"Tequila/Mezcal",
 ISNUMBER(SEARCH("MEZCAL",C2159)),"Tequila/Mezcal",
 ISNUMBER(SEARCH("RUM",C2159)),"Rum",
 ISNUMBER(SEARCH("BRAND",C2159)),"Brandy",
 ISNUMBER(SEARCH("COGNAC",C2159)),"Brandy",
 ISNUMBER(SEARCH("LIQUEUR",C2159)),"Liqueurs",
 ISNUMBER(SEARCH("CORDIAL",C2159)),"Liqueurs",
 ISNUMBER(SEARCH("SCHNAPP",C2159)),"Liqueurs",
 ISNUMBER(SEARCH("GIN",C2159)),"Gin",
 TRUE,"Other")</f>
        <v>Whiskey</v>
      </c>
      <c r="E2159" s="5">
        <v>135058</v>
      </c>
      <c r="F2159" s="5">
        <v>3128485.3000000231</v>
      </c>
      <c r="G2159" s="5"/>
      <c r="H2159" s="5">
        <v>15943</v>
      </c>
    </row>
    <row r="2160" spans="1:8">
      <c r="A2160" s="5">
        <v>2025</v>
      </c>
      <c r="B2160" s="6">
        <v>45839</v>
      </c>
      <c r="C2160" s="5" t="s">
        <v>45</v>
      </c>
      <c r="D2160" s="3" t="str" cm="1">
        <f t="array" ref="D2160">_xlfn.IFS(
 ISNUMBER(SEARCH("WHISK",C2160)),"Whiskey",
 ISNUMBER(SEARCH("BOURBON",C2160)),"Whiskey",
 ISNUMBER(SEARCH("SCOTCH",C2160)),"Whiskey",
 ISNUMBER(SEARCH("RYE",C2160)),"Whiskey",
 ISNUMBER(SEARCH("VODKA",C2160)),"Vodka",
 ISNUMBER(SEARCH("TEQUILA",C2160)),"Tequila/Mezcal",
 ISNUMBER(SEARCH("MEZCAL",C2160)),"Tequila/Mezcal",
 ISNUMBER(SEARCH("RUM",C2160)),"Rum",
 ISNUMBER(SEARCH("BRAND",C2160)),"Brandy",
 ISNUMBER(SEARCH("COGNAC",C2160)),"Brandy",
 ISNUMBER(SEARCH("LIQUEUR",C2160)),"Liqueurs",
 ISNUMBER(SEARCH("CORDIAL",C2160)),"Liqueurs",
 ISNUMBER(SEARCH("SCHNAPP",C2160)),"Liqueurs",
 ISNUMBER(SEARCH("GIN",C2160)),"Gin",
 TRUE,"Other")</f>
        <v>Other</v>
      </c>
      <c r="E2160" s="5">
        <v>26942</v>
      </c>
      <c r="F2160" s="5">
        <v>827300.77999999817</v>
      </c>
      <c r="G2160" s="5"/>
      <c r="H2160" s="5">
        <v>3752</v>
      </c>
    </row>
    <row r="2161" spans="1:8">
      <c r="A2161" s="5">
        <v>2025</v>
      </c>
      <c r="B2161" s="6">
        <v>45839</v>
      </c>
      <c r="C2161" s="5" t="s">
        <v>46</v>
      </c>
      <c r="D2161" s="3" t="str" cm="1">
        <f t="array" ref="D2161">_xlfn.IFS(
 ISNUMBER(SEARCH("WHISK",C2161)),"Whiskey",
 ISNUMBER(SEARCH("BOURBON",C2161)),"Whiskey",
 ISNUMBER(SEARCH("SCOTCH",C2161)),"Whiskey",
 ISNUMBER(SEARCH("RYE",C2161)),"Whiskey",
 ISNUMBER(SEARCH("VODKA",C2161)),"Vodka",
 ISNUMBER(SEARCH("TEQUILA",C2161)),"Tequila/Mezcal",
 ISNUMBER(SEARCH("MEZCAL",C2161)),"Tequila/Mezcal",
 ISNUMBER(SEARCH("RUM",C2161)),"Rum",
 ISNUMBER(SEARCH("BRAND",C2161)),"Brandy",
 ISNUMBER(SEARCH("COGNAC",C2161)),"Brandy",
 ISNUMBER(SEARCH("LIQUEUR",C2161)),"Liqueurs",
 ISNUMBER(SEARCH("CORDIAL",C2161)),"Liqueurs",
 ISNUMBER(SEARCH("SCHNAPP",C2161)),"Liqueurs",
 ISNUMBER(SEARCH("GIN",C2161)),"Gin",
 TRUE,"Other")</f>
        <v>Whiskey</v>
      </c>
      <c r="E2161" s="5">
        <v>64572</v>
      </c>
      <c r="F2161" s="5">
        <v>1556614.9099999962</v>
      </c>
      <c r="G2161" s="5"/>
      <c r="H2161" s="5">
        <v>6198</v>
      </c>
    </row>
    <row r="2162" spans="1:8">
      <c r="A2162" s="5">
        <v>2025</v>
      </c>
      <c r="B2162" s="6">
        <v>45839</v>
      </c>
      <c r="C2162" s="5" t="s">
        <v>47</v>
      </c>
      <c r="D2162" s="3" t="str" cm="1">
        <f t="array" ref="D2162">_xlfn.IFS(
 ISNUMBER(SEARCH("WHISK",C2162)),"Whiskey",
 ISNUMBER(SEARCH("BOURBON",C2162)),"Whiskey",
 ISNUMBER(SEARCH("SCOTCH",C2162)),"Whiskey",
 ISNUMBER(SEARCH("RYE",C2162)),"Whiskey",
 ISNUMBER(SEARCH("VODKA",C2162)),"Vodka",
 ISNUMBER(SEARCH("TEQUILA",C2162)),"Tequila/Mezcal",
 ISNUMBER(SEARCH("MEZCAL",C2162)),"Tequila/Mezcal",
 ISNUMBER(SEARCH("RUM",C2162)),"Rum",
 ISNUMBER(SEARCH("BRAND",C2162)),"Brandy",
 ISNUMBER(SEARCH("COGNAC",C2162)),"Brandy",
 ISNUMBER(SEARCH("LIQUEUR",C2162)),"Liqueurs",
 ISNUMBER(SEARCH("CORDIAL",C2162)),"Liqueurs",
 ISNUMBER(SEARCH("SCHNAPP",C2162)),"Liqueurs",
 ISNUMBER(SEARCH("GIN",C2162)),"Gin",
 TRUE,"Other")</f>
        <v>Other</v>
      </c>
      <c r="E2162" s="5">
        <v>17622</v>
      </c>
      <c r="F2162" s="5">
        <v>72254.450000000012</v>
      </c>
      <c r="G2162" s="5"/>
      <c r="H2162" s="5">
        <v>785</v>
      </c>
    </row>
    <row r="2163" spans="1:8">
      <c r="A2163" s="5">
        <v>2025</v>
      </c>
      <c r="B2163" s="6">
        <v>45839</v>
      </c>
      <c r="C2163" s="5" t="s">
        <v>48</v>
      </c>
      <c r="D2163" s="3" t="str" cm="1">
        <f t="array" ref="D2163">_xlfn.IFS(
 ISNUMBER(SEARCH("WHISK",C2163)),"Whiskey",
 ISNUMBER(SEARCH("BOURBON",C2163)),"Whiskey",
 ISNUMBER(SEARCH("SCOTCH",C2163)),"Whiskey",
 ISNUMBER(SEARCH("RYE",C2163)),"Whiskey",
 ISNUMBER(SEARCH("VODKA",C2163)),"Vodka",
 ISNUMBER(SEARCH("TEQUILA",C2163)),"Tequila/Mezcal",
 ISNUMBER(SEARCH("MEZCAL",C2163)),"Tequila/Mezcal",
 ISNUMBER(SEARCH("RUM",C2163)),"Rum",
 ISNUMBER(SEARCH("BRAND",C2163)),"Brandy",
 ISNUMBER(SEARCH("COGNAC",C2163)),"Brandy",
 ISNUMBER(SEARCH("LIQUEUR",C2163)),"Liqueurs",
 ISNUMBER(SEARCH("CORDIAL",C2163)),"Liqueurs",
 ISNUMBER(SEARCH("SCHNAPP",C2163)),"Liqueurs",
 ISNUMBER(SEARCH("GIN",C2163)),"Gin",
 TRUE,"Other")</f>
        <v>Whiskey</v>
      </c>
      <c r="E2163" s="5">
        <v>346352</v>
      </c>
      <c r="F2163" s="5">
        <v>2027401.6599999557</v>
      </c>
      <c r="G2163" s="5"/>
      <c r="H2163" s="5">
        <v>12746</v>
      </c>
    </row>
    <row r="2164" spans="1:8">
      <c r="A2164" s="5">
        <v>2025</v>
      </c>
      <c r="B2164" s="6">
        <v>45839</v>
      </c>
      <c r="C2164" s="5" t="s">
        <v>9</v>
      </c>
      <c r="D2164" s="3" t="str" cm="1">
        <f t="array" ref="D2164">_xlfn.IFS(
 ISNUMBER(SEARCH("WHISK",C2164)),"Whiskey",
 ISNUMBER(SEARCH("BOURBON",C2164)),"Whiskey",
 ISNUMBER(SEARCH("SCOTCH",C2164)),"Whiskey",
 ISNUMBER(SEARCH("RYE",C2164)),"Whiskey",
 ISNUMBER(SEARCH("VODKA",C2164)),"Vodka",
 ISNUMBER(SEARCH("TEQUILA",C2164)),"Tequila/Mezcal",
 ISNUMBER(SEARCH("MEZCAL",C2164)),"Tequila/Mezcal",
 ISNUMBER(SEARCH("RUM",C2164)),"Rum",
 ISNUMBER(SEARCH("BRAND",C2164)),"Brandy",
 ISNUMBER(SEARCH("COGNAC",C2164)),"Brandy",
 ISNUMBER(SEARCH("LIQUEUR",C2164)),"Liqueurs",
 ISNUMBER(SEARCH("CORDIAL",C2164)),"Liqueurs",
 ISNUMBER(SEARCH("SCHNAPP",C2164)),"Liqueurs",
 ISNUMBER(SEARCH("GIN",C2164)),"Gin",
 TRUE,"Other")</f>
        <v>Liqueurs</v>
      </c>
      <c r="E2164" s="5">
        <v>31819</v>
      </c>
      <c r="F2164" s="5">
        <v>381435.56000000029</v>
      </c>
      <c r="G2164" s="5"/>
      <c r="H2164" s="5">
        <v>5288</v>
      </c>
    </row>
    <row r="2165" spans="1:8">
      <c r="A2165" s="5">
        <v>2025</v>
      </c>
      <c r="B2165" s="6">
        <v>45839</v>
      </c>
      <c r="C2165" s="5" t="s">
        <v>26</v>
      </c>
      <c r="D2165" s="3" t="str" cm="1">
        <f t="array" ref="D2165">_xlfn.IFS(
 ISNUMBER(SEARCH("WHISK",C2165)),"Whiskey",
 ISNUMBER(SEARCH("BOURBON",C2165)),"Whiskey",
 ISNUMBER(SEARCH("SCOTCH",C2165)),"Whiskey",
 ISNUMBER(SEARCH("RYE",C2165)),"Whiskey",
 ISNUMBER(SEARCH("VODKA",C2165)),"Vodka",
 ISNUMBER(SEARCH("TEQUILA",C2165)),"Tequila/Mezcal",
 ISNUMBER(SEARCH("MEZCAL",C2165)),"Tequila/Mezcal",
 ISNUMBER(SEARCH("RUM",C2165)),"Rum",
 ISNUMBER(SEARCH("BRAND",C2165)),"Brandy",
 ISNUMBER(SEARCH("COGNAC",C2165)),"Brandy",
 ISNUMBER(SEARCH("LIQUEUR",C2165)),"Liqueurs",
 ISNUMBER(SEARCH("CORDIAL",C2165)),"Liqueurs",
 ISNUMBER(SEARCH("SCHNAPP",C2165)),"Liqueurs",
 ISNUMBER(SEARCH("GIN",C2165)),"Gin",
 TRUE,"Other")</f>
        <v>Brandy</v>
      </c>
      <c r="E2165" s="5">
        <v>32539</v>
      </c>
      <c r="F2165" s="5">
        <v>709051.83999999787</v>
      </c>
      <c r="G2165" s="5"/>
      <c r="H2165" s="5">
        <v>2943</v>
      </c>
    </row>
    <row r="2166" spans="1:8">
      <c r="A2166" s="5">
        <v>2025</v>
      </c>
      <c r="B2166" s="6">
        <v>45839</v>
      </c>
      <c r="C2166" s="5" t="s">
        <v>29</v>
      </c>
      <c r="D2166" s="3" t="str" cm="1">
        <f t="array" ref="D2166">_xlfn.IFS(
 ISNUMBER(SEARCH("WHISK",C2166)),"Whiskey",
 ISNUMBER(SEARCH("BOURBON",C2166)),"Whiskey",
 ISNUMBER(SEARCH("SCOTCH",C2166)),"Whiskey",
 ISNUMBER(SEARCH("RYE",C2166)),"Whiskey",
 ISNUMBER(SEARCH("VODKA",C2166)),"Vodka",
 ISNUMBER(SEARCH("TEQUILA",C2166)),"Tequila/Mezcal",
 ISNUMBER(SEARCH("MEZCAL",C2166)),"Tequila/Mezcal",
 ISNUMBER(SEARCH("RUM",C2166)),"Rum",
 ISNUMBER(SEARCH("BRAND",C2166)),"Brandy",
 ISNUMBER(SEARCH("COGNAC",C2166)),"Brandy",
 ISNUMBER(SEARCH("LIQUEUR",C2166)),"Liqueurs",
 ISNUMBER(SEARCH("CORDIAL",C2166)),"Liqueurs",
 ISNUMBER(SEARCH("SCHNAPP",C2166)),"Liqueurs",
 ISNUMBER(SEARCH("GIN",C2166)),"Gin",
 TRUE,"Other")</f>
        <v>Gin</v>
      </c>
      <c r="E2166" s="5">
        <v>18323</v>
      </c>
      <c r="F2166" s="5">
        <v>479925.60000000009</v>
      </c>
      <c r="G2166" s="5"/>
      <c r="H2166" s="5">
        <v>2255</v>
      </c>
    </row>
    <row r="2167" spans="1:8">
      <c r="A2167" s="5">
        <v>2025</v>
      </c>
      <c r="B2167" s="6">
        <v>45839</v>
      </c>
      <c r="C2167" s="5" t="s">
        <v>33</v>
      </c>
      <c r="D2167" s="3" t="str" cm="1">
        <f t="array" ref="D2167">_xlfn.IFS(
 ISNUMBER(SEARCH("WHISK",C2167)),"Whiskey",
 ISNUMBER(SEARCH("BOURBON",C2167)),"Whiskey",
 ISNUMBER(SEARCH("SCOTCH",C2167)),"Whiskey",
 ISNUMBER(SEARCH("RYE",C2167)),"Whiskey",
 ISNUMBER(SEARCH("VODKA",C2167)),"Vodka",
 ISNUMBER(SEARCH("TEQUILA",C2167)),"Tequila/Mezcal",
 ISNUMBER(SEARCH("MEZCAL",C2167)),"Tequila/Mezcal",
 ISNUMBER(SEARCH("RUM",C2167)),"Rum",
 ISNUMBER(SEARCH("BRAND",C2167)),"Brandy",
 ISNUMBER(SEARCH("COGNAC",C2167)),"Brandy",
 ISNUMBER(SEARCH("LIQUEUR",C2167)),"Liqueurs",
 ISNUMBER(SEARCH("CORDIAL",C2167)),"Liqueurs",
 ISNUMBER(SEARCH("SCHNAPP",C2167)),"Liqueurs",
 ISNUMBER(SEARCH("GIN",C2167)),"Gin",
 TRUE,"Other")</f>
        <v>Whiskey</v>
      </c>
      <c r="E2167" s="5">
        <v>22455</v>
      </c>
      <c r="F2167" s="5">
        <v>618355.25999999675</v>
      </c>
      <c r="G2167" s="5"/>
      <c r="H2167" s="5">
        <v>2294</v>
      </c>
    </row>
    <row r="2168" spans="1:8">
      <c r="A2168" s="5">
        <v>2025</v>
      </c>
      <c r="B2168" s="6">
        <v>45839</v>
      </c>
      <c r="C2168" s="5" t="s">
        <v>37</v>
      </c>
      <c r="D2168" s="3" t="str" cm="1">
        <f t="array" ref="D2168">_xlfn.IFS(
 ISNUMBER(SEARCH("WHISK",C2168)),"Whiskey",
 ISNUMBER(SEARCH("BOURBON",C2168)),"Whiskey",
 ISNUMBER(SEARCH("SCOTCH",C2168)),"Whiskey",
 ISNUMBER(SEARCH("RYE",C2168)),"Whiskey",
 ISNUMBER(SEARCH("VODKA",C2168)),"Vodka",
 ISNUMBER(SEARCH("TEQUILA",C2168)),"Tequila/Mezcal",
 ISNUMBER(SEARCH("MEZCAL",C2168)),"Tequila/Mezcal",
 ISNUMBER(SEARCH("RUM",C2168)),"Rum",
 ISNUMBER(SEARCH("BRAND",C2168)),"Brandy",
 ISNUMBER(SEARCH("COGNAC",C2168)),"Brandy",
 ISNUMBER(SEARCH("LIQUEUR",C2168)),"Liqueurs",
 ISNUMBER(SEARCH("CORDIAL",C2168)),"Liqueurs",
 ISNUMBER(SEARCH("SCHNAPP",C2168)),"Liqueurs",
 ISNUMBER(SEARCH("GIN",C2168)),"Gin",
 TRUE,"Other")</f>
        <v>Other</v>
      </c>
      <c r="E2168" s="5">
        <v>11950</v>
      </c>
      <c r="F2168" s="5">
        <v>198805.10000000213</v>
      </c>
      <c r="G2168" s="5"/>
      <c r="H2168" s="5">
        <v>2690</v>
      </c>
    </row>
    <row r="2169" spans="1:8">
      <c r="A2169" s="5">
        <v>2025</v>
      </c>
      <c r="B2169" s="6">
        <v>45839</v>
      </c>
      <c r="C2169" s="5" t="s">
        <v>49</v>
      </c>
      <c r="D2169" s="3" t="str" cm="1">
        <f t="array" ref="D2169">_xlfn.IFS(
 ISNUMBER(SEARCH("WHISK",C2169)),"Whiskey",
 ISNUMBER(SEARCH("BOURBON",C2169)),"Whiskey",
 ISNUMBER(SEARCH("SCOTCH",C2169)),"Whiskey",
 ISNUMBER(SEARCH("RYE",C2169)),"Whiskey",
 ISNUMBER(SEARCH("VODKA",C2169)),"Vodka",
 ISNUMBER(SEARCH("TEQUILA",C2169)),"Tequila/Mezcal",
 ISNUMBER(SEARCH("MEZCAL",C2169)),"Tequila/Mezcal",
 ISNUMBER(SEARCH("RUM",C2169)),"Rum",
 ISNUMBER(SEARCH("BRAND",C2169)),"Brandy",
 ISNUMBER(SEARCH("COGNAC",C2169)),"Brandy",
 ISNUMBER(SEARCH("LIQUEUR",C2169)),"Liqueurs",
 ISNUMBER(SEARCH("CORDIAL",C2169)),"Liqueurs",
 ISNUMBER(SEARCH("SCHNAPP",C2169)),"Liqueurs",
 ISNUMBER(SEARCH("GIN",C2169)),"Gin",
 TRUE,"Other")</f>
        <v>Rum</v>
      </c>
      <c r="E2169" s="5">
        <v>37628</v>
      </c>
      <c r="F2169" s="5">
        <v>478678.68000000017</v>
      </c>
      <c r="G2169" s="5"/>
      <c r="H2169" s="5">
        <v>3286</v>
      </c>
    </row>
    <row r="2170" spans="1:8">
      <c r="A2170" s="5">
        <v>2025</v>
      </c>
      <c r="B2170" s="6">
        <v>45839</v>
      </c>
      <c r="C2170" s="5" t="s">
        <v>50</v>
      </c>
      <c r="D2170" s="3" t="str" cm="1">
        <f t="array" ref="D2170">_xlfn.IFS(
 ISNUMBER(SEARCH("WHISK",C2170)),"Whiskey",
 ISNUMBER(SEARCH("BOURBON",C2170)),"Whiskey",
 ISNUMBER(SEARCH("SCOTCH",C2170)),"Whiskey",
 ISNUMBER(SEARCH("RYE",C2170)),"Whiskey",
 ISNUMBER(SEARCH("VODKA",C2170)),"Vodka",
 ISNUMBER(SEARCH("TEQUILA",C2170)),"Tequila/Mezcal",
 ISNUMBER(SEARCH("MEZCAL",C2170)),"Tequila/Mezcal",
 ISNUMBER(SEARCH("RUM",C2170)),"Rum",
 ISNUMBER(SEARCH("BRAND",C2170)),"Brandy",
 ISNUMBER(SEARCH("COGNAC",C2170)),"Brandy",
 ISNUMBER(SEARCH("LIQUEUR",C2170)),"Liqueurs",
 ISNUMBER(SEARCH("CORDIAL",C2170)),"Liqueurs",
 ISNUMBER(SEARCH("SCHNAPP",C2170)),"Liqueurs",
 ISNUMBER(SEARCH("GIN",C2170)),"Gin",
 TRUE,"Other")</f>
        <v>Tequila/Mezcal</v>
      </c>
      <c r="E2170" s="5">
        <v>104818</v>
      </c>
      <c r="F2170" s="5">
        <v>2864221.0599999297</v>
      </c>
      <c r="G2170" s="5"/>
      <c r="H2170" s="5">
        <v>13070</v>
      </c>
    </row>
    <row r="2171" spans="1:8">
      <c r="A2171" s="5">
        <v>2025</v>
      </c>
      <c r="B2171" s="6">
        <v>45839</v>
      </c>
      <c r="C2171" s="5" t="s">
        <v>8</v>
      </c>
      <c r="D2171" s="3" t="str" cm="1">
        <f t="array" ref="D2171">_xlfn.IFS(
 ISNUMBER(SEARCH("WHISK",C2171)),"Whiskey",
 ISNUMBER(SEARCH("BOURBON",C2171)),"Whiskey",
 ISNUMBER(SEARCH("SCOTCH",C2171)),"Whiskey",
 ISNUMBER(SEARCH("RYE",C2171)),"Whiskey",
 ISNUMBER(SEARCH("VODKA",C2171)),"Vodka",
 ISNUMBER(SEARCH("TEQUILA",C2171)),"Tequila/Mezcal",
 ISNUMBER(SEARCH("MEZCAL",C2171)),"Tequila/Mezcal",
 ISNUMBER(SEARCH("RUM",C2171)),"Rum",
 ISNUMBER(SEARCH("BRAND",C2171)),"Brandy",
 ISNUMBER(SEARCH("COGNAC",C2171)),"Brandy",
 ISNUMBER(SEARCH("LIQUEUR",C2171)),"Liqueurs",
 ISNUMBER(SEARCH("CORDIAL",C2171)),"Liqueurs",
 ISNUMBER(SEARCH("SCHNAPP",C2171)),"Liqueurs",
 ISNUMBER(SEARCH("GIN",C2171)),"Gin",
 TRUE,"Other")</f>
        <v>Brandy</v>
      </c>
      <c r="E2171" s="5">
        <v>52547</v>
      </c>
      <c r="F2171" s="5">
        <v>330795.82000000146</v>
      </c>
      <c r="G2171" s="5"/>
      <c r="H2171" s="5">
        <v>4014</v>
      </c>
    </row>
    <row r="2172" spans="1:8">
      <c r="A2172" s="5">
        <v>2025</v>
      </c>
      <c r="B2172" s="6">
        <v>45839</v>
      </c>
      <c r="C2172" s="5" t="s">
        <v>20</v>
      </c>
      <c r="D2172" s="3" t="str" cm="1">
        <f t="array" ref="D2172">_xlfn.IFS(
 ISNUMBER(SEARCH("WHISK",C2172)),"Whiskey",
 ISNUMBER(SEARCH("BOURBON",C2172)),"Whiskey",
 ISNUMBER(SEARCH("SCOTCH",C2172)),"Whiskey",
 ISNUMBER(SEARCH("RYE",C2172)),"Whiskey",
 ISNUMBER(SEARCH("VODKA",C2172)),"Vodka",
 ISNUMBER(SEARCH("TEQUILA",C2172)),"Tequila/Mezcal",
 ISNUMBER(SEARCH("MEZCAL",C2172)),"Tequila/Mezcal",
 ISNUMBER(SEARCH("RUM",C2172)),"Rum",
 ISNUMBER(SEARCH("BRAND",C2172)),"Brandy",
 ISNUMBER(SEARCH("COGNAC",C2172)),"Brandy",
 ISNUMBER(SEARCH("LIQUEUR",C2172)),"Liqueurs",
 ISNUMBER(SEARCH("CORDIAL",C2172)),"Liqueurs",
 ISNUMBER(SEARCH("SCHNAPP",C2172)),"Liqueurs",
 ISNUMBER(SEARCH("GIN",C2172)),"Gin",
 TRUE,"Other")</f>
        <v>Liqueurs</v>
      </c>
      <c r="E2172" s="5">
        <v>6727</v>
      </c>
      <c r="F2172" s="5">
        <v>139378.87000000072</v>
      </c>
      <c r="G2172" s="5"/>
      <c r="H2172" s="5">
        <v>895</v>
      </c>
    </row>
    <row r="2173" spans="1:8">
      <c r="A2173" s="5">
        <v>2025</v>
      </c>
      <c r="B2173" s="6">
        <v>45839</v>
      </c>
      <c r="C2173" s="5" t="s">
        <v>24</v>
      </c>
      <c r="D2173" s="3" t="str" cm="1">
        <f t="array" ref="D2173">_xlfn.IFS(
 ISNUMBER(SEARCH("WHISK",C2173)),"Whiskey",
 ISNUMBER(SEARCH("BOURBON",C2173)),"Whiskey",
 ISNUMBER(SEARCH("SCOTCH",C2173)),"Whiskey",
 ISNUMBER(SEARCH("RYE",C2173)),"Whiskey",
 ISNUMBER(SEARCH("VODKA",C2173)),"Vodka",
 ISNUMBER(SEARCH("TEQUILA",C2173)),"Tequila/Mezcal",
 ISNUMBER(SEARCH("MEZCAL",C2173)),"Tequila/Mezcal",
 ISNUMBER(SEARCH("RUM",C2173)),"Rum",
 ISNUMBER(SEARCH("BRAND",C2173)),"Brandy",
 ISNUMBER(SEARCH("COGNAC",C2173)),"Brandy",
 ISNUMBER(SEARCH("LIQUEUR",C2173)),"Liqueurs",
 ISNUMBER(SEARCH("CORDIAL",C2173)),"Liqueurs",
 ISNUMBER(SEARCH("SCHNAPP",C2173)),"Liqueurs",
 ISNUMBER(SEARCH("GIN",C2173)),"Gin",
 TRUE,"Other")</f>
        <v>Rum</v>
      </c>
      <c r="E2173" s="5">
        <v>41800</v>
      </c>
      <c r="F2173" s="5">
        <v>636825.1399999914</v>
      </c>
      <c r="G2173" s="5"/>
      <c r="H2173" s="5">
        <v>4351</v>
      </c>
    </row>
    <row r="2174" spans="1:8">
      <c r="A2174" s="5">
        <v>2025</v>
      </c>
      <c r="B2174" s="6">
        <v>45839</v>
      </c>
      <c r="C2174" s="5" t="s">
        <v>27</v>
      </c>
      <c r="D2174" s="3" t="str" cm="1">
        <f t="array" ref="D2174">_xlfn.IFS(
 ISNUMBER(SEARCH("WHISK",C2174)),"Whiskey",
 ISNUMBER(SEARCH("BOURBON",C2174)),"Whiskey",
 ISNUMBER(SEARCH("SCOTCH",C2174)),"Whiskey",
 ISNUMBER(SEARCH("RYE",C2174)),"Whiskey",
 ISNUMBER(SEARCH("VODKA",C2174)),"Vodka",
 ISNUMBER(SEARCH("TEQUILA",C2174)),"Tequila/Mezcal",
 ISNUMBER(SEARCH("MEZCAL",C2174)),"Tequila/Mezcal",
 ISNUMBER(SEARCH("RUM",C2174)),"Rum",
 ISNUMBER(SEARCH("BRAND",C2174)),"Brandy",
 ISNUMBER(SEARCH("COGNAC",C2174)),"Brandy",
 ISNUMBER(SEARCH("LIQUEUR",C2174)),"Liqueurs",
 ISNUMBER(SEARCH("CORDIAL",C2174)),"Liqueurs",
 ISNUMBER(SEARCH("SCHNAPP",C2174)),"Liqueurs",
 ISNUMBER(SEARCH("GIN",C2174)),"Gin",
 TRUE,"Other")</f>
        <v>Liqueurs</v>
      </c>
      <c r="E2174" s="5">
        <v>38541</v>
      </c>
      <c r="F2174" s="5">
        <v>916078.78000000131</v>
      </c>
      <c r="G2174" s="5"/>
      <c r="H2174" s="5">
        <v>4751</v>
      </c>
    </row>
    <row r="2175" spans="1:8">
      <c r="A2175" s="5">
        <v>2025</v>
      </c>
      <c r="B2175" s="6">
        <v>45839</v>
      </c>
      <c r="C2175" s="5" t="s">
        <v>39</v>
      </c>
      <c r="D2175" s="3" t="str" cm="1">
        <f t="array" ref="D2175">_xlfn.IFS(
 ISNUMBER(SEARCH("WHISK",C2175)),"Whiskey",
 ISNUMBER(SEARCH("BOURBON",C2175)),"Whiskey",
 ISNUMBER(SEARCH("SCOTCH",C2175)),"Whiskey",
 ISNUMBER(SEARCH("RYE",C2175)),"Whiskey",
 ISNUMBER(SEARCH("VODKA",C2175)),"Vodka",
 ISNUMBER(SEARCH("TEQUILA",C2175)),"Tequila/Mezcal",
 ISNUMBER(SEARCH("MEZCAL",C2175)),"Tequila/Mezcal",
 ISNUMBER(SEARCH("RUM",C2175)),"Rum",
 ISNUMBER(SEARCH("BRAND",C2175)),"Brandy",
 ISNUMBER(SEARCH("COGNAC",C2175)),"Brandy",
 ISNUMBER(SEARCH("LIQUEUR",C2175)),"Liqueurs",
 ISNUMBER(SEARCH("CORDIAL",C2175)),"Liqueurs",
 ISNUMBER(SEARCH("SCHNAPP",C2175)),"Liqueurs",
 ISNUMBER(SEARCH("GIN",C2175)),"Gin",
 TRUE,"Other")</f>
        <v>Whiskey</v>
      </c>
      <c r="E2175" s="5">
        <v>6016</v>
      </c>
      <c r="F2175" s="5">
        <v>270755.37999999995</v>
      </c>
      <c r="G2175" s="5"/>
      <c r="H2175" s="5">
        <v>746</v>
      </c>
    </row>
    <row r="2176" spans="1:8">
      <c r="A2176" s="5">
        <v>2025</v>
      </c>
      <c r="B2176" s="6">
        <v>45839</v>
      </c>
      <c r="C2176" s="5" t="s">
        <v>44</v>
      </c>
      <c r="D2176" s="3" t="str" cm="1">
        <f t="array" ref="D2176">_xlfn.IFS(
 ISNUMBER(SEARCH("WHISK",C2176)),"Whiskey",
 ISNUMBER(SEARCH("BOURBON",C2176)),"Whiskey",
 ISNUMBER(SEARCH("SCOTCH",C2176)),"Whiskey",
 ISNUMBER(SEARCH("RYE",C2176)),"Whiskey",
 ISNUMBER(SEARCH("VODKA",C2176)),"Vodka",
 ISNUMBER(SEARCH("TEQUILA",C2176)),"Tequila/Mezcal",
 ISNUMBER(SEARCH("MEZCAL",C2176)),"Tequila/Mezcal",
 ISNUMBER(SEARCH("RUM",C2176)),"Rum",
 ISNUMBER(SEARCH("BRAND",C2176)),"Brandy",
 ISNUMBER(SEARCH("COGNAC",C2176)),"Brandy",
 ISNUMBER(SEARCH("LIQUEUR",C2176)),"Liqueurs",
 ISNUMBER(SEARCH("CORDIAL",C2176)),"Liqueurs",
 ISNUMBER(SEARCH("SCHNAPP",C2176)),"Liqueurs",
 ISNUMBER(SEARCH("GIN",C2176)),"Gin",
 TRUE,"Other")</f>
        <v>Whiskey</v>
      </c>
      <c r="E2176" s="5">
        <v>6840</v>
      </c>
      <c r="F2176" s="5">
        <v>198954.51000000082</v>
      </c>
      <c r="G2176" s="5"/>
      <c r="H2176" s="5">
        <v>1198</v>
      </c>
    </row>
    <row r="2177" spans="1:8">
      <c r="A2177" s="5">
        <v>2025</v>
      </c>
      <c r="B2177" s="6">
        <v>45839</v>
      </c>
      <c r="C2177" s="5" t="s">
        <v>7</v>
      </c>
      <c r="D2177" s="3" t="str" cm="1">
        <f t="array" ref="D2177">_xlfn.IFS(
 ISNUMBER(SEARCH("WHISK",C2177)),"Whiskey",
 ISNUMBER(SEARCH("BOURBON",C2177)),"Whiskey",
 ISNUMBER(SEARCH("SCOTCH",C2177)),"Whiskey",
 ISNUMBER(SEARCH("RYE",C2177)),"Whiskey",
 ISNUMBER(SEARCH("VODKA",C2177)),"Vodka",
 ISNUMBER(SEARCH("TEQUILA",C2177)),"Tequila/Mezcal",
 ISNUMBER(SEARCH("MEZCAL",C2177)),"Tequila/Mezcal",
 ISNUMBER(SEARCH("RUM",C2177)),"Rum",
 ISNUMBER(SEARCH("BRAND",C2177)),"Brandy",
 ISNUMBER(SEARCH("COGNAC",C2177)),"Brandy",
 ISNUMBER(SEARCH("LIQUEUR",C2177)),"Liqueurs",
 ISNUMBER(SEARCH("CORDIAL",C2177)),"Liqueurs",
 ISNUMBER(SEARCH("SCHNAPP",C2177)),"Liqueurs",
 ISNUMBER(SEARCH("GIN",C2177)),"Gin",
 TRUE,"Other")</f>
        <v>Rum</v>
      </c>
      <c r="E2177" s="5">
        <v>3714</v>
      </c>
      <c r="F2177" s="5">
        <v>80953.970000000074</v>
      </c>
      <c r="G2177" s="5"/>
      <c r="H2177" s="5">
        <v>696</v>
      </c>
    </row>
    <row r="2178" spans="1:8">
      <c r="A2178" s="5">
        <v>2025</v>
      </c>
      <c r="B2178" s="6">
        <v>45839</v>
      </c>
      <c r="C2178" s="5" t="s">
        <v>17</v>
      </c>
      <c r="D2178" s="3" t="str" cm="1">
        <f t="array" ref="D2178">_xlfn.IFS(
 ISNUMBER(SEARCH("WHISK",C2178)),"Whiskey",
 ISNUMBER(SEARCH("BOURBON",C2178)),"Whiskey",
 ISNUMBER(SEARCH("SCOTCH",C2178)),"Whiskey",
 ISNUMBER(SEARCH("RYE",C2178)),"Whiskey",
 ISNUMBER(SEARCH("VODKA",C2178)),"Vodka",
 ISNUMBER(SEARCH("TEQUILA",C2178)),"Tequila/Mezcal",
 ISNUMBER(SEARCH("MEZCAL",C2178)),"Tequila/Mezcal",
 ISNUMBER(SEARCH("RUM",C2178)),"Rum",
 ISNUMBER(SEARCH("BRAND",C2178)),"Brandy",
 ISNUMBER(SEARCH("COGNAC",C2178)),"Brandy",
 ISNUMBER(SEARCH("LIQUEUR",C2178)),"Liqueurs",
 ISNUMBER(SEARCH("CORDIAL",C2178)),"Liqueurs",
 ISNUMBER(SEARCH("SCHNAPP",C2178)),"Liqueurs",
 ISNUMBER(SEARCH("GIN",C2178)),"Gin",
 TRUE,"Other")</f>
        <v>Whiskey</v>
      </c>
      <c r="E2178" s="5">
        <v>3564</v>
      </c>
      <c r="F2178" s="5">
        <v>117853.75000000006</v>
      </c>
      <c r="G2178" s="5"/>
      <c r="H2178" s="5">
        <v>811</v>
      </c>
    </row>
    <row r="2179" spans="1:8">
      <c r="A2179" s="5">
        <v>2025</v>
      </c>
      <c r="B2179" s="6">
        <v>45839</v>
      </c>
      <c r="C2179" s="5" t="s">
        <v>28</v>
      </c>
      <c r="D2179" s="3" t="str" cm="1">
        <f t="array" ref="D2179">_xlfn.IFS(
 ISNUMBER(SEARCH("WHISK",C2179)),"Whiskey",
 ISNUMBER(SEARCH("BOURBON",C2179)),"Whiskey",
 ISNUMBER(SEARCH("SCOTCH",C2179)),"Whiskey",
 ISNUMBER(SEARCH("RYE",C2179)),"Whiskey",
 ISNUMBER(SEARCH("VODKA",C2179)),"Vodka",
 ISNUMBER(SEARCH("TEQUILA",C2179)),"Tequila/Mezcal",
 ISNUMBER(SEARCH("MEZCAL",C2179)),"Tequila/Mezcal",
 ISNUMBER(SEARCH("RUM",C2179)),"Rum",
 ISNUMBER(SEARCH("BRAND",C2179)),"Brandy",
 ISNUMBER(SEARCH("COGNAC",C2179)),"Brandy",
 ISNUMBER(SEARCH("LIQUEUR",C2179)),"Liqueurs",
 ISNUMBER(SEARCH("CORDIAL",C2179)),"Liqueurs",
 ISNUMBER(SEARCH("SCHNAPP",C2179)),"Liqueurs",
 ISNUMBER(SEARCH("GIN",C2179)),"Gin",
 TRUE,"Other")</f>
        <v>Other</v>
      </c>
      <c r="E2179" s="5">
        <v>38762</v>
      </c>
      <c r="F2179" s="5">
        <v>273824.15000000002</v>
      </c>
      <c r="G2179" s="5"/>
      <c r="H2179" s="5">
        <v>1022</v>
      </c>
    </row>
    <row r="2180" spans="1:8">
      <c r="A2180" s="5">
        <v>2025</v>
      </c>
      <c r="B2180" s="6">
        <v>45839</v>
      </c>
      <c r="C2180" s="5" t="s">
        <v>30</v>
      </c>
      <c r="D2180" s="3" t="str" cm="1">
        <f t="array" ref="D2180">_xlfn.IFS(
 ISNUMBER(SEARCH("WHISK",C2180)),"Whiskey",
 ISNUMBER(SEARCH("BOURBON",C2180)),"Whiskey",
 ISNUMBER(SEARCH("SCOTCH",C2180)),"Whiskey",
 ISNUMBER(SEARCH("RYE",C2180)),"Whiskey",
 ISNUMBER(SEARCH("VODKA",C2180)),"Vodka",
 ISNUMBER(SEARCH("TEQUILA",C2180)),"Tequila/Mezcal",
 ISNUMBER(SEARCH("MEZCAL",C2180)),"Tequila/Mezcal",
 ISNUMBER(SEARCH("RUM",C2180)),"Rum",
 ISNUMBER(SEARCH("BRAND",C2180)),"Brandy",
 ISNUMBER(SEARCH("COGNAC",C2180)),"Brandy",
 ISNUMBER(SEARCH("LIQUEUR",C2180)),"Liqueurs",
 ISNUMBER(SEARCH("CORDIAL",C2180)),"Liqueurs",
 ISNUMBER(SEARCH("SCHNAPP",C2180)),"Liqueurs",
 ISNUMBER(SEARCH("GIN",C2180)),"Gin",
 TRUE,"Other")</f>
        <v>Vodka</v>
      </c>
      <c r="E2180" s="5">
        <v>20124</v>
      </c>
      <c r="F2180" s="5">
        <v>316705.36000000092</v>
      </c>
      <c r="G2180" s="5"/>
      <c r="H2180" s="5">
        <v>2563</v>
      </c>
    </row>
    <row r="2181" spans="1:8">
      <c r="A2181" s="5">
        <v>2025</v>
      </c>
      <c r="B2181" s="6">
        <v>45839</v>
      </c>
      <c r="C2181" s="5" t="s">
        <v>11</v>
      </c>
      <c r="D2181" s="3" t="str" cm="1">
        <f t="array" ref="D2181">_xlfn.IFS(
 ISNUMBER(SEARCH("WHISK",C2181)),"Whiskey",
 ISNUMBER(SEARCH("BOURBON",C2181)),"Whiskey",
 ISNUMBER(SEARCH("SCOTCH",C2181)),"Whiskey",
 ISNUMBER(SEARCH("RYE",C2181)),"Whiskey",
 ISNUMBER(SEARCH("VODKA",C2181)),"Vodka",
 ISNUMBER(SEARCH("TEQUILA",C2181)),"Tequila/Mezcal",
 ISNUMBER(SEARCH("MEZCAL",C2181)),"Tequila/Mezcal",
 ISNUMBER(SEARCH("RUM",C2181)),"Rum",
 ISNUMBER(SEARCH("BRAND",C2181)),"Brandy",
 ISNUMBER(SEARCH("COGNAC",C2181)),"Brandy",
 ISNUMBER(SEARCH("LIQUEUR",C2181)),"Liqueurs",
 ISNUMBER(SEARCH("CORDIAL",C2181)),"Liqueurs",
 ISNUMBER(SEARCH("SCHNAPP",C2181)),"Liqueurs",
 ISNUMBER(SEARCH("GIN",C2181)),"Gin",
 TRUE,"Other")</f>
        <v>Gin</v>
      </c>
      <c r="E2181" s="5">
        <v>28493</v>
      </c>
      <c r="F2181" s="5">
        <v>293761.89000000211</v>
      </c>
      <c r="G2181" s="5"/>
      <c r="H2181" s="5">
        <v>2635</v>
      </c>
    </row>
    <row r="2182" spans="1:8">
      <c r="A2182" s="5">
        <v>2025</v>
      </c>
      <c r="B2182" s="6">
        <v>45839</v>
      </c>
      <c r="C2182" s="5" t="s">
        <v>41</v>
      </c>
      <c r="D2182" s="3" t="str" cm="1">
        <f t="array" ref="D2182">_xlfn.IFS(
 ISNUMBER(SEARCH("WHISK",C2182)),"Whiskey",
 ISNUMBER(SEARCH("BOURBON",C2182)),"Whiskey",
 ISNUMBER(SEARCH("SCOTCH",C2182)),"Whiskey",
 ISNUMBER(SEARCH("RYE",C2182)),"Whiskey",
 ISNUMBER(SEARCH("VODKA",C2182)),"Vodka",
 ISNUMBER(SEARCH("TEQUILA",C2182)),"Tequila/Mezcal",
 ISNUMBER(SEARCH("MEZCAL",C2182)),"Tequila/Mezcal",
 ISNUMBER(SEARCH("RUM",C2182)),"Rum",
 ISNUMBER(SEARCH("BRAND",C2182)),"Brandy",
 ISNUMBER(SEARCH("COGNAC",C2182)),"Brandy",
 ISNUMBER(SEARCH("LIQUEUR",C2182)),"Liqueurs",
 ISNUMBER(SEARCH("CORDIAL",C2182)),"Liqueurs",
 ISNUMBER(SEARCH("SCHNAPP",C2182)),"Liqueurs",
 ISNUMBER(SEARCH("GIN",C2182)),"Gin",
 TRUE,"Other")</f>
        <v>Other</v>
      </c>
      <c r="E2182" s="5">
        <v>8481</v>
      </c>
      <c r="F2182" s="5">
        <v>101245.60000000005</v>
      </c>
      <c r="G2182" s="5"/>
      <c r="H2182" s="5">
        <v>143</v>
      </c>
    </row>
    <row r="2183" spans="1:8">
      <c r="A2183" s="5">
        <v>2025</v>
      </c>
      <c r="B2183" s="6">
        <v>45839</v>
      </c>
      <c r="C2183" s="5" t="s">
        <v>21</v>
      </c>
      <c r="D2183" s="3" t="str" cm="1">
        <f t="array" ref="D2183">_xlfn.IFS(
 ISNUMBER(SEARCH("WHISK",C2183)),"Whiskey",
 ISNUMBER(SEARCH("BOURBON",C2183)),"Whiskey",
 ISNUMBER(SEARCH("SCOTCH",C2183)),"Whiskey",
 ISNUMBER(SEARCH("RYE",C2183)),"Whiskey",
 ISNUMBER(SEARCH("VODKA",C2183)),"Vodka",
 ISNUMBER(SEARCH("TEQUILA",C2183)),"Tequila/Mezcal",
 ISNUMBER(SEARCH("MEZCAL",C2183)),"Tequila/Mezcal",
 ISNUMBER(SEARCH("RUM",C2183)),"Rum",
 ISNUMBER(SEARCH("BRAND",C2183)),"Brandy",
 ISNUMBER(SEARCH("COGNAC",C2183)),"Brandy",
 ISNUMBER(SEARCH("LIQUEUR",C2183)),"Liqueurs",
 ISNUMBER(SEARCH("CORDIAL",C2183)),"Liqueurs",
 ISNUMBER(SEARCH("SCHNAPP",C2183)),"Liqueurs",
 ISNUMBER(SEARCH("GIN",C2183)),"Gin",
 TRUE,"Other")</f>
        <v>Whiskey</v>
      </c>
      <c r="E2183" s="5">
        <v>480</v>
      </c>
      <c r="F2183" s="5">
        <v>10135.200000000001</v>
      </c>
      <c r="G2183" s="5"/>
      <c r="H2183" s="5">
        <v>40</v>
      </c>
    </row>
    <row r="2184" spans="1:8">
      <c r="A2184" s="5">
        <v>2025</v>
      </c>
      <c r="B2184" s="6">
        <v>45839</v>
      </c>
      <c r="C2184" s="5" t="s">
        <v>36</v>
      </c>
      <c r="D2184" s="3" t="str" cm="1">
        <f t="array" ref="D2184">_xlfn.IFS(
 ISNUMBER(SEARCH("WHISK",C2184)),"Whiskey",
 ISNUMBER(SEARCH("BOURBON",C2184)),"Whiskey",
 ISNUMBER(SEARCH("SCOTCH",C2184)),"Whiskey",
 ISNUMBER(SEARCH("RYE",C2184)),"Whiskey",
 ISNUMBER(SEARCH("VODKA",C2184)),"Vodka",
 ISNUMBER(SEARCH("TEQUILA",C2184)),"Tequila/Mezcal",
 ISNUMBER(SEARCH("MEZCAL",C2184)),"Tequila/Mezcal",
 ISNUMBER(SEARCH("RUM",C2184)),"Rum",
 ISNUMBER(SEARCH("BRAND",C2184)),"Brandy",
 ISNUMBER(SEARCH("COGNAC",C2184)),"Brandy",
 ISNUMBER(SEARCH("LIQUEUR",C2184)),"Liqueurs",
 ISNUMBER(SEARCH("CORDIAL",C2184)),"Liqueurs",
 ISNUMBER(SEARCH("SCHNAPP",C2184)),"Liqueurs",
 ISNUMBER(SEARCH("GIN",C2184)),"Gin",
 TRUE,"Other")</f>
        <v>Other</v>
      </c>
      <c r="E2184" s="5">
        <v>2670</v>
      </c>
      <c r="F2184" s="5">
        <v>40067.64</v>
      </c>
      <c r="G2184" s="5"/>
      <c r="H2184" s="5">
        <v>347</v>
      </c>
    </row>
    <row r="2185" spans="1:8">
      <c r="A2185" s="5">
        <v>2025</v>
      </c>
      <c r="B2185" s="6">
        <v>45839</v>
      </c>
      <c r="C2185" s="5" t="s">
        <v>10</v>
      </c>
      <c r="D2185" s="3" t="str" cm="1">
        <f t="array" ref="D2185">_xlfn.IFS(
 ISNUMBER(SEARCH("WHISK",C2185)),"Whiskey",
 ISNUMBER(SEARCH("BOURBON",C2185)),"Whiskey",
 ISNUMBER(SEARCH("SCOTCH",C2185)),"Whiskey",
 ISNUMBER(SEARCH("RYE",C2185)),"Whiskey",
 ISNUMBER(SEARCH("VODKA",C2185)),"Vodka",
 ISNUMBER(SEARCH("TEQUILA",C2185)),"Tequila/Mezcal",
 ISNUMBER(SEARCH("MEZCAL",C2185)),"Tequila/Mezcal",
 ISNUMBER(SEARCH("RUM",C2185)),"Rum",
 ISNUMBER(SEARCH("BRAND",C2185)),"Brandy",
 ISNUMBER(SEARCH("COGNAC",C2185)),"Brandy",
 ISNUMBER(SEARCH("LIQUEUR",C2185)),"Liqueurs",
 ISNUMBER(SEARCH("CORDIAL",C2185)),"Liqueurs",
 ISNUMBER(SEARCH("SCHNAPP",C2185)),"Liqueurs",
 ISNUMBER(SEARCH("GIN",C2185)),"Gin",
 TRUE,"Other")</f>
        <v>Other</v>
      </c>
      <c r="E2185" s="5">
        <v>3785</v>
      </c>
      <c r="F2185" s="5">
        <v>59300.929999999986</v>
      </c>
      <c r="G2185" s="5"/>
      <c r="H2185" s="5">
        <v>426</v>
      </c>
    </row>
    <row r="2186" spans="1:8">
      <c r="A2186" s="5">
        <v>2025</v>
      </c>
      <c r="B2186" s="6">
        <v>45839</v>
      </c>
      <c r="C2186" s="5" t="s">
        <v>34</v>
      </c>
      <c r="D2186" s="3" t="str" cm="1">
        <f t="array" ref="D2186">_xlfn.IFS(
 ISNUMBER(SEARCH("WHISK",C2186)),"Whiskey",
 ISNUMBER(SEARCH("BOURBON",C2186)),"Whiskey",
 ISNUMBER(SEARCH("SCOTCH",C2186)),"Whiskey",
 ISNUMBER(SEARCH("RYE",C2186)),"Whiskey",
 ISNUMBER(SEARCH("VODKA",C2186)),"Vodka",
 ISNUMBER(SEARCH("TEQUILA",C2186)),"Tequila/Mezcal",
 ISNUMBER(SEARCH("MEZCAL",C2186)),"Tequila/Mezcal",
 ISNUMBER(SEARCH("RUM",C2186)),"Rum",
 ISNUMBER(SEARCH("BRAND",C2186)),"Brandy",
 ISNUMBER(SEARCH("COGNAC",C2186)),"Brandy",
 ISNUMBER(SEARCH("LIQUEUR",C2186)),"Liqueurs",
 ISNUMBER(SEARCH("CORDIAL",C2186)),"Liqueurs",
 ISNUMBER(SEARCH("SCHNAPP",C2186)),"Liqueurs",
 ISNUMBER(SEARCH("GIN",C2186)),"Gin",
 TRUE,"Other")</f>
        <v>Tequila/Mezcal</v>
      </c>
      <c r="E2186" s="5">
        <v>1562</v>
      </c>
      <c r="F2186" s="5">
        <v>47858.62</v>
      </c>
      <c r="G2186" s="5"/>
      <c r="H2186" s="5">
        <v>263</v>
      </c>
    </row>
    <row r="2187" spans="1:8">
      <c r="A2187" s="5">
        <v>2025</v>
      </c>
      <c r="B2187" s="6">
        <v>45839</v>
      </c>
      <c r="C2187" s="5" t="s">
        <v>14</v>
      </c>
      <c r="D2187" s="3" t="str" cm="1">
        <f t="array" ref="D2187">_xlfn.IFS(
 ISNUMBER(SEARCH("WHISK",C2187)),"Whiskey",
 ISNUMBER(SEARCH("BOURBON",C2187)),"Whiskey",
 ISNUMBER(SEARCH("SCOTCH",C2187)),"Whiskey",
 ISNUMBER(SEARCH("RYE",C2187)),"Whiskey",
 ISNUMBER(SEARCH("VODKA",C2187)),"Vodka",
 ISNUMBER(SEARCH("TEQUILA",C2187)),"Tequila/Mezcal",
 ISNUMBER(SEARCH("MEZCAL",C2187)),"Tequila/Mezcal",
 ISNUMBER(SEARCH("RUM",C2187)),"Rum",
 ISNUMBER(SEARCH("BRAND",C2187)),"Brandy",
 ISNUMBER(SEARCH("COGNAC",C2187)),"Brandy",
 ISNUMBER(SEARCH("LIQUEUR",C2187)),"Liqueurs",
 ISNUMBER(SEARCH("CORDIAL",C2187)),"Liqueurs",
 ISNUMBER(SEARCH("SCHNAPP",C2187)),"Liqueurs",
 ISNUMBER(SEARCH("GIN",C2187)),"Gin",
 TRUE,"Other")</f>
        <v>Gin</v>
      </c>
      <c r="E2187" s="5">
        <v>195</v>
      </c>
      <c r="F2187" s="5">
        <v>1665.2999999999995</v>
      </c>
      <c r="G2187" s="5"/>
      <c r="H2187" s="5">
        <v>41</v>
      </c>
    </row>
    <row r="2188" spans="1:8">
      <c r="A2188" s="5">
        <v>2025</v>
      </c>
      <c r="B2188" s="6">
        <v>45870</v>
      </c>
      <c r="C2188" s="5" t="s">
        <v>9</v>
      </c>
      <c r="D2188" s="3" t="str" cm="1">
        <f t="array" ref="D2188">_xlfn.IFS(
 ISNUMBER(SEARCH("WHISK",C2188)),"Whiskey",
 ISNUMBER(SEARCH("BOURBON",C2188)),"Whiskey",
 ISNUMBER(SEARCH("SCOTCH",C2188)),"Whiskey",
 ISNUMBER(SEARCH("RYE",C2188)),"Whiskey",
 ISNUMBER(SEARCH("VODKA",C2188)),"Vodka",
 ISNUMBER(SEARCH("TEQUILA",C2188)),"Tequila/Mezcal",
 ISNUMBER(SEARCH("MEZCAL",C2188)),"Tequila/Mezcal",
 ISNUMBER(SEARCH("RUM",C2188)),"Rum",
 ISNUMBER(SEARCH("BRAND",C2188)),"Brandy",
 ISNUMBER(SEARCH("COGNAC",C2188)),"Brandy",
 ISNUMBER(SEARCH("LIQUEUR",C2188)),"Liqueurs",
 ISNUMBER(SEARCH("CORDIAL",C2188)),"Liqueurs",
 ISNUMBER(SEARCH("SCHNAPP",C2188)),"Liqueurs",
 ISNUMBER(SEARCH("GIN",C2188)),"Gin",
 TRUE,"Other")</f>
        <v>Liqueurs</v>
      </c>
      <c r="E2188" s="5">
        <v>32016</v>
      </c>
      <c r="F2188" s="5">
        <v>383015.72000000358</v>
      </c>
      <c r="G2188" s="5"/>
      <c r="H2188" s="5">
        <v>5153</v>
      </c>
    </row>
    <row r="2189" spans="1:8">
      <c r="A2189" s="5">
        <v>2025</v>
      </c>
      <c r="B2189" s="6">
        <v>45870</v>
      </c>
      <c r="C2189" s="5" t="s">
        <v>13</v>
      </c>
      <c r="D2189" s="3" t="str" cm="1">
        <f t="array" ref="D2189">_xlfn.IFS(
 ISNUMBER(SEARCH("WHISK",C2189)),"Whiskey",
 ISNUMBER(SEARCH("BOURBON",C2189)),"Whiskey",
 ISNUMBER(SEARCH("SCOTCH",C2189)),"Whiskey",
 ISNUMBER(SEARCH("RYE",C2189)),"Whiskey",
 ISNUMBER(SEARCH("VODKA",C2189)),"Vodka",
 ISNUMBER(SEARCH("TEQUILA",C2189)),"Tequila/Mezcal",
 ISNUMBER(SEARCH("MEZCAL",C2189)),"Tequila/Mezcal",
 ISNUMBER(SEARCH("RUM",C2189)),"Rum",
 ISNUMBER(SEARCH("BRAND",C2189)),"Brandy",
 ISNUMBER(SEARCH("COGNAC",C2189)),"Brandy",
 ISNUMBER(SEARCH("LIQUEUR",C2189)),"Liqueurs",
 ISNUMBER(SEARCH("CORDIAL",C2189)),"Liqueurs",
 ISNUMBER(SEARCH("SCHNAPP",C2189)),"Liqueurs",
 ISNUMBER(SEARCH("GIN",C2189)),"Gin",
 TRUE,"Other")</f>
        <v>Liqueurs</v>
      </c>
      <c r="E2189" s="5">
        <v>99889</v>
      </c>
      <c r="F2189" s="5">
        <v>685360.44000000076</v>
      </c>
      <c r="G2189" s="5"/>
      <c r="H2189" s="5">
        <v>7695</v>
      </c>
    </row>
    <row r="2190" spans="1:8">
      <c r="A2190" s="5">
        <v>2025</v>
      </c>
      <c r="B2190" s="6">
        <v>45870</v>
      </c>
      <c r="C2190" s="5" t="s">
        <v>15</v>
      </c>
      <c r="D2190" s="3" t="str" cm="1">
        <f t="array" ref="D2190">_xlfn.IFS(
 ISNUMBER(SEARCH("WHISK",C2190)),"Whiskey",
 ISNUMBER(SEARCH("BOURBON",C2190)),"Whiskey",
 ISNUMBER(SEARCH("SCOTCH",C2190)),"Whiskey",
 ISNUMBER(SEARCH("RYE",C2190)),"Whiskey",
 ISNUMBER(SEARCH("VODKA",C2190)),"Vodka",
 ISNUMBER(SEARCH("TEQUILA",C2190)),"Tequila/Mezcal",
 ISNUMBER(SEARCH("MEZCAL",C2190)),"Tequila/Mezcal",
 ISNUMBER(SEARCH("RUM",C2190)),"Rum",
 ISNUMBER(SEARCH("BRAND",C2190)),"Brandy",
 ISNUMBER(SEARCH("COGNAC",C2190)),"Brandy",
 ISNUMBER(SEARCH("LIQUEUR",C2190)),"Liqueurs",
 ISNUMBER(SEARCH("CORDIAL",C2190)),"Liqueurs",
 ISNUMBER(SEARCH("SCHNAPP",C2190)),"Liqueurs",
 ISNUMBER(SEARCH("GIN",C2190)),"Gin",
 TRUE,"Other")</f>
        <v>Vodka</v>
      </c>
      <c r="E2190" s="5">
        <v>582409</v>
      </c>
      <c r="F2190" s="5">
        <v>6373382.4000000302</v>
      </c>
      <c r="G2190" s="5"/>
      <c r="H2190" s="5">
        <v>33234</v>
      </c>
    </row>
    <row r="2191" spans="1:8">
      <c r="A2191" s="5">
        <v>2025</v>
      </c>
      <c r="B2191" s="6">
        <v>45870</v>
      </c>
      <c r="C2191" s="5" t="s">
        <v>17</v>
      </c>
      <c r="D2191" s="3" t="str" cm="1">
        <f t="array" ref="D2191">_xlfn.IFS(
 ISNUMBER(SEARCH("WHISK",C2191)),"Whiskey",
 ISNUMBER(SEARCH("BOURBON",C2191)),"Whiskey",
 ISNUMBER(SEARCH("SCOTCH",C2191)),"Whiskey",
 ISNUMBER(SEARCH("RYE",C2191)),"Whiskey",
 ISNUMBER(SEARCH("VODKA",C2191)),"Vodka",
 ISNUMBER(SEARCH("TEQUILA",C2191)),"Tequila/Mezcal",
 ISNUMBER(SEARCH("MEZCAL",C2191)),"Tequila/Mezcal",
 ISNUMBER(SEARCH("RUM",C2191)),"Rum",
 ISNUMBER(SEARCH("BRAND",C2191)),"Brandy",
 ISNUMBER(SEARCH("COGNAC",C2191)),"Brandy",
 ISNUMBER(SEARCH("LIQUEUR",C2191)),"Liqueurs",
 ISNUMBER(SEARCH("CORDIAL",C2191)),"Liqueurs",
 ISNUMBER(SEARCH("SCHNAPP",C2191)),"Liqueurs",
 ISNUMBER(SEARCH("GIN",C2191)),"Gin",
 TRUE,"Other")</f>
        <v>Whiskey</v>
      </c>
      <c r="E2191" s="5">
        <v>4639</v>
      </c>
      <c r="F2191" s="5">
        <v>150925.67000000001</v>
      </c>
      <c r="G2191" s="5"/>
      <c r="H2191" s="5">
        <v>1262</v>
      </c>
    </row>
    <row r="2192" spans="1:8">
      <c r="A2192" s="5">
        <v>2025</v>
      </c>
      <c r="B2192" s="6">
        <v>45870</v>
      </c>
      <c r="C2192" s="5" t="s">
        <v>18</v>
      </c>
      <c r="D2192" s="3" t="str" cm="1">
        <f t="array" ref="D2192">_xlfn.IFS(
 ISNUMBER(SEARCH("WHISK",C2192)),"Whiskey",
 ISNUMBER(SEARCH("BOURBON",C2192)),"Whiskey",
 ISNUMBER(SEARCH("SCOTCH",C2192)),"Whiskey",
 ISNUMBER(SEARCH("RYE",C2192)),"Whiskey",
 ISNUMBER(SEARCH("VODKA",C2192)),"Vodka",
 ISNUMBER(SEARCH("TEQUILA",C2192)),"Tequila/Mezcal",
 ISNUMBER(SEARCH("MEZCAL",C2192)),"Tequila/Mezcal",
 ISNUMBER(SEARCH("RUM",C2192)),"Rum",
 ISNUMBER(SEARCH("BRAND",C2192)),"Brandy",
 ISNUMBER(SEARCH("COGNAC",C2192)),"Brandy",
 ISNUMBER(SEARCH("LIQUEUR",C2192)),"Liqueurs",
 ISNUMBER(SEARCH("CORDIAL",C2192)),"Liqueurs",
 ISNUMBER(SEARCH("SCHNAPP",C2192)),"Liqueurs",
 ISNUMBER(SEARCH("GIN",C2192)),"Gin",
 TRUE,"Other")</f>
        <v>Whiskey</v>
      </c>
      <c r="E2192" s="5">
        <v>195157</v>
      </c>
      <c r="F2192" s="5">
        <v>2975668.2799998117</v>
      </c>
      <c r="G2192" s="5"/>
      <c r="H2192" s="5">
        <v>18101</v>
      </c>
    </row>
    <row r="2193" spans="1:8">
      <c r="A2193" s="5">
        <v>2025</v>
      </c>
      <c r="B2193" s="6">
        <v>45870</v>
      </c>
      <c r="C2193" s="5" t="s">
        <v>42</v>
      </c>
      <c r="D2193" s="3" t="str" cm="1">
        <f t="array" ref="D2193">_xlfn.IFS(
 ISNUMBER(SEARCH("WHISK",C2193)),"Whiskey",
 ISNUMBER(SEARCH("BOURBON",C2193)),"Whiskey",
 ISNUMBER(SEARCH("SCOTCH",C2193)),"Whiskey",
 ISNUMBER(SEARCH("RYE",C2193)),"Whiskey",
 ISNUMBER(SEARCH("VODKA",C2193)),"Vodka",
 ISNUMBER(SEARCH("TEQUILA",C2193)),"Tequila/Mezcal",
 ISNUMBER(SEARCH("MEZCAL",C2193)),"Tequila/Mezcal",
 ISNUMBER(SEARCH("RUM",C2193)),"Rum",
 ISNUMBER(SEARCH("BRAND",C2193)),"Brandy",
 ISNUMBER(SEARCH("COGNAC",C2193)),"Brandy",
 ISNUMBER(SEARCH("LIQUEUR",C2193)),"Liqueurs",
 ISNUMBER(SEARCH("CORDIAL",C2193)),"Liqueurs",
 ISNUMBER(SEARCH("SCHNAPP",C2193)),"Liqueurs",
 ISNUMBER(SEARCH("GIN",C2193)),"Gin",
 TRUE,"Other")</f>
        <v>Rum</v>
      </c>
      <c r="E2193" s="5">
        <v>93056</v>
      </c>
      <c r="F2193" s="5">
        <v>1284356.8599999498</v>
      </c>
      <c r="G2193" s="5"/>
      <c r="H2193" s="5">
        <v>7211</v>
      </c>
    </row>
    <row r="2194" spans="1:8">
      <c r="A2194" s="5">
        <v>2025</v>
      </c>
      <c r="B2194" s="6">
        <v>45870</v>
      </c>
      <c r="C2194" s="5" t="s">
        <v>43</v>
      </c>
      <c r="D2194" s="3" t="str" cm="1">
        <f t="array" ref="D2194">_xlfn.IFS(
 ISNUMBER(SEARCH("WHISK",C2194)),"Whiskey",
 ISNUMBER(SEARCH("BOURBON",C2194)),"Whiskey",
 ISNUMBER(SEARCH("SCOTCH",C2194)),"Whiskey",
 ISNUMBER(SEARCH("RYE",C2194)),"Whiskey",
 ISNUMBER(SEARCH("VODKA",C2194)),"Vodka",
 ISNUMBER(SEARCH("TEQUILA",C2194)),"Tequila/Mezcal",
 ISNUMBER(SEARCH("MEZCAL",C2194)),"Tequila/Mezcal",
 ISNUMBER(SEARCH("RUM",C2194)),"Rum",
 ISNUMBER(SEARCH("BRAND",C2194)),"Brandy",
 ISNUMBER(SEARCH("COGNAC",C2194)),"Brandy",
 ISNUMBER(SEARCH("LIQUEUR",C2194)),"Liqueurs",
 ISNUMBER(SEARCH("CORDIAL",C2194)),"Liqueurs",
 ISNUMBER(SEARCH("SCHNAPP",C2194)),"Liqueurs",
 ISNUMBER(SEARCH("GIN",C2194)),"Gin",
 TRUE,"Other")</f>
        <v>Whiskey</v>
      </c>
      <c r="E2194" s="5">
        <v>129776</v>
      </c>
      <c r="F2194" s="5">
        <v>2987001.1800000053</v>
      </c>
      <c r="G2194" s="5"/>
      <c r="H2194" s="5">
        <v>15677</v>
      </c>
    </row>
    <row r="2195" spans="1:8">
      <c r="A2195" s="5">
        <v>2025</v>
      </c>
      <c r="B2195" s="6">
        <v>45870</v>
      </c>
      <c r="C2195" s="5" t="s">
        <v>48</v>
      </c>
      <c r="D2195" s="3" t="str" cm="1">
        <f t="array" ref="D2195">_xlfn.IFS(
 ISNUMBER(SEARCH("WHISK",C2195)),"Whiskey",
 ISNUMBER(SEARCH("BOURBON",C2195)),"Whiskey",
 ISNUMBER(SEARCH("SCOTCH",C2195)),"Whiskey",
 ISNUMBER(SEARCH("RYE",C2195)),"Whiskey",
 ISNUMBER(SEARCH("VODKA",C2195)),"Vodka",
 ISNUMBER(SEARCH("TEQUILA",C2195)),"Tequila/Mezcal",
 ISNUMBER(SEARCH("MEZCAL",C2195)),"Tequila/Mezcal",
 ISNUMBER(SEARCH("RUM",C2195)),"Rum",
 ISNUMBER(SEARCH("BRAND",C2195)),"Brandy",
 ISNUMBER(SEARCH("COGNAC",C2195)),"Brandy",
 ISNUMBER(SEARCH("LIQUEUR",C2195)),"Liqueurs",
 ISNUMBER(SEARCH("CORDIAL",C2195)),"Liqueurs",
 ISNUMBER(SEARCH("SCHNAPP",C2195)),"Liqueurs",
 ISNUMBER(SEARCH("GIN",C2195)),"Gin",
 TRUE,"Other")</f>
        <v>Whiskey</v>
      </c>
      <c r="E2195" s="5">
        <v>440717</v>
      </c>
      <c r="F2195" s="5">
        <v>2471809.4700000035</v>
      </c>
      <c r="G2195" s="5"/>
      <c r="H2195" s="5">
        <v>15080</v>
      </c>
    </row>
    <row r="2196" spans="1:8">
      <c r="A2196" s="5">
        <v>2025</v>
      </c>
      <c r="B2196" s="6">
        <v>45870</v>
      </c>
      <c r="C2196" s="5" t="s">
        <v>50</v>
      </c>
      <c r="D2196" s="3" t="str" cm="1">
        <f t="array" ref="D2196">_xlfn.IFS(
 ISNUMBER(SEARCH("WHISK",C2196)),"Whiskey",
 ISNUMBER(SEARCH("BOURBON",C2196)),"Whiskey",
 ISNUMBER(SEARCH("SCOTCH",C2196)),"Whiskey",
 ISNUMBER(SEARCH("RYE",C2196)),"Whiskey",
 ISNUMBER(SEARCH("VODKA",C2196)),"Vodka",
 ISNUMBER(SEARCH("TEQUILA",C2196)),"Tequila/Mezcal",
 ISNUMBER(SEARCH("MEZCAL",C2196)),"Tequila/Mezcal",
 ISNUMBER(SEARCH("RUM",C2196)),"Rum",
 ISNUMBER(SEARCH("BRAND",C2196)),"Brandy",
 ISNUMBER(SEARCH("COGNAC",C2196)),"Brandy",
 ISNUMBER(SEARCH("LIQUEUR",C2196)),"Liqueurs",
 ISNUMBER(SEARCH("CORDIAL",C2196)),"Liqueurs",
 ISNUMBER(SEARCH("SCHNAPP",C2196)),"Liqueurs",
 ISNUMBER(SEARCH("GIN",C2196)),"Gin",
 TRUE,"Other")</f>
        <v>Tequila/Mezcal</v>
      </c>
      <c r="E2196" s="5">
        <v>101547</v>
      </c>
      <c r="F2196" s="5">
        <v>2762536.1499999361</v>
      </c>
      <c r="G2196" s="5"/>
      <c r="H2196" s="5">
        <v>11526</v>
      </c>
    </row>
    <row r="2197" spans="1:8">
      <c r="A2197" s="5">
        <v>2025</v>
      </c>
      <c r="B2197" s="6">
        <v>45870</v>
      </c>
      <c r="C2197" s="5" t="s">
        <v>12</v>
      </c>
      <c r="D2197" s="3" t="str" cm="1">
        <f t="array" ref="D2197">_xlfn.IFS(
 ISNUMBER(SEARCH("WHISK",C2197)),"Whiskey",
 ISNUMBER(SEARCH("BOURBON",C2197)),"Whiskey",
 ISNUMBER(SEARCH("SCOTCH",C2197)),"Whiskey",
 ISNUMBER(SEARCH("RYE",C2197)),"Whiskey",
 ISNUMBER(SEARCH("VODKA",C2197)),"Vodka",
 ISNUMBER(SEARCH("TEQUILA",C2197)),"Tequila/Mezcal",
 ISNUMBER(SEARCH("MEZCAL",C2197)),"Tequila/Mezcal",
 ISNUMBER(SEARCH("RUM",C2197)),"Rum",
 ISNUMBER(SEARCH("BRAND",C2197)),"Brandy",
 ISNUMBER(SEARCH("COGNAC",C2197)),"Brandy",
 ISNUMBER(SEARCH("LIQUEUR",C2197)),"Liqueurs",
 ISNUMBER(SEARCH("CORDIAL",C2197)),"Liqueurs",
 ISNUMBER(SEARCH("SCHNAPP",C2197)),"Liqueurs",
 ISNUMBER(SEARCH("GIN",C2197)),"Gin",
 TRUE,"Other")</f>
        <v>Vodka</v>
      </c>
      <c r="E2197" s="5">
        <v>84160</v>
      </c>
      <c r="F2197" s="5">
        <v>957850.72000004747</v>
      </c>
      <c r="G2197" s="5"/>
      <c r="H2197" s="5">
        <v>9836</v>
      </c>
    </row>
    <row r="2198" spans="1:8">
      <c r="A2198" s="5">
        <v>2025</v>
      </c>
      <c r="B2198" s="6">
        <v>45870</v>
      </c>
      <c r="C2198" s="5" t="s">
        <v>16</v>
      </c>
      <c r="D2198" s="3" t="str" cm="1">
        <f t="array" ref="D2198">_xlfn.IFS(
 ISNUMBER(SEARCH("WHISK",C2198)),"Whiskey",
 ISNUMBER(SEARCH("BOURBON",C2198)),"Whiskey",
 ISNUMBER(SEARCH("SCOTCH",C2198)),"Whiskey",
 ISNUMBER(SEARCH("RYE",C2198)),"Whiskey",
 ISNUMBER(SEARCH("VODKA",C2198)),"Vodka",
 ISNUMBER(SEARCH("TEQUILA",C2198)),"Tequila/Mezcal",
 ISNUMBER(SEARCH("MEZCAL",C2198)),"Tequila/Mezcal",
 ISNUMBER(SEARCH("RUM",C2198)),"Rum",
 ISNUMBER(SEARCH("BRAND",C2198)),"Brandy",
 ISNUMBER(SEARCH("COGNAC",C2198)),"Brandy",
 ISNUMBER(SEARCH("LIQUEUR",C2198)),"Liqueurs",
 ISNUMBER(SEARCH("CORDIAL",C2198)),"Liqueurs",
 ISNUMBER(SEARCH("SCHNAPP",C2198)),"Liqueurs",
 ISNUMBER(SEARCH("GIN",C2198)),"Gin",
 TRUE,"Other")</f>
        <v>Whiskey</v>
      </c>
      <c r="E2198" s="5">
        <v>64576</v>
      </c>
      <c r="F2198" s="5">
        <v>886013.78999998583</v>
      </c>
      <c r="G2198" s="5"/>
      <c r="H2198" s="5">
        <v>6722</v>
      </c>
    </row>
    <row r="2199" spans="1:8">
      <c r="A2199" s="5">
        <v>2025</v>
      </c>
      <c r="B2199" s="6">
        <v>45870</v>
      </c>
      <c r="C2199" s="5" t="s">
        <v>19</v>
      </c>
      <c r="D2199" s="3" t="str" cm="1">
        <f t="array" ref="D2199">_xlfn.IFS(
 ISNUMBER(SEARCH("WHISK",C2199)),"Whiskey",
 ISNUMBER(SEARCH("BOURBON",C2199)),"Whiskey",
 ISNUMBER(SEARCH("SCOTCH",C2199)),"Whiskey",
 ISNUMBER(SEARCH("RYE",C2199)),"Whiskey",
 ISNUMBER(SEARCH("VODKA",C2199)),"Vodka",
 ISNUMBER(SEARCH("TEQUILA",C2199)),"Tequila/Mezcal",
 ISNUMBER(SEARCH("MEZCAL",C2199)),"Tequila/Mezcal",
 ISNUMBER(SEARCH("RUM",C2199)),"Rum",
 ISNUMBER(SEARCH("BRAND",C2199)),"Brandy",
 ISNUMBER(SEARCH("COGNAC",C2199)),"Brandy",
 ISNUMBER(SEARCH("LIQUEUR",C2199)),"Liqueurs",
 ISNUMBER(SEARCH("CORDIAL",C2199)),"Liqueurs",
 ISNUMBER(SEARCH("SCHNAPP",C2199)),"Liqueurs",
 ISNUMBER(SEARCH("GIN",C2199)),"Gin",
 TRUE,"Other")</f>
        <v>Other</v>
      </c>
      <c r="E2199" s="5">
        <v>65037</v>
      </c>
      <c r="F2199" s="5">
        <v>755359.5299999984</v>
      </c>
      <c r="G2199" s="5"/>
      <c r="H2199" s="5">
        <v>7087</v>
      </c>
    </row>
    <row r="2200" spans="1:8">
      <c r="A2200" s="5">
        <v>2025</v>
      </c>
      <c r="B2200" s="6">
        <v>45870</v>
      </c>
      <c r="C2200" s="5" t="s">
        <v>24</v>
      </c>
      <c r="D2200" s="3" t="str" cm="1">
        <f t="array" ref="D2200">_xlfn.IFS(
 ISNUMBER(SEARCH("WHISK",C2200)),"Whiskey",
 ISNUMBER(SEARCH("BOURBON",C2200)),"Whiskey",
 ISNUMBER(SEARCH("SCOTCH",C2200)),"Whiskey",
 ISNUMBER(SEARCH("RYE",C2200)),"Whiskey",
 ISNUMBER(SEARCH("VODKA",C2200)),"Vodka",
 ISNUMBER(SEARCH("TEQUILA",C2200)),"Tequila/Mezcal",
 ISNUMBER(SEARCH("MEZCAL",C2200)),"Tequila/Mezcal",
 ISNUMBER(SEARCH("RUM",C2200)),"Rum",
 ISNUMBER(SEARCH("BRAND",C2200)),"Brandy",
 ISNUMBER(SEARCH("COGNAC",C2200)),"Brandy",
 ISNUMBER(SEARCH("LIQUEUR",C2200)),"Liqueurs",
 ISNUMBER(SEARCH("CORDIAL",C2200)),"Liqueurs",
 ISNUMBER(SEARCH("SCHNAPP",C2200)),"Liqueurs",
 ISNUMBER(SEARCH("GIN",C2200)),"Gin",
 TRUE,"Other")</f>
        <v>Rum</v>
      </c>
      <c r="E2200" s="5">
        <v>37725</v>
      </c>
      <c r="F2200" s="5">
        <v>561799.479999998</v>
      </c>
      <c r="G2200" s="5"/>
      <c r="H2200" s="5">
        <v>3551</v>
      </c>
    </row>
    <row r="2201" spans="1:8">
      <c r="A2201" s="5">
        <v>2025</v>
      </c>
      <c r="B2201" s="6">
        <v>45870</v>
      </c>
      <c r="C2201" s="5" t="s">
        <v>37</v>
      </c>
      <c r="D2201" s="3" t="str" cm="1">
        <f t="array" ref="D2201">_xlfn.IFS(
 ISNUMBER(SEARCH("WHISK",C2201)),"Whiskey",
 ISNUMBER(SEARCH("BOURBON",C2201)),"Whiskey",
 ISNUMBER(SEARCH("SCOTCH",C2201)),"Whiskey",
 ISNUMBER(SEARCH("RYE",C2201)),"Whiskey",
 ISNUMBER(SEARCH("VODKA",C2201)),"Vodka",
 ISNUMBER(SEARCH("TEQUILA",C2201)),"Tequila/Mezcal",
 ISNUMBER(SEARCH("MEZCAL",C2201)),"Tequila/Mezcal",
 ISNUMBER(SEARCH("RUM",C2201)),"Rum",
 ISNUMBER(SEARCH("BRAND",C2201)),"Brandy",
 ISNUMBER(SEARCH("COGNAC",C2201)),"Brandy",
 ISNUMBER(SEARCH("LIQUEUR",C2201)),"Liqueurs",
 ISNUMBER(SEARCH("CORDIAL",C2201)),"Liqueurs",
 ISNUMBER(SEARCH("SCHNAPP",C2201)),"Liqueurs",
 ISNUMBER(SEARCH("GIN",C2201)),"Gin",
 TRUE,"Other")</f>
        <v>Other</v>
      </c>
      <c r="E2201" s="5">
        <v>12354</v>
      </c>
      <c r="F2201" s="5">
        <v>207169.3900000015</v>
      </c>
      <c r="G2201" s="5"/>
      <c r="H2201" s="5">
        <v>2600</v>
      </c>
    </row>
    <row r="2202" spans="1:8">
      <c r="A2202" s="5">
        <v>2025</v>
      </c>
      <c r="B2202" s="6">
        <v>45870</v>
      </c>
      <c r="C2202" s="5" t="s">
        <v>40</v>
      </c>
      <c r="D2202" s="3" t="str" cm="1">
        <f t="array" ref="D2202">_xlfn.IFS(
 ISNUMBER(SEARCH("WHISK",C2202)),"Whiskey",
 ISNUMBER(SEARCH("BOURBON",C2202)),"Whiskey",
 ISNUMBER(SEARCH("SCOTCH",C2202)),"Whiskey",
 ISNUMBER(SEARCH("RYE",C2202)),"Whiskey",
 ISNUMBER(SEARCH("VODKA",C2202)),"Vodka",
 ISNUMBER(SEARCH("TEQUILA",C2202)),"Tequila/Mezcal",
 ISNUMBER(SEARCH("MEZCAL",C2202)),"Tequila/Mezcal",
 ISNUMBER(SEARCH("RUM",C2202)),"Rum",
 ISNUMBER(SEARCH("BRAND",C2202)),"Brandy",
 ISNUMBER(SEARCH("COGNAC",C2202)),"Brandy",
 ISNUMBER(SEARCH("LIQUEUR",C2202)),"Liqueurs",
 ISNUMBER(SEARCH("CORDIAL",C2202)),"Liqueurs",
 ISNUMBER(SEARCH("SCHNAPP",C2202)),"Liqueurs",
 ISNUMBER(SEARCH("GIN",C2202)),"Gin",
 TRUE,"Other")</f>
        <v>Whiskey</v>
      </c>
      <c r="E2202" s="5">
        <v>3463</v>
      </c>
      <c r="F2202" s="5">
        <v>194304.68000000052</v>
      </c>
      <c r="G2202" s="5"/>
      <c r="H2202" s="5">
        <v>970</v>
      </c>
    </row>
    <row r="2203" spans="1:8">
      <c r="A2203" s="5">
        <v>2025</v>
      </c>
      <c r="B2203" s="6">
        <v>45870</v>
      </c>
      <c r="C2203" s="5" t="s">
        <v>44</v>
      </c>
      <c r="D2203" s="3" t="str" cm="1">
        <f t="array" ref="D2203">_xlfn.IFS(
 ISNUMBER(SEARCH("WHISK",C2203)),"Whiskey",
 ISNUMBER(SEARCH("BOURBON",C2203)),"Whiskey",
 ISNUMBER(SEARCH("SCOTCH",C2203)),"Whiskey",
 ISNUMBER(SEARCH("RYE",C2203)),"Whiskey",
 ISNUMBER(SEARCH("VODKA",C2203)),"Vodka",
 ISNUMBER(SEARCH("TEQUILA",C2203)),"Tequila/Mezcal",
 ISNUMBER(SEARCH("MEZCAL",C2203)),"Tequila/Mezcal",
 ISNUMBER(SEARCH("RUM",C2203)),"Rum",
 ISNUMBER(SEARCH("BRAND",C2203)),"Brandy",
 ISNUMBER(SEARCH("COGNAC",C2203)),"Brandy",
 ISNUMBER(SEARCH("LIQUEUR",C2203)),"Liqueurs",
 ISNUMBER(SEARCH("CORDIAL",C2203)),"Liqueurs",
 ISNUMBER(SEARCH("SCHNAPP",C2203)),"Liqueurs",
 ISNUMBER(SEARCH("GIN",C2203)),"Gin",
 TRUE,"Other")</f>
        <v>Whiskey</v>
      </c>
      <c r="E2203" s="5">
        <v>7934</v>
      </c>
      <c r="F2203" s="5">
        <v>250391.91000000085</v>
      </c>
      <c r="G2203" s="5"/>
      <c r="H2203" s="5">
        <v>1423</v>
      </c>
    </row>
    <row r="2204" spans="1:8">
      <c r="A2204" s="5">
        <v>2025</v>
      </c>
      <c r="B2204" s="6">
        <v>45870</v>
      </c>
      <c r="C2204" s="5" t="s">
        <v>45</v>
      </c>
      <c r="D2204" s="3" t="str" cm="1">
        <f t="array" ref="D2204">_xlfn.IFS(
 ISNUMBER(SEARCH("WHISK",C2204)),"Whiskey",
 ISNUMBER(SEARCH("BOURBON",C2204)),"Whiskey",
 ISNUMBER(SEARCH("SCOTCH",C2204)),"Whiskey",
 ISNUMBER(SEARCH("RYE",C2204)),"Whiskey",
 ISNUMBER(SEARCH("VODKA",C2204)),"Vodka",
 ISNUMBER(SEARCH("TEQUILA",C2204)),"Tequila/Mezcal",
 ISNUMBER(SEARCH("MEZCAL",C2204)),"Tequila/Mezcal",
 ISNUMBER(SEARCH("RUM",C2204)),"Rum",
 ISNUMBER(SEARCH("BRAND",C2204)),"Brandy",
 ISNUMBER(SEARCH("COGNAC",C2204)),"Brandy",
 ISNUMBER(SEARCH("LIQUEUR",C2204)),"Liqueurs",
 ISNUMBER(SEARCH("CORDIAL",C2204)),"Liqueurs",
 ISNUMBER(SEARCH("SCHNAPP",C2204)),"Liqueurs",
 ISNUMBER(SEARCH("GIN",C2204)),"Gin",
 TRUE,"Other")</f>
        <v>Other</v>
      </c>
      <c r="E2204" s="5">
        <v>33459</v>
      </c>
      <c r="F2204" s="5">
        <v>1035238.5600000079</v>
      </c>
      <c r="G2204" s="5"/>
      <c r="H2204" s="5">
        <v>5717</v>
      </c>
    </row>
    <row r="2205" spans="1:8">
      <c r="A2205" s="5">
        <v>2025</v>
      </c>
      <c r="B2205" s="6">
        <v>45870</v>
      </c>
      <c r="C2205" s="5" t="s">
        <v>27</v>
      </c>
      <c r="D2205" s="3" t="str" cm="1">
        <f t="array" ref="D2205">_xlfn.IFS(
 ISNUMBER(SEARCH("WHISK",C2205)),"Whiskey",
 ISNUMBER(SEARCH("BOURBON",C2205)),"Whiskey",
 ISNUMBER(SEARCH("SCOTCH",C2205)),"Whiskey",
 ISNUMBER(SEARCH("RYE",C2205)),"Whiskey",
 ISNUMBER(SEARCH("VODKA",C2205)),"Vodka",
 ISNUMBER(SEARCH("TEQUILA",C2205)),"Tequila/Mezcal",
 ISNUMBER(SEARCH("MEZCAL",C2205)),"Tequila/Mezcal",
 ISNUMBER(SEARCH("RUM",C2205)),"Rum",
 ISNUMBER(SEARCH("BRAND",C2205)),"Brandy",
 ISNUMBER(SEARCH("COGNAC",C2205)),"Brandy",
 ISNUMBER(SEARCH("LIQUEUR",C2205)),"Liqueurs",
 ISNUMBER(SEARCH("CORDIAL",C2205)),"Liqueurs",
 ISNUMBER(SEARCH("SCHNAPP",C2205)),"Liqueurs",
 ISNUMBER(SEARCH("GIN",C2205)),"Gin",
 TRUE,"Other")</f>
        <v>Liqueurs</v>
      </c>
      <c r="E2205" s="5">
        <v>36541</v>
      </c>
      <c r="F2205" s="5">
        <v>868173.99000000535</v>
      </c>
      <c r="G2205" s="5"/>
      <c r="H2205" s="5">
        <v>4591</v>
      </c>
    </row>
    <row r="2206" spans="1:8">
      <c r="A2206" s="5">
        <v>2025</v>
      </c>
      <c r="B2206" s="6">
        <v>45870</v>
      </c>
      <c r="C2206" s="5" t="s">
        <v>35</v>
      </c>
      <c r="D2206" s="3" t="str" cm="1">
        <f t="array" ref="D2206">_xlfn.IFS(
 ISNUMBER(SEARCH("WHISK",C2206)),"Whiskey",
 ISNUMBER(SEARCH("BOURBON",C2206)),"Whiskey",
 ISNUMBER(SEARCH("SCOTCH",C2206)),"Whiskey",
 ISNUMBER(SEARCH("RYE",C2206)),"Whiskey",
 ISNUMBER(SEARCH("VODKA",C2206)),"Vodka",
 ISNUMBER(SEARCH("TEQUILA",C2206)),"Tequila/Mezcal",
 ISNUMBER(SEARCH("MEZCAL",C2206)),"Tequila/Mezcal",
 ISNUMBER(SEARCH("RUM",C2206)),"Rum",
 ISNUMBER(SEARCH("BRAND",C2206)),"Brandy",
 ISNUMBER(SEARCH("COGNAC",C2206)),"Brandy",
 ISNUMBER(SEARCH("LIQUEUR",C2206)),"Liqueurs",
 ISNUMBER(SEARCH("CORDIAL",C2206)),"Liqueurs",
 ISNUMBER(SEARCH("SCHNAPP",C2206)),"Liqueurs",
 ISNUMBER(SEARCH("GIN",C2206)),"Gin",
 TRUE,"Other")</f>
        <v>Tequila/Mezcal</v>
      </c>
      <c r="E2206" s="5">
        <v>63911</v>
      </c>
      <c r="F2206" s="5">
        <v>878388.09999999369</v>
      </c>
      <c r="G2206" s="5"/>
      <c r="H2206" s="5">
        <v>4640</v>
      </c>
    </row>
    <row r="2207" spans="1:8">
      <c r="A2207" s="5">
        <v>2025</v>
      </c>
      <c r="B2207" s="6">
        <v>45870</v>
      </c>
      <c r="C2207" s="5" t="s">
        <v>46</v>
      </c>
      <c r="D2207" s="3" t="str" cm="1">
        <f t="array" ref="D2207">_xlfn.IFS(
 ISNUMBER(SEARCH("WHISK",C2207)),"Whiskey",
 ISNUMBER(SEARCH("BOURBON",C2207)),"Whiskey",
 ISNUMBER(SEARCH("SCOTCH",C2207)),"Whiskey",
 ISNUMBER(SEARCH("RYE",C2207)),"Whiskey",
 ISNUMBER(SEARCH("VODKA",C2207)),"Vodka",
 ISNUMBER(SEARCH("TEQUILA",C2207)),"Tequila/Mezcal",
 ISNUMBER(SEARCH("MEZCAL",C2207)),"Tequila/Mezcal",
 ISNUMBER(SEARCH("RUM",C2207)),"Rum",
 ISNUMBER(SEARCH("BRAND",C2207)),"Brandy",
 ISNUMBER(SEARCH("COGNAC",C2207)),"Brandy",
 ISNUMBER(SEARCH("LIQUEUR",C2207)),"Liqueurs",
 ISNUMBER(SEARCH("CORDIAL",C2207)),"Liqueurs",
 ISNUMBER(SEARCH("SCHNAPP",C2207)),"Liqueurs",
 ISNUMBER(SEARCH("GIN",C2207)),"Gin",
 TRUE,"Other")</f>
        <v>Whiskey</v>
      </c>
      <c r="E2207" s="5">
        <v>52702</v>
      </c>
      <c r="F2207" s="5">
        <v>1120521.4199999887</v>
      </c>
      <c r="G2207" s="5"/>
      <c r="H2207" s="5">
        <v>6074</v>
      </c>
    </row>
    <row r="2208" spans="1:8">
      <c r="A2208" s="5">
        <v>2025</v>
      </c>
      <c r="B2208" s="6">
        <v>45870</v>
      </c>
      <c r="C2208" s="5" t="s">
        <v>49</v>
      </c>
      <c r="D2208" s="3" t="str" cm="1">
        <f t="array" ref="D2208">_xlfn.IFS(
 ISNUMBER(SEARCH("WHISK",C2208)),"Whiskey",
 ISNUMBER(SEARCH("BOURBON",C2208)),"Whiskey",
 ISNUMBER(SEARCH("SCOTCH",C2208)),"Whiskey",
 ISNUMBER(SEARCH("RYE",C2208)),"Whiskey",
 ISNUMBER(SEARCH("VODKA",C2208)),"Vodka",
 ISNUMBER(SEARCH("TEQUILA",C2208)),"Tequila/Mezcal",
 ISNUMBER(SEARCH("MEZCAL",C2208)),"Tequila/Mezcal",
 ISNUMBER(SEARCH("RUM",C2208)),"Rum",
 ISNUMBER(SEARCH("BRAND",C2208)),"Brandy",
 ISNUMBER(SEARCH("COGNAC",C2208)),"Brandy",
 ISNUMBER(SEARCH("LIQUEUR",C2208)),"Liqueurs",
 ISNUMBER(SEARCH("CORDIAL",C2208)),"Liqueurs",
 ISNUMBER(SEARCH("SCHNAPP",C2208)),"Liqueurs",
 ISNUMBER(SEARCH("GIN",C2208)),"Gin",
 TRUE,"Other")</f>
        <v>Rum</v>
      </c>
      <c r="E2208" s="5">
        <v>35345</v>
      </c>
      <c r="F2208" s="5">
        <v>433167.56000000052</v>
      </c>
      <c r="G2208" s="5"/>
      <c r="H2208" s="5">
        <v>3006</v>
      </c>
    </row>
    <row r="2209" spans="1:8">
      <c r="A2209" s="5">
        <v>2025</v>
      </c>
      <c r="B2209" s="6">
        <v>45870</v>
      </c>
      <c r="C2209" s="5" t="s">
        <v>39</v>
      </c>
      <c r="D2209" s="3" t="str" cm="1">
        <f t="array" ref="D2209">_xlfn.IFS(
 ISNUMBER(SEARCH("WHISK",C2209)),"Whiskey",
 ISNUMBER(SEARCH("BOURBON",C2209)),"Whiskey",
 ISNUMBER(SEARCH("SCOTCH",C2209)),"Whiskey",
 ISNUMBER(SEARCH("RYE",C2209)),"Whiskey",
 ISNUMBER(SEARCH("VODKA",C2209)),"Vodka",
 ISNUMBER(SEARCH("TEQUILA",C2209)),"Tequila/Mezcal",
 ISNUMBER(SEARCH("MEZCAL",C2209)),"Tequila/Mezcal",
 ISNUMBER(SEARCH("RUM",C2209)),"Rum",
 ISNUMBER(SEARCH("BRAND",C2209)),"Brandy",
 ISNUMBER(SEARCH("COGNAC",C2209)),"Brandy",
 ISNUMBER(SEARCH("LIQUEUR",C2209)),"Liqueurs",
 ISNUMBER(SEARCH("CORDIAL",C2209)),"Liqueurs",
 ISNUMBER(SEARCH("SCHNAPP",C2209)),"Liqueurs",
 ISNUMBER(SEARCH("GIN",C2209)),"Gin",
 TRUE,"Other")</f>
        <v>Whiskey</v>
      </c>
      <c r="E2209" s="5">
        <v>4180</v>
      </c>
      <c r="F2209" s="5">
        <v>173610.77999999997</v>
      </c>
      <c r="G2209" s="5"/>
      <c r="H2209" s="5">
        <v>785</v>
      </c>
    </row>
    <row r="2210" spans="1:8">
      <c r="A2210" s="5">
        <v>2025</v>
      </c>
      <c r="B2210" s="6">
        <v>45870</v>
      </c>
      <c r="C2210" s="5" t="s">
        <v>22</v>
      </c>
      <c r="D2210" s="3" t="str" cm="1">
        <f t="array" ref="D2210">_xlfn.IFS(
 ISNUMBER(SEARCH("WHISK",C2210)),"Whiskey",
 ISNUMBER(SEARCH("BOURBON",C2210)),"Whiskey",
 ISNUMBER(SEARCH("SCOTCH",C2210)),"Whiskey",
 ISNUMBER(SEARCH("RYE",C2210)),"Whiskey",
 ISNUMBER(SEARCH("VODKA",C2210)),"Vodka",
 ISNUMBER(SEARCH("TEQUILA",C2210)),"Tequila/Mezcal",
 ISNUMBER(SEARCH("MEZCAL",C2210)),"Tequila/Mezcal",
 ISNUMBER(SEARCH("RUM",C2210)),"Rum",
 ISNUMBER(SEARCH("BRAND",C2210)),"Brandy",
 ISNUMBER(SEARCH("COGNAC",C2210)),"Brandy",
 ISNUMBER(SEARCH("LIQUEUR",C2210)),"Liqueurs",
 ISNUMBER(SEARCH("CORDIAL",C2210)),"Liqueurs",
 ISNUMBER(SEARCH("SCHNAPP",C2210)),"Liqueurs",
 ISNUMBER(SEARCH("GIN",C2210)),"Gin",
 TRUE,"Other")</f>
        <v>Liqueurs</v>
      </c>
      <c r="E2210" s="5">
        <v>19634</v>
      </c>
      <c r="F2210" s="5">
        <v>387628.5699999978</v>
      </c>
      <c r="G2210" s="5"/>
      <c r="H2210" s="5">
        <v>2693</v>
      </c>
    </row>
    <row r="2211" spans="1:8">
      <c r="A2211" s="5">
        <v>2025</v>
      </c>
      <c r="B2211" s="6">
        <v>45870</v>
      </c>
      <c r="C2211" s="5" t="s">
        <v>32</v>
      </c>
      <c r="D2211" s="3" t="str" cm="1">
        <f t="array" ref="D2211">_xlfn.IFS(
 ISNUMBER(SEARCH("WHISK",C2211)),"Whiskey",
 ISNUMBER(SEARCH("BOURBON",C2211)),"Whiskey",
 ISNUMBER(SEARCH("SCOTCH",C2211)),"Whiskey",
 ISNUMBER(SEARCH("RYE",C2211)),"Whiskey",
 ISNUMBER(SEARCH("VODKA",C2211)),"Vodka",
 ISNUMBER(SEARCH("TEQUILA",C2211)),"Tequila/Mezcal",
 ISNUMBER(SEARCH("MEZCAL",C2211)),"Tequila/Mezcal",
 ISNUMBER(SEARCH("RUM",C2211)),"Rum",
 ISNUMBER(SEARCH("BRAND",C2211)),"Brandy",
 ISNUMBER(SEARCH("COGNAC",C2211)),"Brandy",
 ISNUMBER(SEARCH("LIQUEUR",C2211)),"Liqueurs",
 ISNUMBER(SEARCH("CORDIAL",C2211)),"Liqueurs",
 ISNUMBER(SEARCH("SCHNAPP",C2211)),"Liqueurs",
 ISNUMBER(SEARCH("GIN",C2211)),"Gin",
 TRUE,"Other")</f>
        <v>Vodka</v>
      </c>
      <c r="E2211" s="5">
        <v>54364</v>
      </c>
      <c r="F2211" s="5">
        <v>914168.48999998264</v>
      </c>
      <c r="G2211" s="5"/>
      <c r="H2211" s="5">
        <v>4553</v>
      </c>
    </row>
    <row r="2212" spans="1:8">
      <c r="A2212" s="5">
        <v>2025</v>
      </c>
      <c r="B2212" s="6">
        <v>45870</v>
      </c>
      <c r="C2212" s="5" t="s">
        <v>29</v>
      </c>
      <c r="D2212" s="3" t="str" cm="1">
        <f t="array" ref="D2212">_xlfn.IFS(
 ISNUMBER(SEARCH("WHISK",C2212)),"Whiskey",
 ISNUMBER(SEARCH("BOURBON",C2212)),"Whiskey",
 ISNUMBER(SEARCH("SCOTCH",C2212)),"Whiskey",
 ISNUMBER(SEARCH("RYE",C2212)),"Whiskey",
 ISNUMBER(SEARCH("VODKA",C2212)),"Vodka",
 ISNUMBER(SEARCH("TEQUILA",C2212)),"Tequila/Mezcal",
 ISNUMBER(SEARCH("MEZCAL",C2212)),"Tequila/Mezcal",
 ISNUMBER(SEARCH("RUM",C2212)),"Rum",
 ISNUMBER(SEARCH("BRAND",C2212)),"Brandy",
 ISNUMBER(SEARCH("COGNAC",C2212)),"Brandy",
 ISNUMBER(SEARCH("LIQUEUR",C2212)),"Liqueurs",
 ISNUMBER(SEARCH("CORDIAL",C2212)),"Liqueurs",
 ISNUMBER(SEARCH("SCHNAPP",C2212)),"Liqueurs",
 ISNUMBER(SEARCH("GIN",C2212)),"Gin",
 TRUE,"Other")</f>
        <v>Gin</v>
      </c>
      <c r="E2212" s="5">
        <v>18452</v>
      </c>
      <c r="F2212" s="5">
        <v>478843.00999999937</v>
      </c>
      <c r="G2212" s="5"/>
      <c r="H2212" s="5">
        <v>2131</v>
      </c>
    </row>
    <row r="2213" spans="1:8">
      <c r="A2213" s="5">
        <v>2025</v>
      </c>
      <c r="B2213" s="6">
        <v>45870</v>
      </c>
      <c r="C2213" s="5" t="s">
        <v>33</v>
      </c>
      <c r="D2213" s="3" t="str" cm="1">
        <f t="array" ref="D2213">_xlfn.IFS(
 ISNUMBER(SEARCH("WHISK",C2213)),"Whiskey",
 ISNUMBER(SEARCH("BOURBON",C2213)),"Whiskey",
 ISNUMBER(SEARCH("SCOTCH",C2213)),"Whiskey",
 ISNUMBER(SEARCH("RYE",C2213)),"Whiskey",
 ISNUMBER(SEARCH("VODKA",C2213)),"Vodka",
 ISNUMBER(SEARCH("TEQUILA",C2213)),"Tequila/Mezcal",
 ISNUMBER(SEARCH("MEZCAL",C2213)),"Tequila/Mezcal",
 ISNUMBER(SEARCH("RUM",C2213)),"Rum",
 ISNUMBER(SEARCH("BRAND",C2213)),"Brandy",
 ISNUMBER(SEARCH("COGNAC",C2213)),"Brandy",
 ISNUMBER(SEARCH("LIQUEUR",C2213)),"Liqueurs",
 ISNUMBER(SEARCH("CORDIAL",C2213)),"Liqueurs",
 ISNUMBER(SEARCH("SCHNAPP",C2213)),"Liqueurs",
 ISNUMBER(SEARCH("GIN",C2213)),"Gin",
 TRUE,"Other")</f>
        <v>Whiskey</v>
      </c>
      <c r="E2213" s="5">
        <v>25563</v>
      </c>
      <c r="F2213" s="5">
        <v>703316.96999999532</v>
      </c>
      <c r="G2213" s="5"/>
      <c r="H2213" s="5">
        <v>2359</v>
      </c>
    </row>
    <row r="2214" spans="1:8">
      <c r="A2214" s="5">
        <v>2025</v>
      </c>
      <c r="B2214" s="6">
        <v>45870</v>
      </c>
      <c r="C2214" s="5" t="s">
        <v>8</v>
      </c>
      <c r="D2214" s="3" t="str" cm="1">
        <f t="array" ref="D2214">_xlfn.IFS(
 ISNUMBER(SEARCH("WHISK",C2214)),"Whiskey",
 ISNUMBER(SEARCH("BOURBON",C2214)),"Whiskey",
 ISNUMBER(SEARCH("SCOTCH",C2214)),"Whiskey",
 ISNUMBER(SEARCH("RYE",C2214)),"Whiskey",
 ISNUMBER(SEARCH("VODKA",C2214)),"Vodka",
 ISNUMBER(SEARCH("TEQUILA",C2214)),"Tequila/Mezcal",
 ISNUMBER(SEARCH("MEZCAL",C2214)),"Tequila/Mezcal",
 ISNUMBER(SEARCH("RUM",C2214)),"Rum",
 ISNUMBER(SEARCH("BRAND",C2214)),"Brandy",
 ISNUMBER(SEARCH("COGNAC",C2214)),"Brandy",
 ISNUMBER(SEARCH("LIQUEUR",C2214)),"Liqueurs",
 ISNUMBER(SEARCH("CORDIAL",C2214)),"Liqueurs",
 ISNUMBER(SEARCH("SCHNAPP",C2214)),"Liqueurs",
 ISNUMBER(SEARCH("GIN",C2214)),"Gin",
 TRUE,"Other")</f>
        <v>Brandy</v>
      </c>
      <c r="E2214" s="5">
        <v>47730</v>
      </c>
      <c r="F2214" s="5">
        <v>296275.46000000229</v>
      </c>
      <c r="G2214" s="5"/>
      <c r="H2214" s="5">
        <v>3722</v>
      </c>
    </row>
    <row r="2215" spans="1:8">
      <c r="A2215" s="5">
        <v>2025</v>
      </c>
      <c r="B2215" s="6">
        <v>45870</v>
      </c>
      <c r="C2215" s="5" t="s">
        <v>11</v>
      </c>
      <c r="D2215" s="3" t="str" cm="1">
        <f t="array" ref="D2215">_xlfn.IFS(
 ISNUMBER(SEARCH("WHISK",C2215)),"Whiskey",
 ISNUMBER(SEARCH("BOURBON",C2215)),"Whiskey",
 ISNUMBER(SEARCH("SCOTCH",C2215)),"Whiskey",
 ISNUMBER(SEARCH("RYE",C2215)),"Whiskey",
 ISNUMBER(SEARCH("VODKA",C2215)),"Vodka",
 ISNUMBER(SEARCH("TEQUILA",C2215)),"Tequila/Mezcal",
 ISNUMBER(SEARCH("MEZCAL",C2215)),"Tequila/Mezcal",
 ISNUMBER(SEARCH("RUM",C2215)),"Rum",
 ISNUMBER(SEARCH("BRAND",C2215)),"Brandy",
 ISNUMBER(SEARCH("COGNAC",C2215)),"Brandy",
 ISNUMBER(SEARCH("LIQUEUR",C2215)),"Liqueurs",
 ISNUMBER(SEARCH("CORDIAL",C2215)),"Liqueurs",
 ISNUMBER(SEARCH("SCHNAPP",C2215)),"Liqueurs",
 ISNUMBER(SEARCH("GIN",C2215)),"Gin",
 TRUE,"Other")</f>
        <v>Gin</v>
      </c>
      <c r="E2215" s="5">
        <v>25801</v>
      </c>
      <c r="F2215" s="5">
        <v>247856.54000000108</v>
      </c>
      <c r="G2215" s="5"/>
      <c r="H2215" s="5">
        <v>2390</v>
      </c>
    </row>
    <row r="2216" spans="1:8">
      <c r="A2216" s="5">
        <v>2025</v>
      </c>
      <c r="B2216" s="6">
        <v>45870</v>
      </c>
      <c r="C2216" s="5" t="s">
        <v>20</v>
      </c>
      <c r="D2216" s="3" t="str" cm="1">
        <f t="array" ref="D2216">_xlfn.IFS(
 ISNUMBER(SEARCH("WHISK",C2216)),"Whiskey",
 ISNUMBER(SEARCH("BOURBON",C2216)),"Whiskey",
 ISNUMBER(SEARCH("SCOTCH",C2216)),"Whiskey",
 ISNUMBER(SEARCH("RYE",C2216)),"Whiskey",
 ISNUMBER(SEARCH("VODKA",C2216)),"Vodka",
 ISNUMBER(SEARCH("TEQUILA",C2216)),"Tequila/Mezcal",
 ISNUMBER(SEARCH("MEZCAL",C2216)),"Tequila/Mezcal",
 ISNUMBER(SEARCH("RUM",C2216)),"Rum",
 ISNUMBER(SEARCH("BRAND",C2216)),"Brandy",
 ISNUMBER(SEARCH("COGNAC",C2216)),"Brandy",
 ISNUMBER(SEARCH("LIQUEUR",C2216)),"Liqueurs",
 ISNUMBER(SEARCH("CORDIAL",C2216)),"Liqueurs",
 ISNUMBER(SEARCH("SCHNAPP",C2216)),"Liqueurs",
 ISNUMBER(SEARCH("GIN",C2216)),"Gin",
 TRUE,"Other")</f>
        <v>Liqueurs</v>
      </c>
      <c r="E2216" s="5">
        <v>7585</v>
      </c>
      <c r="F2216" s="5">
        <v>162105.45000000097</v>
      </c>
      <c r="G2216" s="5"/>
      <c r="H2216" s="5">
        <v>871</v>
      </c>
    </row>
    <row r="2217" spans="1:8">
      <c r="A2217" s="5">
        <v>2025</v>
      </c>
      <c r="B2217" s="6">
        <v>45870</v>
      </c>
      <c r="C2217" s="5" t="s">
        <v>31</v>
      </c>
      <c r="D2217" s="3" t="str" cm="1">
        <f t="array" ref="D2217">_xlfn.IFS(
 ISNUMBER(SEARCH("WHISK",C2217)),"Whiskey",
 ISNUMBER(SEARCH("BOURBON",C2217)),"Whiskey",
 ISNUMBER(SEARCH("SCOTCH",C2217)),"Whiskey",
 ISNUMBER(SEARCH("RYE",C2217)),"Whiskey",
 ISNUMBER(SEARCH("VODKA",C2217)),"Vodka",
 ISNUMBER(SEARCH("TEQUILA",C2217)),"Tequila/Mezcal",
 ISNUMBER(SEARCH("MEZCAL",C2217)),"Tequila/Mezcal",
 ISNUMBER(SEARCH("RUM",C2217)),"Rum",
 ISNUMBER(SEARCH("BRAND",C2217)),"Brandy",
 ISNUMBER(SEARCH("COGNAC",C2217)),"Brandy",
 ISNUMBER(SEARCH("LIQUEUR",C2217)),"Liqueurs",
 ISNUMBER(SEARCH("CORDIAL",C2217)),"Liqueurs",
 ISNUMBER(SEARCH("SCHNAPP",C2217)),"Liqueurs",
 ISNUMBER(SEARCH("GIN",C2217)),"Gin",
 TRUE,"Other")</f>
        <v>Liqueurs</v>
      </c>
      <c r="E2217" s="5">
        <v>27865</v>
      </c>
      <c r="F2217" s="5">
        <v>496718.73000000307</v>
      </c>
      <c r="G2217" s="5"/>
      <c r="H2217" s="5">
        <v>2548</v>
      </c>
    </row>
    <row r="2218" spans="1:8">
      <c r="A2218" s="5">
        <v>2025</v>
      </c>
      <c r="B2218" s="6">
        <v>45870</v>
      </c>
      <c r="C2218" s="5" t="s">
        <v>38</v>
      </c>
      <c r="D2218" s="3" t="str" cm="1">
        <f t="array" ref="D2218">_xlfn.IFS(
 ISNUMBER(SEARCH("WHISK",C2218)),"Whiskey",
 ISNUMBER(SEARCH("BOURBON",C2218)),"Whiskey",
 ISNUMBER(SEARCH("SCOTCH",C2218)),"Whiskey",
 ISNUMBER(SEARCH("RYE",C2218)),"Whiskey",
 ISNUMBER(SEARCH("VODKA",C2218)),"Vodka",
 ISNUMBER(SEARCH("TEQUILA",C2218)),"Tequila/Mezcal",
 ISNUMBER(SEARCH("MEZCAL",C2218)),"Tequila/Mezcal",
 ISNUMBER(SEARCH("RUM",C2218)),"Rum",
 ISNUMBER(SEARCH("BRAND",C2218)),"Brandy",
 ISNUMBER(SEARCH("COGNAC",C2218)),"Brandy",
 ISNUMBER(SEARCH("LIQUEUR",C2218)),"Liqueurs",
 ISNUMBER(SEARCH("CORDIAL",C2218)),"Liqueurs",
 ISNUMBER(SEARCH("SCHNAPP",C2218)),"Liqueurs",
 ISNUMBER(SEARCH("GIN",C2218)),"Gin",
 TRUE,"Other")</f>
        <v>Whiskey</v>
      </c>
      <c r="E2218" s="5">
        <v>13277</v>
      </c>
      <c r="F2218" s="5">
        <v>361346.69999999984</v>
      </c>
      <c r="G2218" s="5"/>
      <c r="H2218" s="5">
        <v>2103</v>
      </c>
    </row>
    <row r="2219" spans="1:8">
      <c r="A2219" s="5">
        <v>2025</v>
      </c>
      <c r="B2219" s="6">
        <v>45870</v>
      </c>
      <c r="C2219" s="5" t="s">
        <v>28</v>
      </c>
      <c r="D2219" s="3" t="str" cm="1">
        <f t="array" ref="D2219">_xlfn.IFS(
 ISNUMBER(SEARCH("WHISK",C2219)),"Whiskey",
 ISNUMBER(SEARCH("BOURBON",C2219)),"Whiskey",
 ISNUMBER(SEARCH("SCOTCH",C2219)),"Whiskey",
 ISNUMBER(SEARCH("RYE",C2219)),"Whiskey",
 ISNUMBER(SEARCH("VODKA",C2219)),"Vodka",
 ISNUMBER(SEARCH("TEQUILA",C2219)),"Tequila/Mezcal",
 ISNUMBER(SEARCH("MEZCAL",C2219)),"Tequila/Mezcal",
 ISNUMBER(SEARCH("RUM",C2219)),"Rum",
 ISNUMBER(SEARCH("BRAND",C2219)),"Brandy",
 ISNUMBER(SEARCH("COGNAC",C2219)),"Brandy",
 ISNUMBER(SEARCH("LIQUEUR",C2219)),"Liqueurs",
 ISNUMBER(SEARCH("CORDIAL",C2219)),"Liqueurs",
 ISNUMBER(SEARCH("SCHNAPP",C2219)),"Liqueurs",
 ISNUMBER(SEARCH("GIN",C2219)),"Gin",
 TRUE,"Other")</f>
        <v>Other</v>
      </c>
      <c r="E2219" s="5">
        <v>34411</v>
      </c>
      <c r="F2219" s="5">
        <v>245948.02000000014</v>
      </c>
      <c r="G2219" s="5"/>
      <c r="H2219" s="5">
        <v>905</v>
      </c>
    </row>
    <row r="2220" spans="1:8">
      <c r="A2220" s="5">
        <v>2025</v>
      </c>
      <c r="B2220" s="6">
        <v>45870</v>
      </c>
      <c r="C2220" s="5" t="s">
        <v>30</v>
      </c>
      <c r="D2220" s="3" t="str" cm="1">
        <f t="array" ref="D2220">_xlfn.IFS(
 ISNUMBER(SEARCH("WHISK",C2220)),"Whiskey",
 ISNUMBER(SEARCH("BOURBON",C2220)),"Whiskey",
 ISNUMBER(SEARCH("SCOTCH",C2220)),"Whiskey",
 ISNUMBER(SEARCH("RYE",C2220)),"Whiskey",
 ISNUMBER(SEARCH("VODKA",C2220)),"Vodka",
 ISNUMBER(SEARCH("TEQUILA",C2220)),"Tequila/Mezcal",
 ISNUMBER(SEARCH("MEZCAL",C2220)),"Tequila/Mezcal",
 ISNUMBER(SEARCH("RUM",C2220)),"Rum",
 ISNUMBER(SEARCH("BRAND",C2220)),"Brandy",
 ISNUMBER(SEARCH("COGNAC",C2220)),"Brandy",
 ISNUMBER(SEARCH("LIQUEUR",C2220)),"Liqueurs",
 ISNUMBER(SEARCH("CORDIAL",C2220)),"Liqueurs",
 ISNUMBER(SEARCH("SCHNAPP",C2220)),"Liqueurs",
 ISNUMBER(SEARCH("GIN",C2220)),"Gin",
 TRUE,"Other")</f>
        <v>Vodka</v>
      </c>
      <c r="E2220" s="5">
        <v>15756</v>
      </c>
      <c r="F2220" s="5">
        <v>261452.30000000237</v>
      </c>
      <c r="G2220" s="5"/>
      <c r="H2220" s="5">
        <v>1946</v>
      </c>
    </row>
    <row r="2221" spans="1:8">
      <c r="A2221" s="5">
        <v>2025</v>
      </c>
      <c r="B2221" s="6">
        <v>45870</v>
      </c>
      <c r="C2221" s="5" t="s">
        <v>25</v>
      </c>
      <c r="D2221" s="3" t="str" cm="1">
        <f t="array" ref="D2221">_xlfn.IFS(
 ISNUMBER(SEARCH("WHISK",C2221)),"Whiskey",
 ISNUMBER(SEARCH("BOURBON",C2221)),"Whiskey",
 ISNUMBER(SEARCH("SCOTCH",C2221)),"Whiskey",
 ISNUMBER(SEARCH("RYE",C2221)),"Whiskey",
 ISNUMBER(SEARCH("VODKA",C2221)),"Vodka",
 ISNUMBER(SEARCH("TEQUILA",C2221)),"Tequila/Mezcal",
 ISNUMBER(SEARCH("MEZCAL",C2221)),"Tequila/Mezcal",
 ISNUMBER(SEARCH("RUM",C2221)),"Rum",
 ISNUMBER(SEARCH("BRAND",C2221)),"Brandy",
 ISNUMBER(SEARCH("COGNAC",C2221)),"Brandy",
 ISNUMBER(SEARCH("LIQUEUR",C2221)),"Liqueurs",
 ISNUMBER(SEARCH("CORDIAL",C2221)),"Liqueurs",
 ISNUMBER(SEARCH("SCHNAPP",C2221)),"Liqueurs",
 ISNUMBER(SEARCH("GIN",C2221)),"Gin",
 TRUE,"Other")</f>
        <v>Rum</v>
      </c>
      <c r="E2221" s="5">
        <v>4771</v>
      </c>
      <c r="F2221" s="5">
        <v>66937.309999999983</v>
      </c>
      <c r="G2221" s="5"/>
      <c r="H2221" s="5">
        <v>688</v>
      </c>
    </row>
    <row r="2222" spans="1:8">
      <c r="A2222" s="5">
        <v>2025</v>
      </c>
      <c r="B2222" s="6">
        <v>45870</v>
      </c>
      <c r="C2222" s="5" t="s">
        <v>10</v>
      </c>
      <c r="D2222" s="3" t="str" cm="1">
        <f t="array" ref="D2222">_xlfn.IFS(
 ISNUMBER(SEARCH("WHISK",C2222)),"Whiskey",
 ISNUMBER(SEARCH("BOURBON",C2222)),"Whiskey",
 ISNUMBER(SEARCH("SCOTCH",C2222)),"Whiskey",
 ISNUMBER(SEARCH("RYE",C2222)),"Whiskey",
 ISNUMBER(SEARCH("VODKA",C2222)),"Vodka",
 ISNUMBER(SEARCH("TEQUILA",C2222)),"Tequila/Mezcal",
 ISNUMBER(SEARCH("MEZCAL",C2222)),"Tequila/Mezcal",
 ISNUMBER(SEARCH("RUM",C2222)),"Rum",
 ISNUMBER(SEARCH("BRAND",C2222)),"Brandy",
 ISNUMBER(SEARCH("COGNAC",C2222)),"Brandy",
 ISNUMBER(SEARCH("LIQUEUR",C2222)),"Liqueurs",
 ISNUMBER(SEARCH("CORDIAL",C2222)),"Liqueurs",
 ISNUMBER(SEARCH("SCHNAPP",C2222)),"Liqueurs",
 ISNUMBER(SEARCH("GIN",C2222)),"Gin",
 TRUE,"Other")</f>
        <v>Other</v>
      </c>
      <c r="E2222" s="5">
        <v>3858</v>
      </c>
      <c r="F2222" s="5">
        <v>61642.659999999989</v>
      </c>
      <c r="G2222" s="5"/>
      <c r="H2222" s="5">
        <v>460</v>
      </c>
    </row>
    <row r="2223" spans="1:8">
      <c r="A2223" s="5">
        <v>2025</v>
      </c>
      <c r="B2223" s="6">
        <v>45870</v>
      </c>
      <c r="C2223" s="5" t="s">
        <v>23</v>
      </c>
      <c r="D2223" s="3" t="str" cm="1">
        <f t="array" ref="D2223">_xlfn.IFS(
 ISNUMBER(SEARCH("WHISK",C2223)),"Whiskey",
 ISNUMBER(SEARCH("BOURBON",C2223)),"Whiskey",
 ISNUMBER(SEARCH("SCOTCH",C2223)),"Whiskey",
 ISNUMBER(SEARCH("RYE",C2223)),"Whiskey",
 ISNUMBER(SEARCH("VODKA",C2223)),"Vodka",
 ISNUMBER(SEARCH("TEQUILA",C2223)),"Tequila/Mezcal",
 ISNUMBER(SEARCH("MEZCAL",C2223)),"Tequila/Mezcal",
 ISNUMBER(SEARCH("RUM",C2223)),"Rum",
 ISNUMBER(SEARCH("BRAND",C2223)),"Brandy",
 ISNUMBER(SEARCH("COGNAC",C2223)),"Brandy",
 ISNUMBER(SEARCH("LIQUEUR",C2223)),"Liqueurs",
 ISNUMBER(SEARCH("CORDIAL",C2223)),"Liqueurs",
 ISNUMBER(SEARCH("SCHNAPP",C2223)),"Liqueurs",
 ISNUMBER(SEARCH("GIN",C2223)),"Gin",
 TRUE,"Other")</f>
        <v>Gin</v>
      </c>
      <c r="E2223" s="5">
        <v>6144</v>
      </c>
      <c r="F2223" s="5">
        <v>157886.92000000004</v>
      </c>
      <c r="G2223" s="5"/>
      <c r="H2223" s="5">
        <v>439</v>
      </c>
    </row>
    <row r="2224" spans="1:8">
      <c r="A2224" s="5">
        <v>2025</v>
      </c>
      <c r="B2224" s="6">
        <v>45870</v>
      </c>
      <c r="C2224" s="5" t="s">
        <v>26</v>
      </c>
      <c r="D2224" s="3" t="str" cm="1">
        <f t="array" ref="D2224">_xlfn.IFS(
 ISNUMBER(SEARCH("WHISK",C2224)),"Whiskey",
 ISNUMBER(SEARCH("BOURBON",C2224)),"Whiskey",
 ISNUMBER(SEARCH("SCOTCH",C2224)),"Whiskey",
 ISNUMBER(SEARCH("RYE",C2224)),"Whiskey",
 ISNUMBER(SEARCH("VODKA",C2224)),"Vodka",
 ISNUMBER(SEARCH("TEQUILA",C2224)),"Tequila/Mezcal",
 ISNUMBER(SEARCH("MEZCAL",C2224)),"Tequila/Mezcal",
 ISNUMBER(SEARCH("RUM",C2224)),"Rum",
 ISNUMBER(SEARCH("BRAND",C2224)),"Brandy",
 ISNUMBER(SEARCH("COGNAC",C2224)),"Brandy",
 ISNUMBER(SEARCH("LIQUEUR",C2224)),"Liqueurs",
 ISNUMBER(SEARCH("CORDIAL",C2224)),"Liqueurs",
 ISNUMBER(SEARCH("SCHNAPP",C2224)),"Liqueurs",
 ISNUMBER(SEARCH("GIN",C2224)),"Gin",
 TRUE,"Other")</f>
        <v>Brandy</v>
      </c>
      <c r="E2224" s="5">
        <v>26396</v>
      </c>
      <c r="F2224" s="5">
        <v>599061.46000000136</v>
      </c>
      <c r="G2224" s="5"/>
      <c r="H2224" s="5">
        <v>2544</v>
      </c>
    </row>
    <row r="2225" spans="1:8">
      <c r="A2225" s="5">
        <v>2025</v>
      </c>
      <c r="B2225" s="6">
        <v>45870</v>
      </c>
      <c r="C2225" s="5" t="s">
        <v>34</v>
      </c>
      <c r="D2225" s="3" t="str" cm="1">
        <f t="array" ref="D2225">_xlfn.IFS(
 ISNUMBER(SEARCH("WHISK",C2225)),"Whiskey",
 ISNUMBER(SEARCH("BOURBON",C2225)),"Whiskey",
 ISNUMBER(SEARCH("SCOTCH",C2225)),"Whiskey",
 ISNUMBER(SEARCH("RYE",C2225)),"Whiskey",
 ISNUMBER(SEARCH("VODKA",C2225)),"Vodka",
 ISNUMBER(SEARCH("TEQUILA",C2225)),"Tequila/Mezcal",
 ISNUMBER(SEARCH("MEZCAL",C2225)),"Tequila/Mezcal",
 ISNUMBER(SEARCH("RUM",C2225)),"Rum",
 ISNUMBER(SEARCH("BRAND",C2225)),"Brandy",
 ISNUMBER(SEARCH("COGNAC",C2225)),"Brandy",
 ISNUMBER(SEARCH("LIQUEUR",C2225)),"Liqueurs",
 ISNUMBER(SEARCH("CORDIAL",C2225)),"Liqueurs",
 ISNUMBER(SEARCH("SCHNAPP",C2225)),"Liqueurs",
 ISNUMBER(SEARCH("GIN",C2225)),"Gin",
 TRUE,"Other")</f>
        <v>Tequila/Mezcal</v>
      </c>
      <c r="E2225" s="5">
        <v>1011</v>
      </c>
      <c r="F2225" s="5">
        <v>32431.309999999994</v>
      </c>
      <c r="G2225" s="5"/>
      <c r="H2225" s="5">
        <v>191</v>
      </c>
    </row>
    <row r="2226" spans="1:8">
      <c r="A2226" s="5">
        <v>2025</v>
      </c>
      <c r="B2226" s="6">
        <v>45870</v>
      </c>
      <c r="C2226" s="5" t="s">
        <v>36</v>
      </c>
      <c r="D2226" s="3" t="str" cm="1">
        <f t="array" ref="D2226">_xlfn.IFS(
 ISNUMBER(SEARCH("WHISK",C2226)),"Whiskey",
 ISNUMBER(SEARCH("BOURBON",C2226)),"Whiskey",
 ISNUMBER(SEARCH("SCOTCH",C2226)),"Whiskey",
 ISNUMBER(SEARCH("RYE",C2226)),"Whiskey",
 ISNUMBER(SEARCH("VODKA",C2226)),"Vodka",
 ISNUMBER(SEARCH("TEQUILA",C2226)),"Tequila/Mezcal",
 ISNUMBER(SEARCH("MEZCAL",C2226)),"Tequila/Mezcal",
 ISNUMBER(SEARCH("RUM",C2226)),"Rum",
 ISNUMBER(SEARCH("BRAND",C2226)),"Brandy",
 ISNUMBER(SEARCH("COGNAC",C2226)),"Brandy",
 ISNUMBER(SEARCH("LIQUEUR",C2226)),"Liqueurs",
 ISNUMBER(SEARCH("CORDIAL",C2226)),"Liqueurs",
 ISNUMBER(SEARCH("SCHNAPP",C2226)),"Liqueurs",
 ISNUMBER(SEARCH("GIN",C2226)),"Gin",
 TRUE,"Other")</f>
        <v>Other</v>
      </c>
      <c r="E2226" s="5">
        <v>2723</v>
      </c>
      <c r="F2226" s="5">
        <v>39841.209999999977</v>
      </c>
      <c r="G2226" s="5"/>
      <c r="H2226" s="5">
        <v>353</v>
      </c>
    </row>
    <row r="2227" spans="1:8">
      <c r="A2227" s="5">
        <v>2025</v>
      </c>
      <c r="B2227" s="6">
        <v>45870</v>
      </c>
      <c r="C2227" s="5" t="s">
        <v>47</v>
      </c>
      <c r="D2227" s="3" t="str" cm="1">
        <f t="array" ref="D2227">_xlfn.IFS(
 ISNUMBER(SEARCH("WHISK",C2227)),"Whiskey",
 ISNUMBER(SEARCH("BOURBON",C2227)),"Whiskey",
 ISNUMBER(SEARCH("SCOTCH",C2227)),"Whiskey",
 ISNUMBER(SEARCH("RYE",C2227)),"Whiskey",
 ISNUMBER(SEARCH("VODKA",C2227)),"Vodka",
 ISNUMBER(SEARCH("TEQUILA",C2227)),"Tequila/Mezcal",
 ISNUMBER(SEARCH("MEZCAL",C2227)),"Tequila/Mezcal",
 ISNUMBER(SEARCH("RUM",C2227)),"Rum",
 ISNUMBER(SEARCH("BRAND",C2227)),"Brandy",
 ISNUMBER(SEARCH("COGNAC",C2227)),"Brandy",
 ISNUMBER(SEARCH("LIQUEUR",C2227)),"Liqueurs",
 ISNUMBER(SEARCH("CORDIAL",C2227)),"Liqueurs",
 ISNUMBER(SEARCH("SCHNAPP",C2227)),"Liqueurs",
 ISNUMBER(SEARCH("GIN",C2227)),"Gin",
 TRUE,"Other")</f>
        <v>Other</v>
      </c>
      <c r="E2227" s="5">
        <v>16246</v>
      </c>
      <c r="F2227" s="5">
        <v>67758.009999999937</v>
      </c>
      <c r="G2227" s="5"/>
      <c r="H2227" s="5">
        <v>688</v>
      </c>
    </row>
    <row r="2228" spans="1:8">
      <c r="A2228" s="5">
        <v>2025</v>
      </c>
      <c r="B2228" s="6">
        <v>45870</v>
      </c>
      <c r="C2228" s="5" t="s">
        <v>7</v>
      </c>
      <c r="D2228" s="3" t="str" cm="1">
        <f t="array" ref="D2228">_xlfn.IFS(
 ISNUMBER(SEARCH("WHISK",C2228)),"Whiskey",
 ISNUMBER(SEARCH("BOURBON",C2228)),"Whiskey",
 ISNUMBER(SEARCH("SCOTCH",C2228)),"Whiskey",
 ISNUMBER(SEARCH("RYE",C2228)),"Whiskey",
 ISNUMBER(SEARCH("VODKA",C2228)),"Vodka",
 ISNUMBER(SEARCH("TEQUILA",C2228)),"Tequila/Mezcal",
 ISNUMBER(SEARCH("MEZCAL",C2228)),"Tequila/Mezcal",
 ISNUMBER(SEARCH("RUM",C2228)),"Rum",
 ISNUMBER(SEARCH("BRAND",C2228)),"Brandy",
 ISNUMBER(SEARCH("COGNAC",C2228)),"Brandy",
 ISNUMBER(SEARCH("LIQUEUR",C2228)),"Liqueurs",
 ISNUMBER(SEARCH("CORDIAL",C2228)),"Liqueurs",
 ISNUMBER(SEARCH("SCHNAPP",C2228)),"Liqueurs",
 ISNUMBER(SEARCH("GIN",C2228)),"Gin",
 TRUE,"Other")</f>
        <v>Rum</v>
      </c>
      <c r="E2228" s="5">
        <v>2987</v>
      </c>
      <c r="F2228" s="5">
        <v>60996.910000000011</v>
      </c>
      <c r="G2228" s="5"/>
      <c r="H2228" s="5">
        <v>537</v>
      </c>
    </row>
    <row r="2229" spans="1:8">
      <c r="A2229" s="5">
        <v>2025</v>
      </c>
      <c r="B2229" s="6">
        <v>45870</v>
      </c>
      <c r="C2229" s="5" t="s">
        <v>41</v>
      </c>
      <c r="D2229" s="3" t="str" cm="1">
        <f t="array" ref="D2229">_xlfn.IFS(
 ISNUMBER(SEARCH("WHISK",C2229)),"Whiskey",
 ISNUMBER(SEARCH("BOURBON",C2229)),"Whiskey",
 ISNUMBER(SEARCH("SCOTCH",C2229)),"Whiskey",
 ISNUMBER(SEARCH("RYE",C2229)),"Whiskey",
 ISNUMBER(SEARCH("VODKA",C2229)),"Vodka",
 ISNUMBER(SEARCH("TEQUILA",C2229)),"Tequila/Mezcal",
 ISNUMBER(SEARCH("MEZCAL",C2229)),"Tequila/Mezcal",
 ISNUMBER(SEARCH("RUM",C2229)),"Rum",
 ISNUMBER(SEARCH("BRAND",C2229)),"Brandy",
 ISNUMBER(SEARCH("COGNAC",C2229)),"Brandy",
 ISNUMBER(SEARCH("LIQUEUR",C2229)),"Liqueurs",
 ISNUMBER(SEARCH("CORDIAL",C2229)),"Liqueurs",
 ISNUMBER(SEARCH("SCHNAPP",C2229)),"Liqueurs",
 ISNUMBER(SEARCH("GIN",C2229)),"Gin",
 TRUE,"Other")</f>
        <v>Other</v>
      </c>
      <c r="E2229" s="5">
        <v>14055</v>
      </c>
      <c r="F2229" s="5">
        <v>157079.60000000006</v>
      </c>
      <c r="G2229" s="5"/>
      <c r="H2229" s="5">
        <v>101</v>
      </c>
    </row>
    <row r="2230" spans="1:8">
      <c r="A2230" s="5">
        <v>2025</v>
      </c>
      <c r="B2230" s="6">
        <v>45870</v>
      </c>
      <c r="C2230" s="5" t="s">
        <v>14</v>
      </c>
      <c r="D2230" s="3" t="str" cm="1">
        <f t="array" ref="D2230">_xlfn.IFS(
 ISNUMBER(SEARCH("WHISK",C2230)),"Whiskey",
 ISNUMBER(SEARCH("BOURBON",C2230)),"Whiskey",
 ISNUMBER(SEARCH("SCOTCH",C2230)),"Whiskey",
 ISNUMBER(SEARCH("RYE",C2230)),"Whiskey",
 ISNUMBER(SEARCH("VODKA",C2230)),"Vodka",
 ISNUMBER(SEARCH("TEQUILA",C2230)),"Tequila/Mezcal",
 ISNUMBER(SEARCH("MEZCAL",C2230)),"Tequila/Mezcal",
 ISNUMBER(SEARCH("RUM",C2230)),"Rum",
 ISNUMBER(SEARCH("BRAND",C2230)),"Brandy",
 ISNUMBER(SEARCH("COGNAC",C2230)),"Brandy",
 ISNUMBER(SEARCH("LIQUEUR",C2230)),"Liqueurs",
 ISNUMBER(SEARCH("CORDIAL",C2230)),"Liqueurs",
 ISNUMBER(SEARCH("SCHNAPP",C2230)),"Liqueurs",
 ISNUMBER(SEARCH("GIN",C2230)),"Gin",
 TRUE,"Other")</f>
        <v>Gin</v>
      </c>
      <c r="E2230" s="5">
        <v>155</v>
      </c>
      <c r="F2230" s="5">
        <v>1323.6999999999996</v>
      </c>
      <c r="G2230" s="5"/>
      <c r="H2230" s="5">
        <v>34</v>
      </c>
    </row>
    <row r="2231" spans="1:8">
      <c r="A2231" s="5">
        <v>2025</v>
      </c>
      <c r="B2231" s="6">
        <v>45870</v>
      </c>
      <c r="C2231" s="5" t="s">
        <v>21</v>
      </c>
      <c r="D2231" s="3" t="str" cm="1">
        <f t="array" ref="D2231">_xlfn.IFS(
 ISNUMBER(SEARCH("WHISK",C2231)),"Whiskey",
 ISNUMBER(SEARCH("BOURBON",C2231)),"Whiskey",
 ISNUMBER(SEARCH("SCOTCH",C2231)),"Whiskey",
 ISNUMBER(SEARCH("RYE",C2231)),"Whiskey",
 ISNUMBER(SEARCH("VODKA",C2231)),"Vodka",
 ISNUMBER(SEARCH("TEQUILA",C2231)),"Tequila/Mezcal",
 ISNUMBER(SEARCH("MEZCAL",C2231)),"Tequila/Mezcal",
 ISNUMBER(SEARCH("RUM",C2231)),"Rum",
 ISNUMBER(SEARCH("BRAND",C2231)),"Brandy",
 ISNUMBER(SEARCH("COGNAC",C2231)),"Brandy",
 ISNUMBER(SEARCH("LIQUEUR",C2231)),"Liqueurs",
 ISNUMBER(SEARCH("CORDIAL",C2231)),"Liqueurs",
 ISNUMBER(SEARCH("SCHNAPP",C2231)),"Liqueurs",
 ISNUMBER(SEARCH("GIN",C2231)),"Gin",
 TRUE,"Other")</f>
        <v>Whiskey</v>
      </c>
      <c r="E2231" s="5">
        <v>653</v>
      </c>
      <c r="F2231" s="5">
        <v>16561.050000000003</v>
      </c>
      <c r="G2231" s="5"/>
      <c r="H2231" s="5">
        <v>63</v>
      </c>
    </row>
    <row r="2232" spans="1:8">
      <c r="A2232" s="5">
        <v>2025</v>
      </c>
      <c r="B2232" s="6">
        <v>45901</v>
      </c>
      <c r="C2232" s="5" t="s">
        <v>50</v>
      </c>
      <c r="D2232" s="3" t="str" cm="1">
        <f t="array" ref="D2232">_xlfn.IFS(
 ISNUMBER(SEARCH("WHISK",C2232)),"Whiskey",
 ISNUMBER(SEARCH("BOURBON",C2232)),"Whiskey",
 ISNUMBER(SEARCH("SCOTCH",C2232)),"Whiskey",
 ISNUMBER(SEARCH("RYE",C2232)),"Whiskey",
 ISNUMBER(SEARCH("VODKA",C2232)),"Vodka",
 ISNUMBER(SEARCH("TEQUILA",C2232)),"Tequila/Mezcal",
 ISNUMBER(SEARCH("MEZCAL",C2232)),"Tequila/Mezcal",
 ISNUMBER(SEARCH("RUM",C2232)),"Rum",
 ISNUMBER(SEARCH("BRAND",C2232)),"Brandy",
 ISNUMBER(SEARCH("COGNAC",C2232)),"Brandy",
 ISNUMBER(SEARCH("LIQUEUR",C2232)),"Liqueurs",
 ISNUMBER(SEARCH("CORDIAL",C2232)),"Liqueurs",
 ISNUMBER(SEARCH("SCHNAPP",C2232)),"Liqueurs",
 ISNUMBER(SEARCH("GIN",C2232)),"Gin",
 TRUE,"Other")</f>
        <v>Tequila/Mezcal</v>
      </c>
      <c r="E2232" s="5">
        <v>101118</v>
      </c>
      <c r="F2232" s="5">
        <v>2898624.0999999437</v>
      </c>
      <c r="G2232" s="5"/>
      <c r="H2232" s="5">
        <v>11485</v>
      </c>
    </row>
    <row r="2233" spans="1:8">
      <c r="A2233" s="5">
        <v>2025</v>
      </c>
      <c r="B2233" s="6">
        <v>45901</v>
      </c>
      <c r="C2233" s="5" t="s">
        <v>8</v>
      </c>
      <c r="D2233" s="3" t="str" cm="1">
        <f t="array" ref="D2233">_xlfn.IFS(
 ISNUMBER(SEARCH("WHISK",C2233)),"Whiskey",
 ISNUMBER(SEARCH("BOURBON",C2233)),"Whiskey",
 ISNUMBER(SEARCH("SCOTCH",C2233)),"Whiskey",
 ISNUMBER(SEARCH("RYE",C2233)),"Whiskey",
 ISNUMBER(SEARCH("VODKA",C2233)),"Vodka",
 ISNUMBER(SEARCH("TEQUILA",C2233)),"Tequila/Mezcal",
 ISNUMBER(SEARCH("MEZCAL",C2233)),"Tequila/Mezcal",
 ISNUMBER(SEARCH("RUM",C2233)),"Rum",
 ISNUMBER(SEARCH("BRAND",C2233)),"Brandy",
 ISNUMBER(SEARCH("COGNAC",C2233)),"Brandy",
 ISNUMBER(SEARCH("LIQUEUR",C2233)),"Liqueurs",
 ISNUMBER(SEARCH("CORDIAL",C2233)),"Liqueurs",
 ISNUMBER(SEARCH("SCHNAPP",C2233)),"Liqueurs",
 ISNUMBER(SEARCH("GIN",C2233)),"Gin",
 TRUE,"Other")</f>
        <v>Brandy</v>
      </c>
      <c r="E2233" s="5">
        <v>52451</v>
      </c>
      <c r="F2233" s="5">
        <v>327429.03000000108</v>
      </c>
      <c r="G2233" s="5"/>
      <c r="H2233" s="5">
        <v>4081</v>
      </c>
    </row>
    <row r="2234" spans="1:8">
      <c r="A2234" s="5">
        <v>2025</v>
      </c>
      <c r="B2234" s="6">
        <v>45901</v>
      </c>
      <c r="C2234" s="5" t="s">
        <v>11</v>
      </c>
      <c r="D2234" s="3" t="str" cm="1">
        <f t="array" ref="D2234">_xlfn.IFS(
 ISNUMBER(SEARCH("WHISK",C2234)),"Whiskey",
 ISNUMBER(SEARCH("BOURBON",C2234)),"Whiskey",
 ISNUMBER(SEARCH("SCOTCH",C2234)),"Whiskey",
 ISNUMBER(SEARCH("RYE",C2234)),"Whiskey",
 ISNUMBER(SEARCH("VODKA",C2234)),"Vodka",
 ISNUMBER(SEARCH("TEQUILA",C2234)),"Tequila/Mezcal",
 ISNUMBER(SEARCH("MEZCAL",C2234)),"Tequila/Mezcal",
 ISNUMBER(SEARCH("RUM",C2234)),"Rum",
 ISNUMBER(SEARCH("BRAND",C2234)),"Brandy",
 ISNUMBER(SEARCH("COGNAC",C2234)),"Brandy",
 ISNUMBER(SEARCH("LIQUEUR",C2234)),"Liqueurs",
 ISNUMBER(SEARCH("CORDIAL",C2234)),"Liqueurs",
 ISNUMBER(SEARCH("SCHNAPP",C2234)),"Liqueurs",
 ISNUMBER(SEARCH("GIN",C2234)),"Gin",
 TRUE,"Other")</f>
        <v>Gin</v>
      </c>
      <c r="E2234" s="5">
        <v>26214</v>
      </c>
      <c r="F2234" s="5">
        <v>239191.28000000122</v>
      </c>
      <c r="G2234" s="5"/>
      <c r="H2234" s="5">
        <v>2245</v>
      </c>
    </row>
    <row r="2235" spans="1:8">
      <c r="A2235" s="5">
        <v>2025</v>
      </c>
      <c r="B2235" s="6">
        <v>45901</v>
      </c>
      <c r="C2235" s="5" t="s">
        <v>15</v>
      </c>
      <c r="D2235" s="3" t="str" cm="1">
        <f t="array" ref="D2235">_xlfn.IFS(
 ISNUMBER(SEARCH("WHISK",C2235)),"Whiskey",
 ISNUMBER(SEARCH("BOURBON",C2235)),"Whiskey",
 ISNUMBER(SEARCH("SCOTCH",C2235)),"Whiskey",
 ISNUMBER(SEARCH("RYE",C2235)),"Whiskey",
 ISNUMBER(SEARCH("VODKA",C2235)),"Vodka",
 ISNUMBER(SEARCH("TEQUILA",C2235)),"Tequila/Mezcal",
 ISNUMBER(SEARCH("MEZCAL",C2235)),"Tequila/Mezcal",
 ISNUMBER(SEARCH("RUM",C2235)),"Rum",
 ISNUMBER(SEARCH("BRAND",C2235)),"Brandy",
 ISNUMBER(SEARCH("COGNAC",C2235)),"Brandy",
 ISNUMBER(SEARCH("LIQUEUR",C2235)),"Liqueurs",
 ISNUMBER(SEARCH("CORDIAL",C2235)),"Liqueurs",
 ISNUMBER(SEARCH("SCHNAPP",C2235)),"Liqueurs",
 ISNUMBER(SEARCH("GIN",C2235)),"Gin",
 TRUE,"Other")</f>
        <v>Vodka</v>
      </c>
      <c r="E2235" s="5">
        <v>536546</v>
      </c>
      <c r="F2235" s="5">
        <v>5065298.6900001448</v>
      </c>
      <c r="G2235" s="5"/>
      <c r="H2235" s="5">
        <v>32417</v>
      </c>
    </row>
    <row r="2236" spans="1:8">
      <c r="A2236" s="5">
        <v>2025</v>
      </c>
      <c r="B2236" s="6">
        <v>45901</v>
      </c>
      <c r="C2236" s="5" t="s">
        <v>16</v>
      </c>
      <c r="D2236" s="3" t="str" cm="1">
        <f t="array" ref="D2236">_xlfn.IFS(
 ISNUMBER(SEARCH("WHISK",C2236)),"Whiskey",
 ISNUMBER(SEARCH("BOURBON",C2236)),"Whiskey",
 ISNUMBER(SEARCH("SCOTCH",C2236)),"Whiskey",
 ISNUMBER(SEARCH("RYE",C2236)),"Whiskey",
 ISNUMBER(SEARCH("VODKA",C2236)),"Vodka",
 ISNUMBER(SEARCH("TEQUILA",C2236)),"Tequila/Mezcal",
 ISNUMBER(SEARCH("MEZCAL",C2236)),"Tequila/Mezcal",
 ISNUMBER(SEARCH("RUM",C2236)),"Rum",
 ISNUMBER(SEARCH("BRAND",C2236)),"Brandy",
 ISNUMBER(SEARCH("COGNAC",C2236)),"Brandy",
 ISNUMBER(SEARCH("LIQUEUR",C2236)),"Liqueurs",
 ISNUMBER(SEARCH("CORDIAL",C2236)),"Liqueurs",
 ISNUMBER(SEARCH("SCHNAPP",C2236)),"Liqueurs",
 ISNUMBER(SEARCH("GIN",C2236)),"Gin",
 TRUE,"Other")</f>
        <v>Whiskey</v>
      </c>
      <c r="E2236" s="5">
        <v>63068</v>
      </c>
      <c r="F2236" s="5">
        <v>843498.99999998615</v>
      </c>
      <c r="G2236" s="5"/>
      <c r="H2236" s="5">
        <v>6796</v>
      </c>
    </row>
    <row r="2237" spans="1:8">
      <c r="A2237" s="5">
        <v>2025</v>
      </c>
      <c r="B2237" s="6">
        <v>45901</v>
      </c>
      <c r="C2237" s="5" t="s">
        <v>18</v>
      </c>
      <c r="D2237" s="3" t="str" cm="1">
        <f t="array" ref="D2237">_xlfn.IFS(
 ISNUMBER(SEARCH("WHISK",C2237)),"Whiskey",
 ISNUMBER(SEARCH("BOURBON",C2237)),"Whiskey",
 ISNUMBER(SEARCH("SCOTCH",C2237)),"Whiskey",
 ISNUMBER(SEARCH("RYE",C2237)),"Whiskey",
 ISNUMBER(SEARCH("VODKA",C2237)),"Vodka",
 ISNUMBER(SEARCH("TEQUILA",C2237)),"Tequila/Mezcal",
 ISNUMBER(SEARCH("MEZCAL",C2237)),"Tequila/Mezcal",
 ISNUMBER(SEARCH("RUM",C2237)),"Rum",
 ISNUMBER(SEARCH("BRAND",C2237)),"Brandy",
 ISNUMBER(SEARCH("COGNAC",C2237)),"Brandy",
 ISNUMBER(SEARCH("LIQUEUR",C2237)),"Liqueurs",
 ISNUMBER(SEARCH("CORDIAL",C2237)),"Liqueurs",
 ISNUMBER(SEARCH("SCHNAPP",C2237)),"Liqueurs",
 ISNUMBER(SEARCH("GIN",C2237)),"Gin",
 TRUE,"Other")</f>
        <v>Whiskey</v>
      </c>
      <c r="E2237" s="5">
        <v>216122</v>
      </c>
      <c r="F2237" s="5">
        <v>3362022.3299998278</v>
      </c>
      <c r="G2237" s="5"/>
      <c r="H2237" s="5">
        <v>18158</v>
      </c>
    </row>
    <row r="2238" spans="1:8">
      <c r="A2238" s="5">
        <v>2025</v>
      </c>
      <c r="B2238" s="6">
        <v>45901</v>
      </c>
      <c r="C2238" s="5" t="s">
        <v>19</v>
      </c>
      <c r="D2238" s="3" t="str" cm="1">
        <f t="array" ref="D2238">_xlfn.IFS(
 ISNUMBER(SEARCH("WHISK",C2238)),"Whiskey",
 ISNUMBER(SEARCH("BOURBON",C2238)),"Whiskey",
 ISNUMBER(SEARCH("SCOTCH",C2238)),"Whiskey",
 ISNUMBER(SEARCH("RYE",C2238)),"Whiskey",
 ISNUMBER(SEARCH("VODKA",C2238)),"Vodka",
 ISNUMBER(SEARCH("TEQUILA",C2238)),"Tequila/Mezcal",
 ISNUMBER(SEARCH("MEZCAL",C2238)),"Tequila/Mezcal",
 ISNUMBER(SEARCH("RUM",C2238)),"Rum",
 ISNUMBER(SEARCH("BRAND",C2238)),"Brandy",
 ISNUMBER(SEARCH("COGNAC",C2238)),"Brandy",
 ISNUMBER(SEARCH("LIQUEUR",C2238)),"Liqueurs",
 ISNUMBER(SEARCH("CORDIAL",C2238)),"Liqueurs",
 ISNUMBER(SEARCH("SCHNAPP",C2238)),"Liqueurs",
 ISNUMBER(SEARCH("GIN",C2238)),"Gin",
 TRUE,"Other")</f>
        <v>Other</v>
      </c>
      <c r="E2238" s="5">
        <v>52109</v>
      </c>
      <c r="F2238" s="5">
        <v>654606.04999999155</v>
      </c>
      <c r="G2238" s="5"/>
      <c r="H2238" s="5">
        <v>6935</v>
      </c>
    </row>
    <row r="2239" spans="1:8">
      <c r="A2239" s="5">
        <v>2025</v>
      </c>
      <c r="B2239" s="6">
        <v>45901</v>
      </c>
      <c r="C2239" s="5" t="s">
        <v>23</v>
      </c>
      <c r="D2239" s="3" t="str" cm="1">
        <f t="array" ref="D2239">_xlfn.IFS(
 ISNUMBER(SEARCH("WHISK",C2239)),"Whiskey",
 ISNUMBER(SEARCH("BOURBON",C2239)),"Whiskey",
 ISNUMBER(SEARCH("SCOTCH",C2239)),"Whiskey",
 ISNUMBER(SEARCH("RYE",C2239)),"Whiskey",
 ISNUMBER(SEARCH("VODKA",C2239)),"Vodka",
 ISNUMBER(SEARCH("TEQUILA",C2239)),"Tequila/Mezcal",
 ISNUMBER(SEARCH("MEZCAL",C2239)),"Tequila/Mezcal",
 ISNUMBER(SEARCH("RUM",C2239)),"Rum",
 ISNUMBER(SEARCH("BRAND",C2239)),"Brandy",
 ISNUMBER(SEARCH("COGNAC",C2239)),"Brandy",
 ISNUMBER(SEARCH("LIQUEUR",C2239)),"Liqueurs",
 ISNUMBER(SEARCH("CORDIAL",C2239)),"Liqueurs",
 ISNUMBER(SEARCH("SCHNAPP",C2239)),"Liqueurs",
 ISNUMBER(SEARCH("GIN",C2239)),"Gin",
 TRUE,"Other")</f>
        <v>Gin</v>
      </c>
      <c r="E2239" s="5">
        <v>3034</v>
      </c>
      <c r="F2239" s="5">
        <v>75658.080000000031</v>
      </c>
      <c r="G2239" s="5"/>
      <c r="H2239" s="5">
        <v>381</v>
      </c>
    </row>
    <row r="2240" spans="1:8">
      <c r="A2240" s="5">
        <v>2025</v>
      </c>
      <c r="B2240" s="6">
        <v>45901</v>
      </c>
      <c r="C2240" s="5" t="s">
        <v>24</v>
      </c>
      <c r="D2240" s="3" t="str" cm="1">
        <f t="array" ref="D2240">_xlfn.IFS(
 ISNUMBER(SEARCH("WHISK",C2240)),"Whiskey",
 ISNUMBER(SEARCH("BOURBON",C2240)),"Whiskey",
 ISNUMBER(SEARCH("SCOTCH",C2240)),"Whiskey",
 ISNUMBER(SEARCH("RYE",C2240)),"Whiskey",
 ISNUMBER(SEARCH("VODKA",C2240)),"Vodka",
 ISNUMBER(SEARCH("TEQUILA",C2240)),"Tequila/Mezcal",
 ISNUMBER(SEARCH("MEZCAL",C2240)),"Tequila/Mezcal",
 ISNUMBER(SEARCH("RUM",C2240)),"Rum",
 ISNUMBER(SEARCH("BRAND",C2240)),"Brandy",
 ISNUMBER(SEARCH("COGNAC",C2240)),"Brandy",
 ISNUMBER(SEARCH("LIQUEUR",C2240)),"Liqueurs",
 ISNUMBER(SEARCH("CORDIAL",C2240)),"Liqueurs",
 ISNUMBER(SEARCH("SCHNAPP",C2240)),"Liqueurs",
 ISNUMBER(SEARCH("GIN",C2240)),"Gin",
 TRUE,"Other")</f>
        <v>Rum</v>
      </c>
      <c r="E2240" s="5">
        <v>28792</v>
      </c>
      <c r="F2240" s="5">
        <v>432694.0000000014</v>
      </c>
      <c r="G2240" s="5"/>
      <c r="H2240" s="5">
        <v>3052</v>
      </c>
    </row>
    <row r="2241" spans="1:8">
      <c r="A2241" s="5">
        <v>2025</v>
      </c>
      <c r="B2241" s="6">
        <v>45901</v>
      </c>
      <c r="C2241" s="5" t="s">
        <v>26</v>
      </c>
      <c r="D2241" s="3" t="str" cm="1">
        <f t="array" ref="D2241">_xlfn.IFS(
 ISNUMBER(SEARCH("WHISK",C2241)),"Whiskey",
 ISNUMBER(SEARCH("BOURBON",C2241)),"Whiskey",
 ISNUMBER(SEARCH("SCOTCH",C2241)),"Whiskey",
 ISNUMBER(SEARCH("RYE",C2241)),"Whiskey",
 ISNUMBER(SEARCH("VODKA",C2241)),"Vodka",
 ISNUMBER(SEARCH("TEQUILA",C2241)),"Tequila/Mezcal",
 ISNUMBER(SEARCH("MEZCAL",C2241)),"Tequila/Mezcal",
 ISNUMBER(SEARCH("RUM",C2241)),"Rum",
 ISNUMBER(SEARCH("BRAND",C2241)),"Brandy",
 ISNUMBER(SEARCH("COGNAC",C2241)),"Brandy",
 ISNUMBER(SEARCH("LIQUEUR",C2241)),"Liqueurs",
 ISNUMBER(SEARCH("CORDIAL",C2241)),"Liqueurs",
 ISNUMBER(SEARCH("SCHNAPP",C2241)),"Liqueurs",
 ISNUMBER(SEARCH("GIN",C2241)),"Gin",
 TRUE,"Other")</f>
        <v>Brandy</v>
      </c>
      <c r="E2241" s="5">
        <v>24645</v>
      </c>
      <c r="F2241" s="5">
        <v>588859.3199999996</v>
      </c>
      <c r="G2241" s="5"/>
      <c r="H2241" s="5">
        <v>2638</v>
      </c>
    </row>
    <row r="2242" spans="1:8">
      <c r="A2242" s="5">
        <v>2025</v>
      </c>
      <c r="B2242" s="6">
        <v>45901</v>
      </c>
      <c r="C2242" s="5" t="s">
        <v>28</v>
      </c>
      <c r="D2242" s="3" t="str" cm="1">
        <f t="array" ref="D2242">_xlfn.IFS(
 ISNUMBER(SEARCH("WHISK",C2242)),"Whiskey",
 ISNUMBER(SEARCH("BOURBON",C2242)),"Whiskey",
 ISNUMBER(SEARCH("SCOTCH",C2242)),"Whiskey",
 ISNUMBER(SEARCH("RYE",C2242)),"Whiskey",
 ISNUMBER(SEARCH("VODKA",C2242)),"Vodka",
 ISNUMBER(SEARCH("TEQUILA",C2242)),"Tequila/Mezcal",
 ISNUMBER(SEARCH("MEZCAL",C2242)),"Tequila/Mezcal",
 ISNUMBER(SEARCH("RUM",C2242)),"Rum",
 ISNUMBER(SEARCH("BRAND",C2242)),"Brandy",
 ISNUMBER(SEARCH("COGNAC",C2242)),"Brandy",
 ISNUMBER(SEARCH("LIQUEUR",C2242)),"Liqueurs",
 ISNUMBER(SEARCH("CORDIAL",C2242)),"Liqueurs",
 ISNUMBER(SEARCH("SCHNAPP",C2242)),"Liqueurs",
 ISNUMBER(SEARCH("GIN",C2242)),"Gin",
 TRUE,"Other")</f>
        <v>Other</v>
      </c>
      <c r="E2242" s="5">
        <v>29929</v>
      </c>
      <c r="F2242" s="5">
        <v>206324.81999999998</v>
      </c>
      <c r="G2242" s="5"/>
      <c r="H2242" s="5">
        <v>883</v>
      </c>
    </row>
    <row r="2243" spans="1:8">
      <c r="A2243" s="5">
        <v>2025</v>
      </c>
      <c r="B2243" s="6">
        <v>45901</v>
      </c>
      <c r="C2243" s="5" t="s">
        <v>35</v>
      </c>
      <c r="D2243" s="3" t="str" cm="1">
        <f t="array" ref="D2243">_xlfn.IFS(
 ISNUMBER(SEARCH("WHISK",C2243)),"Whiskey",
 ISNUMBER(SEARCH("BOURBON",C2243)),"Whiskey",
 ISNUMBER(SEARCH("SCOTCH",C2243)),"Whiskey",
 ISNUMBER(SEARCH("RYE",C2243)),"Whiskey",
 ISNUMBER(SEARCH("VODKA",C2243)),"Vodka",
 ISNUMBER(SEARCH("TEQUILA",C2243)),"Tequila/Mezcal",
 ISNUMBER(SEARCH("MEZCAL",C2243)),"Tequila/Mezcal",
 ISNUMBER(SEARCH("RUM",C2243)),"Rum",
 ISNUMBER(SEARCH("BRAND",C2243)),"Brandy",
 ISNUMBER(SEARCH("COGNAC",C2243)),"Brandy",
 ISNUMBER(SEARCH("LIQUEUR",C2243)),"Liqueurs",
 ISNUMBER(SEARCH("CORDIAL",C2243)),"Liqueurs",
 ISNUMBER(SEARCH("SCHNAPP",C2243)),"Liqueurs",
 ISNUMBER(SEARCH("GIN",C2243)),"Gin",
 TRUE,"Other")</f>
        <v>Tequila/Mezcal</v>
      </c>
      <c r="E2243" s="5">
        <v>60851</v>
      </c>
      <c r="F2243" s="5">
        <v>844562.52999999363</v>
      </c>
      <c r="G2243" s="5"/>
      <c r="H2243" s="5">
        <v>4280</v>
      </c>
    </row>
    <row r="2244" spans="1:8">
      <c r="A2244" s="5">
        <v>2025</v>
      </c>
      <c r="B2244" s="6">
        <v>45901</v>
      </c>
      <c r="C2244" s="5" t="s">
        <v>37</v>
      </c>
      <c r="D2244" s="3" t="str" cm="1">
        <f t="array" ref="D2244">_xlfn.IFS(
 ISNUMBER(SEARCH("WHISK",C2244)),"Whiskey",
 ISNUMBER(SEARCH("BOURBON",C2244)),"Whiskey",
 ISNUMBER(SEARCH("SCOTCH",C2244)),"Whiskey",
 ISNUMBER(SEARCH("RYE",C2244)),"Whiskey",
 ISNUMBER(SEARCH("VODKA",C2244)),"Vodka",
 ISNUMBER(SEARCH("TEQUILA",C2244)),"Tequila/Mezcal",
 ISNUMBER(SEARCH("MEZCAL",C2244)),"Tequila/Mezcal",
 ISNUMBER(SEARCH("RUM",C2244)),"Rum",
 ISNUMBER(SEARCH("BRAND",C2244)),"Brandy",
 ISNUMBER(SEARCH("COGNAC",C2244)),"Brandy",
 ISNUMBER(SEARCH("LIQUEUR",C2244)),"Liqueurs",
 ISNUMBER(SEARCH("CORDIAL",C2244)),"Liqueurs",
 ISNUMBER(SEARCH("SCHNAPP",C2244)),"Liqueurs",
 ISNUMBER(SEARCH("GIN",C2244)),"Gin",
 TRUE,"Other")</f>
        <v>Other</v>
      </c>
      <c r="E2244" s="5">
        <v>11977</v>
      </c>
      <c r="F2244" s="5">
        <v>200693.38000000207</v>
      </c>
      <c r="G2244" s="5"/>
      <c r="H2244" s="5">
        <v>2453</v>
      </c>
    </row>
    <row r="2245" spans="1:8">
      <c r="A2245" s="5">
        <v>2025</v>
      </c>
      <c r="B2245" s="6">
        <v>45901</v>
      </c>
      <c r="C2245" s="5" t="s">
        <v>40</v>
      </c>
      <c r="D2245" s="3" t="str" cm="1">
        <f t="array" ref="D2245">_xlfn.IFS(
 ISNUMBER(SEARCH("WHISK",C2245)),"Whiskey",
 ISNUMBER(SEARCH("BOURBON",C2245)),"Whiskey",
 ISNUMBER(SEARCH("SCOTCH",C2245)),"Whiskey",
 ISNUMBER(SEARCH("RYE",C2245)),"Whiskey",
 ISNUMBER(SEARCH("VODKA",C2245)),"Vodka",
 ISNUMBER(SEARCH("TEQUILA",C2245)),"Tequila/Mezcal",
 ISNUMBER(SEARCH("MEZCAL",C2245)),"Tequila/Mezcal",
 ISNUMBER(SEARCH("RUM",C2245)),"Rum",
 ISNUMBER(SEARCH("BRAND",C2245)),"Brandy",
 ISNUMBER(SEARCH("COGNAC",C2245)),"Brandy",
 ISNUMBER(SEARCH("LIQUEUR",C2245)),"Liqueurs",
 ISNUMBER(SEARCH("CORDIAL",C2245)),"Liqueurs",
 ISNUMBER(SEARCH("SCHNAPP",C2245)),"Liqueurs",
 ISNUMBER(SEARCH("GIN",C2245)),"Gin",
 TRUE,"Other")</f>
        <v>Whiskey</v>
      </c>
      <c r="E2245" s="5">
        <v>4738</v>
      </c>
      <c r="F2245" s="5">
        <v>324513.48</v>
      </c>
      <c r="G2245" s="5"/>
      <c r="H2245" s="5">
        <v>1098</v>
      </c>
    </row>
    <row r="2246" spans="1:8">
      <c r="A2246" s="5">
        <v>2025</v>
      </c>
      <c r="B2246" s="6">
        <v>45901</v>
      </c>
      <c r="C2246" s="5" t="s">
        <v>43</v>
      </c>
      <c r="D2246" s="3" t="str" cm="1">
        <f t="array" ref="D2246">_xlfn.IFS(
 ISNUMBER(SEARCH("WHISK",C2246)),"Whiskey",
 ISNUMBER(SEARCH("BOURBON",C2246)),"Whiskey",
 ISNUMBER(SEARCH("SCOTCH",C2246)),"Whiskey",
 ISNUMBER(SEARCH("RYE",C2246)),"Whiskey",
 ISNUMBER(SEARCH("VODKA",C2246)),"Vodka",
 ISNUMBER(SEARCH("TEQUILA",C2246)),"Tequila/Mezcal",
 ISNUMBER(SEARCH("MEZCAL",C2246)),"Tequila/Mezcal",
 ISNUMBER(SEARCH("RUM",C2246)),"Rum",
 ISNUMBER(SEARCH("BRAND",C2246)),"Brandy",
 ISNUMBER(SEARCH("COGNAC",C2246)),"Brandy",
 ISNUMBER(SEARCH("LIQUEUR",C2246)),"Liqueurs",
 ISNUMBER(SEARCH("CORDIAL",C2246)),"Liqueurs",
 ISNUMBER(SEARCH("SCHNAPP",C2246)),"Liqueurs",
 ISNUMBER(SEARCH("GIN",C2246)),"Gin",
 TRUE,"Other")</f>
        <v>Whiskey</v>
      </c>
      <c r="E2246" s="5">
        <v>142237</v>
      </c>
      <c r="F2246" s="5">
        <v>3351420.9900000039</v>
      </c>
      <c r="G2246" s="5"/>
      <c r="H2246" s="5">
        <v>15292</v>
      </c>
    </row>
    <row r="2247" spans="1:8">
      <c r="A2247" s="5">
        <v>2025</v>
      </c>
      <c r="B2247" s="6">
        <v>45901</v>
      </c>
      <c r="C2247" s="5" t="s">
        <v>45</v>
      </c>
      <c r="D2247" s="3" t="str" cm="1">
        <f t="array" ref="D2247">_xlfn.IFS(
 ISNUMBER(SEARCH("WHISK",C2247)),"Whiskey",
 ISNUMBER(SEARCH("BOURBON",C2247)),"Whiskey",
 ISNUMBER(SEARCH("SCOTCH",C2247)),"Whiskey",
 ISNUMBER(SEARCH("RYE",C2247)),"Whiskey",
 ISNUMBER(SEARCH("VODKA",C2247)),"Vodka",
 ISNUMBER(SEARCH("TEQUILA",C2247)),"Tequila/Mezcal",
 ISNUMBER(SEARCH("MEZCAL",C2247)),"Tequila/Mezcal",
 ISNUMBER(SEARCH("RUM",C2247)),"Rum",
 ISNUMBER(SEARCH("BRAND",C2247)),"Brandy",
 ISNUMBER(SEARCH("COGNAC",C2247)),"Brandy",
 ISNUMBER(SEARCH("LIQUEUR",C2247)),"Liqueurs",
 ISNUMBER(SEARCH("CORDIAL",C2247)),"Liqueurs",
 ISNUMBER(SEARCH("SCHNAPP",C2247)),"Liqueurs",
 ISNUMBER(SEARCH("GIN",C2247)),"Gin",
 TRUE,"Other")</f>
        <v>Other</v>
      </c>
      <c r="E2247" s="5">
        <v>69985</v>
      </c>
      <c r="F2247" s="5">
        <v>1977917.8599999058</v>
      </c>
      <c r="G2247" s="5"/>
      <c r="H2247" s="5">
        <v>9601</v>
      </c>
    </row>
    <row r="2248" spans="1:8">
      <c r="A2248" s="5">
        <v>2025</v>
      </c>
      <c r="B2248" s="6">
        <v>45901</v>
      </c>
      <c r="C2248" s="5" t="s">
        <v>46</v>
      </c>
      <c r="D2248" s="3" t="str" cm="1">
        <f t="array" ref="D2248">_xlfn.IFS(
 ISNUMBER(SEARCH("WHISK",C2248)),"Whiskey",
 ISNUMBER(SEARCH("BOURBON",C2248)),"Whiskey",
 ISNUMBER(SEARCH("SCOTCH",C2248)),"Whiskey",
 ISNUMBER(SEARCH("RYE",C2248)),"Whiskey",
 ISNUMBER(SEARCH("VODKA",C2248)),"Vodka",
 ISNUMBER(SEARCH("TEQUILA",C2248)),"Tequila/Mezcal",
 ISNUMBER(SEARCH("MEZCAL",C2248)),"Tequila/Mezcal",
 ISNUMBER(SEARCH("RUM",C2248)),"Rum",
 ISNUMBER(SEARCH("BRAND",C2248)),"Brandy",
 ISNUMBER(SEARCH("COGNAC",C2248)),"Brandy",
 ISNUMBER(SEARCH("LIQUEUR",C2248)),"Liqueurs",
 ISNUMBER(SEARCH("CORDIAL",C2248)),"Liqueurs",
 ISNUMBER(SEARCH("SCHNAPP",C2248)),"Liqueurs",
 ISNUMBER(SEARCH("GIN",C2248)),"Gin",
 TRUE,"Other")</f>
        <v>Whiskey</v>
      </c>
      <c r="E2248" s="5">
        <v>58865</v>
      </c>
      <c r="F2248" s="5">
        <v>1370225.5799999856</v>
      </c>
      <c r="G2248" s="5"/>
      <c r="H2248" s="5">
        <v>6022</v>
      </c>
    </row>
    <row r="2249" spans="1:8">
      <c r="A2249" s="5">
        <v>2025</v>
      </c>
      <c r="B2249" s="6">
        <v>45901</v>
      </c>
      <c r="C2249" s="5" t="s">
        <v>48</v>
      </c>
      <c r="D2249" s="3" t="str" cm="1">
        <f t="array" ref="D2249">_xlfn.IFS(
 ISNUMBER(SEARCH("WHISK",C2249)),"Whiskey",
 ISNUMBER(SEARCH("BOURBON",C2249)),"Whiskey",
 ISNUMBER(SEARCH("SCOTCH",C2249)),"Whiskey",
 ISNUMBER(SEARCH("RYE",C2249)),"Whiskey",
 ISNUMBER(SEARCH("VODKA",C2249)),"Vodka",
 ISNUMBER(SEARCH("TEQUILA",C2249)),"Tequila/Mezcal",
 ISNUMBER(SEARCH("MEZCAL",C2249)),"Tequila/Mezcal",
 ISNUMBER(SEARCH("RUM",C2249)),"Rum",
 ISNUMBER(SEARCH("BRAND",C2249)),"Brandy",
 ISNUMBER(SEARCH("COGNAC",C2249)),"Brandy",
 ISNUMBER(SEARCH("LIQUEUR",C2249)),"Liqueurs",
 ISNUMBER(SEARCH("CORDIAL",C2249)),"Liqueurs",
 ISNUMBER(SEARCH("SCHNAPP",C2249)),"Liqueurs",
 ISNUMBER(SEARCH("GIN",C2249)),"Gin",
 TRUE,"Other")</f>
        <v>Whiskey</v>
      </c>
      <c r="E2249" s="5">
        <v>443351</v>
      </c>
      <c r="F2249" s="5">
        <v>2639751.9300000067</v>
      </c>
      <c r="G2249" s="5"/>
      <c r="H2249" s="5">
        <v>16505</v>
      </c>
    </row>
    <row r="2250" spans="1:8">
      <c r="A2250" s="5">
        <v>2025</v>
      </c>
      <c r="B2250" s="6">
        <v>45901</v>
      </c>
      <c r="C2250" s="5" t="s">
        <v>7</v>
      </c>
      <c r="D2250" s="3" t="str" cm="1">
        <f t="array" ref="D2250">_xlfn.IFS(
 ISNUMBER(SEARCH("WHISK",C2250)),"Whiskey",
 ISNUMBER(SEARCH("BOURBON",C2250)),"Whiskey",
 ISNUMBER(SEARCH("SCOTCH",C2250)),"Whiskey",
 ISNUMBER(SEARCH("RYE",C2250)),"Whiskey",
 ISNUMBER(SEARCH("VODKA",C2250)),"Vodka",
 ISNUMBER(SEARCH("TEQUILA",C2250)),"Tequila/Mezcal",
 ISNUMBER(SEARCH("MEZCAL",C2250)),"Tequila/Mezcal",
 ISNUMBER(SEARCH("RUM",C2250)),"Rum",
 ISNUMBER(SEARCH("BRAND",C2250)),"Brandy",
 ISNUMBER(SEARCH("COGNAC",C2250)),"Brandy",
 ISNUMBER(SEARCH("LIQUEUR",C2250)),"Liqueurs",
 ISNUMBER(SEARCH("CORDIAL",C2250)),"Liqueurs",
 ISNUMBER(SEARCH("SCHNAPP",C2250)),"Liqueurs",
 ISNUMBER(SEARCH("GIN",C2250)),"Gin",
 TRUE,"Other")</f>
        <v>Rum</v>
      </c>
      <c r="E2250" s="5">
        <v>3973</v>
      </c>
      <c r="F2250" s="5">
        <v>95345.900000000154</v>
      </c>
      <c r="G2250" s="5"/>
      <c r="H2250" s="5">
        <v>518</v>
      </c>
    </row>
    <row r="2251" spans="1:8">
      <c r="A2251" s="5">
        <v>2025</v>
      </c>
      <c r="B2251" s="6">
        <v>45901</v>
      </c>
      <c r="C2251" s="5" t="s">
        <v>9</v>
      </c>
      <c r="D2251" s="3" t="str" cm="1">
        <f t="array" ref="D2251">_xlfn.IFS(
 ISNUMBER(SEARCH("WHISK",C2251)),"Whiskey",
 ISNUMBER(SEARCH("BOURBON",C2251)),"Whiskey",
 ISNUMBER(SEARCH("SCOTCH",C2251)),"Whiskey",
 ISNUMBER(SEARCH("RYE",C2251)),"Whiskey",
 ISNUMBER(SEARCH("VODKA",C2251)),"Vodka",
 ISNUMBER(SEARCH("TEQUILA",C2251)),"Tequila/Mezcal",
 ISNUMBER(SEARCH("MEZCAL",C2251)),"Tequila/Mezcal",
 ISNUMBER(SEARCH("RUM",C2251)),"Rum",
 ISNUMBER(SEARCH("BRAND",C2251)),"Brandy",
 ISNUMBER(SEARCH("COGNAC",C2251)),"Brandy",
 ISNUMBER(SEARCH("LIQUEUR",C2251)),"Liqueurs",
 ISNUMBER(SEARCH("CORDIAL",C2251)),"Liqueurs",
 ISNUMBER(SEARCH("SCHNAPP",C2251)),"Liqueurs",
 ISNUMBER(SEARCH("GIN",C2251)),"Gin",
 TRUE,"Other")</f>
        <v>Liqueurs</v>
      </c>
      <c r="E2251" s="5">
        <v>34025</v>
      </c>
      <c r="F2251" s="5">
        <v>418821.2700000052</v>
      </c>
      <c r="G2251" s="5"/>
      <c r="H2251" s="5">
        <v>5460</v>
      </c>
    </row>
    <row r="2252" spans="1:8">
      <c r="A2252" s="5">
        <v>2025</v>
      </c>
      <c r="B2252" s="6">
        <v>45901</v>
      </c>
      <c r="C2252" s="5" t="s">
        <v>12</v>
      </c>
      <c r="D2252" s="3" t="str" cm="1">
        <f t="array" ref="D2252">_xlfn.IFS(
 ISNUMBER(SEARCH("WHISK",C2252)),"Whiskey",
 ISNUMBER(SEARCH("BOURBON",C2252)),"Whiskey",
 ISNUMBER(SEARCH("SCOTCH",C2252)),"Whiskey",
 ISNUMBER(SEARCH("RYE",C2252)),"Whiskey",
 ISNUMBER(SEARCH("VODKA",C2252)),"Vodka",
 ISNUMBER(SEARCH("TEQUILA",C2252)),"Tequila/Mezcal",
 ISNUMBER(SEARCH("MEZCAL",C2252)),"Tequila/Mezcal",
 ISNUMBER(SEARCH("RUM",C2252)),"Rum",
 ISNUMBER(SEARCH("BRAND",C2252)),"Brandy",
 ISNUMBER(SEARCH("COGNAC",C2252)),"Brandy",
 ISNUMBER(SEARCH("LIQUEUR",C2252)),"Liqueurs",
 ISNUMBER(SEARCH("CORDIAL",C2252)),"Liqueurs",
 ISNUMBER(SEARCH("SCHNAPP",C2252)),"Liqueurs",
 ISNUMBER(SEARCH("GIN",C2252)),"Gin",
 TRUE,"Other")</f>
        <v>Vodka</v>
      </c>
      <c r="E2252" s="5">
        <v>76770</v>
      </c>
      <c r="F2252" s="5">
        <v>841497.06000003126</v>
      </c>
      <c r="G2252" s="5"/>
      <c r="H2252" s="5">
        <v>8653</v>
      </c>
    </row>
    <row r="2253" spans="1:8">
      <c r="A2253" s="5">
        <v>2025</v>
      </c>
      <c r="B2253" s="6">
        <v>45901</v>
      </c>
      <c r="C2253" s="5" t="s">
        <v>13</v>
      </c>
      <c r="D2253" s="3" t="str" cm="1">
        <f t="array" ref="D2253">_xlfn.IFS(
 ISNUMBER(SEARCH("WHISK",C2253)),"Whiskey",
 ISNUMBER(SEARCH("BOURBON",C2253)),"Whiskey",
 ISNUMBER(SEARCH("SCOTCH",C2253)),"Whiskey",
 ISNUMBER(SEARCH("RYE",C2253)),"Whiskey",
 ISNUMBER(SEARCH("VODKA",C2253)),"Vodka",
 ISNUMBER(SEARCH("TEQUILA",C2253)),"Tequila/Mezcal",
 ISNUMBER(SEARCH("MEZCAL",C2253)),"Tequila/Mezcal",
 ISNUMBER(SEARCH("RUM",C2253)),"Rum",
 ISNUMBER(SEARCH("BRAND",C2253)),"Brandy",
 ISNUMBER(SEARCH("COGNAC",C2253)),"Brandy",
 ISNUMBER(SEARCH("LIQUEUR",C2253)),"Liqueurs",
 ISNUMBER(SEARCH("CORDIAL",C2253)),"Liqueurs",
 ISNUMBER(SEARCH("SCHNAPP",C2253)),"Liqueurs",
 ISNUMBER(SEARCH("GIN",C2253)),"Gin",
 TRUE,"Other")</f>
        <v>Liqueurs</v>
      </c>
      <c r="E2253" s="5">
        <v>96238</v>
      </c>
      <c r="F2253" s="5">
        <v>695183.73000000289</v>
      </c>
      <c r="G2253" s="5"/>
      <c r="H2253" s="5">
        <v>7845</v>
      </c>
    </row>
    <row r="2254" spans="1:8">
      <c r="A2254" s="5">
        <v>2025</v>
      </c>
      <c r="B2254" s="6">
        <v>45901</v>
      </c>
      <c r="C2254" s="5" t="s">
        <v>27</v>
      </c>
      <c r="D2254" s="3" t="str" cm="1">
        <f t="array" ref="D2254">_xlfn.IFS(
 ISNUMBER(SEARCH("WHISK",C2254)),"Whiskey",
 ISNUMBER(SEARCH("BOURBON",C2254)),"Whiskey",
 ISNUMBER(SEARCH("SCOTCH",C2254)),"Whiskey",
 ISNUMBER(SEARCH("RYE",C2254)),"Whiskey",
 ISNUMBER(SEARCH("VODKA",C2254)),"Vodka",
 ISNUMBER(SEARCH("TEQUILA",C2254)),"Tequila/Mezcal",
 ISNUMBER(SEARCH("MEZCAL",C2254)),"Tequila/Mezcal",
 ISNUMBER(SEARCH("RUM",C2254)),"Rum",
 ISNUMBER(SEARCH("BRAND",C2254)),"Brandy",
 ISNUMBER(SEARCH("COGNAC",C2254)),"Brandy",
 ISNUMBER(SEARCH("LIQUEUR",C2254)),"Liqueurs",
 ISNUMBER(SEARCH("CORDIAL",C2254)),"Liqueurs",
 ISNUMBER(SEARCH("SCHNAPP",C2254)),"Liqueurs",
 ISNUMBER(SEARCH("GIN",C2254)),"Gin",
 TRUE,"Other")</f>
        <v>Liqueurs</v>
      </c>
      <c r="E2254" s="5">
        <v>37780</v>
      </c>
      <c r="F2254" s="5">
        <v>905385.81000000134</v>
      </c>
      <c r="G2254" s="5"/>
      <c r="H2254" s="5">
        <v>4092</v>
      </c>
    </row>
    <row r="2255" spans="1:8">
      <c r="A2255" s="5">
        <v>2025</v>
      </c>
      <c r="B2255" s="6">
        <v>45901</v>
      </c>
      <c r="C2255" s="5" t="s">
        <v>30</v>
      </c>
      <c r="D2255" s="3" t="str" cm="1">
        <f t="array" ref="D2255">_xlfn.IFS(
 ISNUMBER(SEARCH("WHISK",C2255)),"Whiskey",
 ISNUMBER(SEARCH("BOURBON",C2255)),"Whiskey",
 ISNUMBER(SEARCH("SCOTCH",C2255)),"Whiskey",
 ISNUMBER(SEARCH("RYE",C2255)),"Whiskey",
 ISNUMBER(SEARCH("VODKA",C2255)),"Vodka",
 ISNUMBER(SEARCH("TEQUILA",C2255)),"Tequila/Mezcal",
 ISNUMBER(SEARCH("MEZCAL",C2255)),"Tequila/Mezcal",
 ISNUMBER(SEARCH("RUM",C2255)),"Rum",
 ISNUMBER(SEARCH("BRAND",C2255)),"Brandy",
 ISNUMBER(SEARCH("COGNAC",C2255)),"Brandy",
 ISNUMBER(SEARCH("LIQUEUR",C2255)),"Liqueurs",
 ISNUMBER(SEARCH("CORDIAL",C2255)),"Liqueurs",
 ISNUMBER(SEARCH("SCHNAPP",C2255)),"Liqueurs",
 ISNUMBER(SEARCH("GIN",C2255)),"Gin",
 TRUE,"Other")</f>
        <v>Vodka</v>
      </c>
      <c r="E2255" s="5">
        <v>21199</v>
      </c>
      <c r="F2255" s="5">
        <v>320647.42000000237</v>
      </c>
      <c r="G2255" s="5"/>
      <c r="H2255" s="5">
        <v>1961</v>
      </c>
    </row>
    <row r="2256" spans="1:8">
      <c r="A2256" s="5">
        <v>2025</v>
      </c>
      <c r="B2256" s="6">
        <v>45901</v>
      </c>
      <c r="C2256" s="5" t="s">
        <v>31</v>
      </c>
      <c r="D2256" s="3" t="str" cm="1">
        <f t="array" ref="D2256">_xlfn.IFS(
 ISNUMBER(SEARCH("WHISK",C2256)),"Whiskey",
 ISNUMBER(SEARCH("BOURBON",C2256)),"Whiskey",
 ISNUMBER(SEARCH("SCOTCH",C2256)),"Whiskey",
 ISNUMBER(SEARCH("RYE",C2256)),"Whiskey",
 ISNUMBER(SEARCH("VODKA",C2256)),"Vodka",
 ISNUMBER(SEARCH("TEQUILA",C2256)),"Tequila/Mezcal",
 ISNUMBER(SEARCH("MEZCAL",C2256)),"Tequila/Mezcal",
 ISNUMBER(SEARCH("RUM",C2256)),"Rum",
 ISNUMBER(SEARCH("BRAND",C2256)),"Brandy",
 ISNUMBER(SEARCH("COGNAC",C2256)),"Brandy",
 ISNUMBER(SEARCH("LIQUEUR",C2256)),"Liqueurs",
 ISNUMBER(SEARCH("CORDIAL",C2256)),"Liqueurs",
 ISNUMBER(SEARCH("SCHNAPP",C2256)),"Liqueurs",
 ISNUMBER(SEARCH("GIN",C2256)),"Gin",
 TRUE,"Other")</f>
        <v>Liqueurs</v>
      </c>
      <c r="E2256" s="5">
        <v>27480</v>
      </c>
      <c r="F2256" s="5">
        <v>495250.32000000135</v>
      </c>
      <c r="G2256" s="5"/>
      <c r="H2256" s="5">
        <v>2620</v>
      </c>
    </row>
    <row r="2257" spans="1:8">
      <c r="A2257" s="5">
        <v>2025</v>
      </c>
      <c r="B2257" s="6">
        <v>45901</v>
      </c>
      <c r="C2257" s="5" t="s">
        <v>38</v>
      </c>
      <c r="D2257" s="3" t="str" cm="1">
        <f t="array" ref="D2257">_xlfn.IFS(
 ISNUMBER(SEARCH("WHISK",C2257)),"Whiskey",
 ISNUMBER(SEARCH("BOURBON",C2257)),"Whiskey",
 ISNUMBER(SEARCH("SCOTCH",C2257)),"Whiskey",
 ISNUMBER(SEARCH("RYE",C2257)),"Whiskey",
 ISNUMBER(SEARCH("VODKA",C2257)),"Vodka",
 ISNUMBER(SEARCH("TEQUILA",C2257)),"Tequila/Mezcal",
 ISNUMBER(SEARCH("MEZCAL",C2257)),"Tequila/Mezcal",
 ISNUMBER(SEARCH("RUM",C2257)),"Rum",
 ISNUMBER(SEARCH("BRAND",C2257)),"Brandy",
 ISNUMBER(SEARCH("COGNAC",C2257)),"Brandy",
 ISNUMBER(SEARCH("LIQUEUR",C2257)),"Liqueurs",
 ISNUMBER(SEARCH("CORDIAL",C2257)),"Liqueurs",
 ISNUMBER(SEARCH("SCHNAPP",C2257)),"Liqueurs",
 ISNUMBER(SEARCH("GIN",C2257)),"Gin",
 TRUE,"Other")</f>
        <v>Whiskey</v>
      </c>
      <c r="E2257" s="5">
        <v>11761</v>
      </c>
      <c r="F2257" s="5">
        <v>353229.68999999989</v>
      </c>
      <c r="G2257" s="5"/>
      <c r="H2257" s="5">
        <v>2012</v>
      </c>
    </row>
    <row r="2258" spans="1:8">
      <c r="A2258" s="5">
        <v>2025</v>
      </c>
      <c r="B2258" s="6">
        <v>45901</v>
      </c>
      <c r="C2258" s="5" t="s">
        <v>42</v>
      </c>
      <c r="D2258" s="3" t="str" cm="1">
        <f t="array" ref="D2258">_xlfn.IFS(
 ISNUMBER(SEARCH("WHISK",C2258)),"Whiskey",
 ISNUMBER(SEARCH("BOURBON",C2258)),"Whiskey",
 ISNUMBER(SEARCH("SCOTCH",C2258)),"Whiskey",
 ISNUMBER(SEARCH("RYE",C2258)),"Whiskey",
 ISNUMBER(SEARCH("VODKA",C2258)),"Vodka",
 ISNUMBER(SEARCH("TEQUILA",C2258)),"Tequila/Mezcal",
 ISNUMBER(SEARCH("MEZCAL",C2258)),"Tequila/Mezcal",
 ISNUMBER(SEARCH("RUM",C2258)),"Rum",
 ISNUMBER(SEARCH("BRAND",C2258)),"Brandy",
 ISNUMBER(SEARCH("COGNAC",C2258)),"Brandy",
 ISNUMBER(SEARCH("LIQUEUR",C2258)),"Liqueurs",
 ISNUMBER(SEARCH("CORDIAL",C2258)),"Liqueurs",
 ISNUMBER(SEARCH("SCHNAPP",C2258)),"Liqueurs",
 ISNUMBER(SEARCH("GIN",C2258)),"Gin",
 TRUE,"Other")</f>
        <v>Rum</v>
      </c>
      <c r="E2258" s="5">
        <v>98284</v>
      </c>
      <c r="F2258" s="5">
        <v>1579703.9399999024</v>
      </c>
      <c r="G2258" s="5"/>
      <c r="H2258" s="5">
        <v>6574</v>
      </c>
    </row>
    <row r="2259" spans="1:8">
      <c r="A2259" s="5">
        <v>2025</v>
      </c>
      <c r="B2259" s="6">
        <v>45901</v>
      </c>
      <c r="C2259" s="5" t="s">
        <v>44</v>
      </c>
      <c r="D2259" s="3" t="str" cm="1">
        <f t="array" ref="D2259">_xlfn.IFS(
 ISNUMBER(SEARCH("WHISK",C2259)),"Whiskey",
 ISNUMBER(SEARCH("BOURBON",C2259)),"Whiskey",
 ISNUMBER(SEARCH("SCOTCH",C2259)),"Whiskey",
 ISNUMBER(SEARCH("RYE",C2259)),"Whiskey",
 ISNUMBER(SEARCH("VODKA",C2259)),"Vodka",
 ISNUMBER(SEARCH("TEQUILA",C2259)),"Tequila/Mezcal",
 ISNUMBER(SEARCH("MEZCAL",C2259)),"Tequila/Mezcal",
 ISNUMBER(SEARCH("RUM",C2259)),"Rum",
 ISNUMBER(SEARCH("BRAND",C2259)),"Brandy",
 ISNUMBER(SEARCH("COGNAC",C2259)),"Brandy",
 ISNUMBER(SEARCH("LIQUEUR",C2259)),"Liqueurs",
 ISNUMBER(SEARCH("CORDIAL",C2259)),"Liqueurs",
 ISNUMBER(SEARCH("SCHNAPP",C2259)),"Liqueurs",
 ISNUMBER(SEARCH("GIN",C2259)),"Gin",
 TRUE,"Other")</f>
        <v>Whiskey</v>
      </c>
      <c r="E2259" s="5">
        <v>8523</v>
      </c>
      <c r="F2259" s="5">
        <v>276982.74000000046</v>
      </c>
      <c r="G2259" s="5"/>
      <c r="H2259" s="5">
        <v>1323</v>
      </c>
    </row>
    <row r="2260" spans="1:8">
      <c r="A2260" s="5">
        <v>2025</v>
      </c>
      <c r="B2260" s="6">
        <v>45901</v>
      </c>
      <c r="C2260" s="5" t="s">
        <v>49</v>
      </c>
      <c r="D2260" s="3" t="str" cm="1">
        <f t="array" ref="D2260">_xlfn.IFS(
 ISNUMBER(SEARCH("WHISK",C2260)),"Whiskey",
 ISNUMBER(SEARCH("BOURBON",C2260)),"Whiskey",
 ISNUMBER(SEARCH("SCOTCH",C2260)),"Whiskey",
 ISNUMBER(SEARCH("RYE",C2260)),"Whiskey",
 ISNUMBER(SEARCH("VODKA",C2260)),"Vodka",
 ISNUMBER(SEARCH("TEQUILA",C2260)),"Tequila/Mezcal",
 ISNUMBER(SEARCH("MEZCAL",C2260)),"Tequila/Mezcal",
 ISNUMBER(SEARCH("RUM",C2260)),"Rum",
 ISNUMBER(SEARCH("BRAND",C2260)),"Brandy",
 ISNUMBER(SEARCH("COGNAC",C2260)),"Brandy",
 ISNUMBER(SEARCH("LIQUEUR",C2260)),"Liqueurs",
 ISNUMBER(SEARCH("CORDIAL",C2260)),"Liqueurs",
 ISNUMBER(SEARCH("SCHNAPP",C2260)),"Liqueurs",
 ISNUMBER(SEARCH("GIN",C2260)),"Gin",
 TRUE,"Other")</f>
        <v>Rum</v>
      </c>
      <c r="E2260" s="5">
        <v>32934</v>
      </c>
      <c r="F2260" s="5">
        <v>394162.16000000009</v>
      </c>
      <c r="G2260" s="5"/>
      <c r="H2260" s="5">
        <v>2826</v>
      </c>
    </row>
    <row r="2261" spans="1:8">
      <c r="A2261" s="5">
        <v>2025</v>
      </c>
      <c r="B2261" s="6">
        <v>45901</v>
      </c>
      <c r="C2261" s="5" t="s">
        <v>22</v>
      </c>
      <c r="D2261" s="3" t="str" cm="1">
        <f t="array" ref="D2261">_xlfn.IFS(
 ISNUMBER(SEARCH("WHISK",C2261)),"Whiskey",
 ISNUMBER(SEARCH("BOURBON",C2261)),"Whiskey",
 ISNUMBER(SEARCH("SCOTCH",C2261)),"Whiskey",
 ISNUMBER(SEARCH("RYE",C2261)),"Whiskey",
 ISNUMBER(SEARCH("VODKA",C2261)),"Vodka",
 ISNUMBER(SEARCH("TEQUILA",C2261)),"Tequila/Mezcal",
 ISNUMBER(SEARCH("MEZCAL",C2261)),"Tequila/Mezcal",
 ISNUMBER(SEARCH("RUM",C2261)),"Rum",
 ISNUMBER(SEARCH("BRAND",C2261)),"Brandy",
 ISNUMBER(SEARCH("COGNAC",C2261)),"Brandy",
 ISNUMBER(SEARCH("LIQUEUR",C2261)),"Liqueurs",
 ISNUMBER(SEARCH("CORDIAL",C2261)),"Liqueurs",
 ISNUMBER(SEARCH("SCHNAPP",C2261)),"Liqueurs",
 ISNUMBER(SEARCH("GIN",C2261)),"Gin",
 TRUE,"Other")</f>
        <v>Liqueurs</v>
      </c>
      <c r="E2261" s="5">
        <v>25009</v>
      </c>
      <c r="F2261" s="5">
        <v>515177.76999999769</v>
      </c>
      <c r="G2261" s="5"/>
      <c r="H2261" s="5">
        <v>3353</v>
      </c>
    </row>
    <row r="2262" spans="1:8">
      <c r="A2262" s="5">
        <v>2025</v>
      </c>
      <c r="B2262" s="6">
        <v>45901</v>
      </c>
      <c r="C2262" s="5" t="s">
        <v>25</v>
      </c>
      <c r="D2262" s="3" t="str" cm="1">
        <f t="array" ref="D2262">_xlfn.IFS(
 ISNUMBER(SEARCH("WHISK",C2262)),"Whiskey",
 ISNUMBER(SEARCH("BOURBON",C2262)),"Whiskey",
 ISNUMBER(SEARCH("SCOTCH",C2262)),"Whiskey",
 ISNUMBER(SEARCH("RYE",C2262)),"Whiskey",
 ISNUMBER(SEARCH("VODKA",C2262)),"Vodka",
 ISNUMBER(SEARCH("TEQUILA",C2262)),"Tequila/Mezcal",
 ISNUMBER(SEARCH("MEZCAL",C2262)),"Tequila/Mezcal",
 ISNUMBER(SEARCH("RUM",C2262)),"Rum",
 ISNUMBER(SEARCH("BRAND",C2262)),"Brandy",
 ISNUMBER(SEARCH("COGNAC",C2262)),"Brandy",
 ISNUMBER(SEARCH("LIQUEUR",C2262)),"Liqueurs",
 ISNUMBER(SEARCH("CORDIAL",C2262)),"Liqueurs",
 ISNUMBER(SEARCH("SCHNAPP",C2262)),"Liqueurs",
 ISNUMBER(SEARCH("GIN",C2262)),"Gin",
 TRUE,"Other")</f>
        <v>Rum</v>
      </c>
      <c r="E2262" s="5">
        <v>4439</v>
      </c>
      <c r="F2262" s="5">
        <v>60560.979999999981</v>
      </c>
      <c r="G2262" s="5"/>
      <c r="H2262" s="5">
        <v>634</v>
      </c>
    </row>
    <row r="2263" spans="1:8">
      <c r="A2263" s="5">
        <v>2025</v>
      </c>
      <c r="B2263" s="6">
        <v>45901</v>
      </c>
      <c r="C2263" s="5" t="s">
        <v>29</v>
      </c>
      <c r="D2263" s="3" t="str" cm="1">
        <f t="array" ref="D2263">_xlfn.IFS(
 ISNUMBER(SEARCH("WHISK",C2263)),"Whiskey",
 ISNUMBER(SEARCH("BOURBON",C2263)),"Whiskey",
 ISNUMBER(SEARCH("SCOTCH",C2263)),"Whiskey",
 ISNUMBER(SEARCH("RYE",C2263)),"Whiskey",
 ISNUMBER(SEARCH("VODKA",C2263)),"Vodka",
 ISNUMBER(SEARCH("TEQUILA",C2263)),"Tequila/Mezcal",
 ISNUMBER(SEARCH("MEZCAL",C2263)),"Tequila/Mezcal",
 ISNUMBER(SEARCH("RUM",C2263)),"Rum",
 ISNUMBER(SEARCH("BRAND",C2263)),"Brandy",
 ISNUMBER(SEARCH("COGNAC",C2263)),"Brandy",
 ISNUMBER(SEARCH("LIQUEUR",C2263)),"Liqueurs",
 ISNUMBER(SEARCH("CORDIAL",C2263)),"Liqueurs",
 ISNUMBER(SEARCH("SCHNAPP",C2263)),"Liqueurs",
 ISNUMBER(SEARCH("GIN",C2263)),"Gin",
 TRUE,"Other")</f>
        <v>Gin</v>
      </c>
      <c r="E2263" s="5">
        <v>14210</v>
      </c>
      <c r="F2263" s="5">
        <v>364530.68000000081</v>
      </c>
      <c r="G2263" s="5"/>
      <c r="H2263" s="5">
        <v>1787</v>
      </c>
    </row>
    <row r="2264" spans="1:8">
      <c r="A2264" s="5">
        <v>2025</v>
      </c>
      <c r="B2264" s="6">
        <v>45901</v>
      </c>
      <c r="C2264" s="5" t="s">
        <v>32</v>
      </c>
      <c r="D2264" s="3" t="str" cm="1">
        <f t="array" ref="D2264">_xlfn.IFS(
 ISNUMBER(SEARCH("WHISK",C2264)),"Whiskey",
 ISNUMBER(SEARCH("BOURBON",C2264)),"Whiskey",
 ISNUMBER(SEARCH("SCOTCH",C2264)),"Whiskey",
 ISNUMBER(SEARCH("RYE",C2264)),"Whiskey",
 ISNUMBER(SEARCH("VODKA",C2264)),"Vodka",
 ISNUMBER(SEARCH("TEQUILA",C2264)),"Tequila/Mezcal",
 ISNUMBER(SEARCH("MEZCAL",C2264)),"Tequila/Mezcal",
 ISNUMBER(SEARCH("RUM",C2264)),"Rum",
 ISNUMBER(SEARCH("BRAND",C2264)),"Brandy",
 ISNUMBER(SEARCH("COGNAC",C2264)),"Brandy",
 ISNUMBER(SEARCH("LIQUEUR",C2264)),"Liqueurs",
 ISNUMBER(SEARCH("CORDIAL",C2264)),"Liqueurs",
 ISNUMBER(SEARCH("SCHNAPP",C2264)),"Liqueurs",
 ISNUMBER(SEARCH("GIN",C2264)),"Gin",
 TRUE,"Other")</f>
        <v>Vodka</v>
      </c>
      <c r="E2264" s="5">
        <v>62245</v>
      </c>
      <c r="F2264" s="5">
        <v>985112.01999998163</v>
      </c>
      <c r="G2264" s="5"/>
      <c r="H2264" s="5">
        <v>4508</v>
      </c>
    </row>
    <row r="2265" spans="1:8">
      <c r="A2265" s="5">
        <v>2025</v>
      </c>
      <c r="B2265" s="6">
        <v>45901</v>
      </c>
      <c r="C2265" s="5" t="s">
        <v>33</v>
      </c>
      <c r="D2265" s="3" t="str" cm="1">
        <f t="array" ref="D2265">_xlfn.IFS(
 ISNUMBER(SEARCH("WHISK",C2265)),"Whiskey",
 ISNUMBER(SEARCH("BOURBON",C2265)),"Whiskey",
 ISNUMBER(SEARCH("SCOTCH",C2265)),"Whiskey",
 ISNUMBER(SEARCH("RYE",C2265)),"Whiskey",
 ISNUMBER(SEARCH("VODKA",C2265)),"Vodka",
 ISNUMBER(SEARCH("TEQUILA",C2265)),"Tequila/Mezcal",
 ISNUMBER(SEARCH("MEZCAL",C2265)),"Tequila/Mezcal",
 ISNUMBER(SEARCH("RUM",C2265)),"Rum",
 ISNUMBER(SEARCH("BRAND",C2265)),"Brandy",
 ISNUMBER(SEARCH("COGNAC",C2265)),"Brandy",
 ISNUMBER(SEARCH("LIQUEUR",C2265)),"Liqueurs",
 ISNUMBER(SEARCH("CORDIAL",C2265)),"Liqueurs",
 ISNUMBER(SEARCH("SCHNAPP",C2265)),"Liqueurs",
 ISNUMBER(SEARCH("GIN",C2265)),"Gin",
 TRUE,"Other")</f>
        <v>Whiskey</v>
      </c>
      <c r="E2265" s="5">
        <v>23765</v>
      </c>
      <c r="F2265" s="5">
        <v>646641.2899999955</v>
      </c>
      <c r="G2265" s="5"/>
      <c r="H2265" s="5">
        <v>2264</v>
      </c>
    </row>
    <row r="2266" spans="1:8">
      <c r="A2266" s="5">
        <v>2025</v>
      </c>
      <c r="B2266" s="6">
        <v>45901</v>
      </c>
      <c r="C2266" s="5" t="s">
        <v>17</v>
      </c>
      <c r="D2266" s="3" t="str" cm="1">
        <f t="array" ref="D2266">_xlfn.IFS(
 ISNUMBER(SEARCH("WHISK",C2266)),"Whiskey",
 ISNUMBER(SEARCH("BOURBON",C2266)),"Whiskey",
 ISNUMBER(SEARCH("SCOTCH",C2266)),"Whiskey",
 ISNUMBER(SEARCH("RYE",C2266)),"Whiskey",
 ISNUMBER(SEARCH("VODKA",C2266)),"Vodka",
 ISNUMBER(SEARCH("TEQUILA",C2266)),"Tequila/Mezcal",
 ISNUMBER(SEARCH("MEZCAL",C2266)),"Tequila/Mezcal",
 ISNUMBER(SEARCH("RUM",C2266)),"Rum",
 ISNUMBER(SEARCH("BRAND",C2266)),"Brandy",
 ISNUMBER(SEARCH("COGNAC",C2266)),"Brandy",
 ISNUMBER(SEARCH("LIQUEUR",C2266)),"Liqueurs",
 ISNUMBER(SEARCH("CORDIAL",C2266)),"Liqueurs",
 ISNUMBER(SEARCH("SCHNAPP",C2266)),"Liqueurs",
 ISNUMBER(SEARCH("GIN",C2266)),"Gin",
 TRUE,"Other")</f>
        <v>Whiskey</v>
      </c>
      <c r="E2266" s="5">
        <v>5474</v>
      </c>
      <c r="F2266" s="5">
        <v>182793.61000000007</v>
      </c>
      <c r="G2266" s="5"/>
      <c r="H2266" s="5">
        <v>1549</v>
      </c>
    </row>
    <row r="2267" spans="1:8">
      <c r="A2267" s="5">
        <v>2025</v>
      </c>
      <c r="B2267" s="6">
        <v>45901</v>
      </c>
      <c r="C2267" s="5" t="s">
        <v>20</v>
      </c>
      <c r="D2267" s="3" t="str" cm="1">
        <f t="array" ref="D2267">_xlfn.IFS(
 ISNUMBER(SEARCH("WHISK",C2267)),"Whiskey",
 ISNUMBER(SEARCH("BOURBON",C2267)),"Whiskey",
 ISNUMBER(SEARCH("SCOTCH",C2267)),"Whiskey",
 ISNUMBER(SEARCH("RYE",C2267)),"Whiskey",
 ISNUMBER(SEARCH("VODKA",C2267)),"Vodka",
 ISNUMBER(SEARCH("TEQUILA",C2267)),"Tequila/Mezcal",
 ISNUMBER(SEARCH("MEZCAL",C2267)),"Tequila/Mezcal",
 ISNUMBER(SEARCH("RUM",C2267)),"Rum",
 ISNUMBER(SEARCH("BRAND",C2267)),"Brandy",
 ISNUMBER(SEARCH("COGNAC",C2267)),"Brandy",
 ISNUMBER(SEARCH("LIQUEUR",C2267)),"Liqueurs",
 ISNUMBER(SEARCH("CORDIAL",C2267)),"Liqueurs",
 ISNUMBER(SEARCH("SCHNAPP",C2267)),"Liqueurs",
 ISNUMBER(SEARCH("GIN",C2267)),"Gin",
 TRUE,"Other")</f>
        <v>Liqueurs</v>
      </c>
      <c r="E2267" s="5">
        <v>7706</v>
      </c>
      <c r="F2267" s="5">
        <v>165546.08000000063</v>
      </c>
      <c r="G2267" s="5"/>
      <c r="H2267" s="5">
        <v>922</v>
      </c>
    </row>
    <row r="2268" spans="1:8">
      <c r="A2268" s="5">
        <v>2025</v>
      </c>
      <c r="B2268" s="6">
        <v>45901</v>
      </c>
      <c r="C2268" s="5" t="s">
        <v>36</v>
      </c>
      <c r="D2268" s="3" t="str" cm="1">
        <f t="array" ref="D2268">_xlfn.IFS(
 ISNUMBER(SEARCH("WHISK",C2268)),"Whiskey",
 ISNUMBER(SEARCH("BOURBON",C2268)),"Whiskey",
 ISNUMBER(SEARCH("SCOTCH",C2268)),"Whiskey",
 ISNUMBER(SEARCH("RYE",C2268)),"Whiskey",
 ISNUMBER(SEARCH("VODKA",C2268)),"Vodka",
 ISNUMBER(SEARCH("TEQUILA",C2268)),"Tequila/Mezcal",
 ISNUMBER(SEARCH("MEZCAL",C2268)),"Tequila/Mezcal",
 ISNUMBER(SEARCH("RUM",C2268)),"Rum",
 ISNUMBER(SEARCH("BRAND",C2268)),"Brandy",
 ISNUMBER(SEARCH("COGNAC",C2268)),"Brandy",
 ISNUMBER(SEARCH("LIQUEUR",C2268)),"Liqueurs",
 ISNUMBER(SEARCH("CORDIAL",C2268)),"Liqueurs",
 ISNUMBER(SEARCH("SCHNAPP",C2268)),"Liqueurs",
 ISNUMBER(SEARCH("GIN",C2268)),"Gin",
 TRUE,"Other")</f>
        <v>Other</v>
      </c>
      <c r="E2268" s="5">
        <v>4345</v>
      </c>
      <c r="F2268" s="5">
        <v>63614.689999999981</v>
      </c>
      <c r="G2268" s="5"/>
      <c r="H2268" s="5">
        <v>424</v>
      </c>
    </row>
    <row r="2269" spans="1:8">
      <c r="A2269" s="5">
        <v>2025</v>
      </c>
      <c r="B2269" s="6">
        <v>45901</v>
      </c>
      <c r="C2269" s="5" t="s">
        <v>14</v>
      </c>
      <c r="D2269" s="3" t="str" cm="1">
        <f t="array" ref="D2269">_xlfn.IFS(
 ISNUMBER(SEARCH("WHISK",C2269)),"Whiskey",
 ISNUMBER(SEARCH("BOURBON",C2269)),"Whiskey",
 ISNUMBER(SEARCH("SCOTCH",C2269)),"Whiskey",
 ISNUMBER(SEARCH("RYE",C2269)),"Whiskey",
 ISNUMBER(SEARCH("VODKA",C2269)),"Vodka",
 ISNUMBER(SEARCH("TEQUILA",C2269)),"Tequila/Mezcal",
 ISNUMBER(SEARCH("MEZCAL",C2269)),"Tequila/Mezcal",
 ISNUMBER(SEARCH("RUM",C2269)),"Rum",
 ISNUMBER(SEARCH("BRAND",C2269)),"Brandy",
 ISNUMBER(SEARCH("COGNAC",C2269)),"Brandy",
 ISNUMBER(SEARCH("LIQUEUR",C2269)),"Liqueurs",
 ISNUMBER(SEARCH("CORDIAL",C2269)),"Liqueurs",
 ISNUMBER(SEARCH("SCHNAPP",C2269)),"Liqueurs",
 ISNUMBER(SEARCH("GIN",C2269)),"Gin",
 TRUE,"Other")</f>
        <v>Gin</v>
      </c>
      <c r="E2269" s="5">
        <v>132</v>
      </c>
      <c r="F2269" s="5">
        <v>1127.2799999999997</v>
      </c>
      <c r="G2269" s="5"/>
      <c r="H2269" s="5">
        <v>28</v>
      </c>
    </row>
    <row r="2270" spans="1:8">
      <c r="A2270" s="5">
        <v>2025</v>
      </c>
      <c r="B2270" s="6">
        <v>45901</v>
      </c>
      <c r="C2270" s="5" t="s">
        <v>39</v>
      </c>
      <c r="D2270" s="3" t="str" cm="1">
        <f t="array" ref="D2270">_xlfn.IFS(
 ISNUMBER(SEARCH("WHISK",C2270)),"Whiskey",
 ISNUMBER(SEARCH("BOURBON",C2270)),"Whiskey",
 ISNUMBER(SEARCH("SCOTCH",C2270)),"Whiskey",
 ISNUMBER(SEARCH("RYE",C2270)),"Whiskey",
 ISNUMBER(SEARCH("VODKA",C2270)),"Vodka",
 ISNUMBER(SEARCH("TEQUILA",C2270)),"Tequila/Mezcal",
 ISNUMBER(SEARCH("MEZCAL",C2270)),"Tequila/Mezcal",
 ISNUMBER(SEARCH("RUM",C2270)),"Rum",
 ISNUMBER(SEARCH("BRAND",C2270)),"Brandy",
 ISNUMBER(SEARCH("COGNAC",C2270)),"Brandy",
 ISNUMBER(SEARCH("LIQUEUR",C2270)),"Liqueurs",
 ISNUMBER(SEARCH("CORDIAL",C2270)),"Liqueurs",
 ISNUMBER(SEARCH("SCHNAPP",C2270)),"Liqueurs",
 ISNUMBER(SEARCH("GIN",C2270)),"Gin",
 TRUE,"Other")</f>
        <v>Whiskey</v>
      </c>
      <c r="E2270" s="5">
        <v>4027</v>
      </c>
      <c r="F2270" s="5">
        <v>166539.40000000008</v>
      </c>
      <c r="G2270" s="5"/>
      <c r="H2270" s="5">
        <v>1018</v>
      </c>
    </row>
    <row r="2271" spans="1:8">
      <c r="A2271" s="5">
        <v>2025</v>
      </c>
      <c r="B2271" s="6">
        <v>45901</v>
      </c>
      <c r="C2271" s="5" t="s">
        <v>47</v>
      </c>
      <c r="D2271" s="3" t="str" cm="1">
        <f t="array" ref="D2271">_xlfn.IFS(
 ISNUMBER(SEARCH("WHISK",C2271)),"Whiskey",
 ISNUMBER(SEARCH("BOURBON",C2271)),"Whiskey",
 ISNUMBER(SEARCH("SCOTCH",C2271)),"Whiskey",
 ISNUMBER(SEARCH("RYE",C2271)),"Whiskey",
 ISNUMBER(SEARCH("VODKA",C2271)),"Vodka",
 ISNUMBER(SEARCH("TEQUILA",C2271)),"Tequila/Mezcal",
 ISNUMBER(SEARCH("MEZCAL",C2271)),"Tequila/Mezcal",
 ISNUMBER(SEARCH("RUM",C2271)),"Rum",
 ISNUMBER(SEARCH("BRAND",C2271)),"Brandy",
 ISNUMBER(SEARCH("COGNAC",C2271)),"Brandy",
 ISNUMBER(SEARCH("LIQUEUR",C2271)),"Liqueurs",
 ISNUMBER(SEARCH("CORDIAL",C2271)),"Liqueurs",
 ISNUMBER(SEARCH("SCHNAPP",C2271)),"Liqueurs",
 ISNUMBER(SEARCH("GIN",C2271)),"Gin",
 TRUE,"Other")</f>
        <v>Other</v>
      </c>
      <c r="E2271" s="5">
        <v>14531</v>
      </c>
      <c r="F2271" s="5">
        <v>59853.20000000007</v>
      </c>
      <c r="G2271" s="5"/>
      <c r="H2271" s="5">
        <v>603</v>
      </c>
    </row>
    <row r="2272" spans="1:8">
      <c r="A2272" s="5">
        <v>2025</v>
      </c>
      <c r="B2272" s="6">
        <v>45901</v>
      </c>
      <c r="C2272" s="5" t="s">
        <v>10</v>
      </c>
      <c r="D2272" s="3" t="str" cm="1">
        <f t="array" ref="D2272">_xlfn.IFS(
 ISNUMBER(SEARCH("WHISK",C2272)),"Whiskey",
 ISNUMBER(SEARCH("BOURBON",C2272)),"Whiskey",
 ISNUMBER(SEARCH("SCOTCH",C2272)),"Whiskey",
 ISNUMBER(SEARCH("RYE",C2272)),"Whiskey",
 ISNUMBER(SEARCH("VODKA",C2272)),"Vodka",
 ISNUMBER(SEARCH("TEQUILA",C2272)),"Tequila/Mezcal",
 ISNUMBER(SEARCH("MEZCAL",C2272)),"Tequila/Mezcal",
 ISNUMBER(SEARCH("RUM",C2272)),"Rum",
 ISNUMBER(SEARCH("BRAND",C2272)),"Brandy",
 ISNUMBER(SEARCH("COGNAC",C2272)),"Brandy",
 ISNUMBER(SEARCH("LIQUEUR",C2272)),"Liqueurs",
 ISNUMBER(SEARCH("CORDIAL",C2272)),"Liqueurs",
 ISNUMBER(SEARCH("SCHNAPP",C2272)),"Liqueurs",
 ISNUMBER(SEARCH("GIN",C2272)),"Gin",
 TRUE,"Other")</f>
        <v>Other</v>
      </c>
      <c r="E2272" s="5">
        <v>4667</v>
      </c>
      <c r="F2272" s="5">
        <v>66221.240000000034</v>
      </c>
      <c r="G2272" s="5"/>
      <c r="H2272" s="5">
        <v>449</v>
      </c>
    </row>
    <row r="2273" spans="1:8">
      <c r="A2273" s="5">
        <v>2025</v>
      </c>
      <c r="B2273" s="6">
        <v>45901</v>
      </c>
      <c r="C2273" s="5" t="s">
        <v>41</v>
      </c>
      <c r="D2273" s="3" t="str" cm="1">
        <f t="array" ref="D2273">_xlfn.IFS(
 ISNUMBER(SEARCH("WHISK",C2273)),"Whiskey",
 ISNUMBER(SEARCH("BOURBON",C2273)),"Whiskey",
 ISNUMBER(SEARCH("SCOTCH",C2273)),"Whiskey",
 ISNUMBER(SEARCH("RYE",C2273)),"Whiskey",
 ISNUMBER(SEARCH("VODKA",C2273)),"Vodka",
 ISNUMBER(SEARCH("TEQUILA",C2273)),"Tequila/Mezcal",
 ISNUMBER(SEARCH("MEZCAL",C2273)),"Tequila/Mezcal",
 ISNUMBER(SEARCH("RUM",C2273)),"Rum",
 ISNUMBER(SEARCH("BRAND",C2273)),"Brandy",
 ISNUMBER(SEARCH("COGNAC",C2273)),"Brandy",
 ISNUMBER(SEARCH("LIQUEUR",C2273)),"Liqueurs",
 ISNUMBER(SEARCH("CORDIAL",C2273)),"Liqueurs",
 ISNUMBER(SEARCH("SCHNAPP",C2273)),"Liqueurs",
 ISNUMBER(SEARCH("GIN",C2273)),"Gin",
 TRUE,"Other")</f>
        <v>Other</v>
      </c>
      <c r="E2273" s="5">
        <v>3471</v>
      </c>
      <c r="F2273" s="5">
        <v>44108.08</v>
      </c>
      <c r="G2273" s="5"/>
      <c r="H2273" s="5">
        <v>119</v>
      </c>
    </row>
    <row r="2274" spans="1:8">
      <c r="A2274" s="5">
        <v>2025</v>
      </c>
      <c r="B2274" s="6">
        <v>45901</v>
      </c>
      <c r="C2274" s="5" t="s">
        <v>34</v>
      </c>
      <c r="D2274" s="3" t="str" cm="1">
        <f t="array" ref="D2274">_xlfn.IFS(
 ISNUMBER(SEARCH("WHISK",C2274)),"Whiskey",
 ISNUMBER(SEARCH("BOURBON",C2274)),"Whiskey",
 ISNUMBER(SEARCH("SCOTCH",C2274)),"Whiskey",
 ISNUMBER(SEARCH("RYE",C2274)),"Whiskey",
 ISNUMBER(SEARCH("VODKA",C2274)),"Vodka",
 ISNUMBER(SEARCH("TEQUILA",C2274)),"Tequila/Mezcal",
 ISNUMBER(SEARCH("MEZCAL",C2274)),"Tequila/Mezcal",
 ISNUMBER(SEARCH("RUM",C2274)),"Rum",
 ISNUMBER(SEARCH("BRAND",C2274)),"Brandy",
 ISNUMBER(SEARCH("COGNAC",C2274)),"Brandy",
 ISNUMBER(SEARCH("LIQUEUR",C2274)),"Liqueurs",
 ISNUMBER(SEARCH("CORDIAL",C2274)),"Liqueurs",
 ISNUMBER(SEARCH("SCHNAPP",C2274)),"Liqueurs",
 ISNUMBER(SEARCH("GIN",C2274)),"Gin",
 TRUE,"Other")</f>
        <v>Tequila/Mezcal</v>
      </c>
      <c r="E2274" s="5">
        <v>1429</v>
      </c>
      <c r="F2274" s="5">
        <v>40561.619999999981</v>
      </c>
      <c r="G2274" s="5"/>
      <c r="H2274" s="5">
        <v>234</v>
      </c>
    </row>
    <row r="2275" spans="1:8">
      <c r="A2275" s="5">
        <v>2025</v>
      </c>
      <c r="B2275" s="6">
        <v>45901</v>
      </c>
      <c r="C2275" s="5" t="s">
        <v>21</v>
      </c>
      <c r="D2275" s="3" t="str" cm="1">
        <f t="array" ref="D2275">_xlfn.IFS(
 ISNUMBER(SEARCH("WHISK",C2275)),"Whiskey",
 ISNUMBER(SEARCH("BOURBON",C2275)),"Whiskey",
 ISNUMBER(SEARCH("SCOTCH",C2275)),"Whiskey",
 ISNUMBER(SEARCH("RYE",C2275)),"Whiskey",
 ISNUMBER(SEARCH("VODKA",C2275)),"Vodka",
 ISNUMBER(SEARCH("TEQUILA",C2275)),"Tequila/Mezcal",
 ISNUMBER(SEARCH("MEZCAL",C2275)),"Tequila/Mezcal",
 ISNUMBER(SEARCH("RUM",C2275)),"Rum",
 ISNUMBER(SEARCH("BRAND",C2275)),"Brandy",
 ISNUMBER(SEARCH("COGNAC",C2275)),"Brandy",
 ISNUMBER(SEARCH("LIQUEUR",C2275)),"Liqueurs",
 ISNUMBER(SEARCH("CORDIAL",C2275)),"Liqueurs",
 ISNUMBER(SEARCH("SCHNAPP",C2275)),"Liqueurs",
 ISNUMBER(SEARCH("GIN",C2275)),"Gin",
 TRUE,"Other")</f>
        <v>Whiskey</v>
      </c>
      <c r="E2275" s="5">
        <v>383</v>
      </c>
      <c r="F2275" s="5">
        <v>9285.2999999999993</v>
      </c>
      <c r="G2275" s="5"/>
      <c r="H2275" s="5">
        <v>60</v>
      </c>
    </row>
    <row r="2276" spans="1:8">
      <c r="A2276" s="5">
        <v>2025</v>
      </c>
      <c r="B2276" s="6">
        <v>45931</v>
      </c>
      <c r="C2276" s="5" t="s">
        <v>50</v>
      </c>
      <c r="D2276" s="3" t="str" cm="1">
        <f t="array" ref="D2276">_xlfn.IFS(
 ISNUMBER(SEARCH("WHISK",C2276)),"Whiskey",
 ISNUMBER(SEARCH("BOURBON",C2276)),"Whiskey",
 ISNUMBER(SEARCH("SCOTCH",C2276)),"Whiskey",
 ISNUMBER(SEARCH("RYE",C2276)),"Whiskey",
 ISNUMBER(SEARCH("VODKA",C2276)),"Vodka",
 ISNUMBER(SEARCH("TEQUILA",C2276)),"Tequila/Mezcal",
 ISNUMBER(SEARCH("MEZCAL",C2276)),"Tequila/Mezcal",
 ISNUMBER(SEARCH("RUM",C2276)),"Rum",
 ISNUMBER(SEARCH("BRAND",C2276)),"Brandy",
 ISNUMBER(SEARCH("COGNAC",C2276)),"Brandy",
 ISNUMBER(SEARCH("LIQUEUR",C2276)),"Liqueurs",
 ISNUMBER(SEARCH("CORDIAL",C2276)),"Liqueurs",
 ISNUMBER(SEARCH("SCHNAPP",C2276)),"Liqueurs",
 ISNUMBER(SEARCH("GIN",C2276)),"Gin",
 TRUE,"Other")</f>
        <v>Tequila/Mezcal</v>
      </c>
      <c r="E2276" s="5">
        <v>96279</v>
      </c>
      <c r="F2276" s="5">
        <v>2692912.4199999422</v>
      </c>
      <c r="G2276" s="5"/>
      <c r="H2276" s="5">
        <v>11758</v>
      </c>
    </row>
    <row r="2277" spans="1:8">
      <c r="A2277" s="5">
        <v>2025</v>
      </c>
      <c r="B2277" s="6">
        <v>45931</v>
      </c>
      <c r="C2277" s="5" t="s">
        <v>8</v>
      </c>
      <c r="D2277" s="3" t="str" cm="1">
        <f t="array" ref="D2277">_xlfn.IFS(
 ISNUMBER(SEARCH("WHISK",C2277)),"Whiskey",
 ISNUMBER(SEARCH("BOURBON",C2277)),"Whiskey",
 ISNUMBER(SEARCH("SCOTCH",C2277)),"Whiskey",
 ISNUMBER(SEARCH("RYE",C2277)),"Whiskey",
 ISNUMBER(SEARCH("VODKA",C2277)),"Vodka",
 ISNUMBER(SEARCH("TEQUILA",C2277)),"Tequila/Mezcal",
 ISNUMBER(SEARCH("MEZCAL",C2277)),"Tequila/Mezcal",
 ISNUMBER(SEARCH("RUM",C2277)),"Rum",
 ISNUMBER(SEARCH("BRAND",C2277)),"Brandy",
 ISNUMBER(SEARCH("COGNAC",C2277)),"Brandy",
 ISNUMBER(SEARCH("LIQUEUR",C2277)),"Liqueurs",
 ISNUMBER(SEARCH("CORDIAL",C2277)),"Liqueurs",
 ISNUMBER(SEARCH("SCHNAPP",C2277)),"Liqueurs",
 ISNUMBER(SEARCH("GIN",C2277)),"Gin",
 TRUE,"Other")</f>
        <v>Brandy</v>
      </c>
      <c r="E2277" s="5">
        <v>51691</v>
      </c>
      <c r="F2277" s="5">
        <v>341489.29000000231</v>
      </c>
      <c r="G2277" s="5"/>
      <c r="H2277" s="5">
        <v>4169</v>
      </c>
    </row>
    <row r="2278" spans="1:8">
      <c r="A2278" s="5">
        <v>2025</v>
      </c>
      <c r="B2278" s="6">
        <v>45931</v>
      </c>
      <c r="C2278" s="5" t="s">
        <v>9</v>
      </c>
      <c r="D2278" s="3" t="str" cm="1">
        <f t="array" ref="D2278">_xlfn.IFS(
 ISNUMBER(SEARCH("WHISK",C2278)),"Whiskey",
 ISNUMBER(SEARCH("BOURBON",C2278)),"Whiskey",
 ISNUMBER(SEARCH("SCOTCH",C2278)),"Whiskey",
 ISNUMBER(SEARCH("RYE",C2278)),"Whiskey",
 ISNUMBER(SEARCH("VODKA",C2278)),"Vodka",
 ISNUMBER(SEARCH("TEQUILA",C2278)),"Tequila/Mezcal",
 ISNUMBER(SEARCH("MEZCAL",C2278)),"Tequila/Mezcal",
 ISNUMBER(SEARCH("RUM",C2278)),"Rum",
 ISNUMBER(SEARCH("BRAND",C2278)),"Brandy",
 ISNUMBER(SEARCH("COGNAC",C2278)),"Brandy",
 ISNUMBER(SEARCH("LIQUEUR",C2278)),"Liqueurs",
 ISNUMBER(SEARCH("CORDIAL",C2278)),"Liqueurs",
 ISNUMBER(SEARCH("SCHNAPP",C2278)),"Liqueurs",
 ISNUMBER(SEARCH("GIN",C2278)),"Gin",
 TRUE,"Other")</f>
        <v>Liqueurs</v>
      </c>
      <c r="E2278" s="5">
        <v>33490</v>
      </c>
      <c r="F2278" s="5">
        <v>418878.98000000336</v>
      </c>
      <c r="G2278" s="5"/>
      <c r="H2278" s="5">
        <v>5460</v>
      </c>
    </row>
    <row r="2279" spans="1:8">
      <c r="A2279" s="5">
        <v>2025</v>
      </c>
      <c r="B2279" s="6">
        <v>45931</v>
      </c>
      <c r="C2279" s="5" t="s">
        <v>11</v>
      </c>
      <c r="D2279" s="3" t="str" cm="1">
        <f t="array" ref="D2279">_xlfn.IFS(
 ISNUMBER(SEARCH("WHISK",C2279)),"Whiskey",
 ISNUMBER(SEARCH("BOURBON",C2279)),"Whiskey",
 ISNUMBER(SEARCH("SCOTCH",C2279)),"Whiskey",
 ISNUMBER(SEARCH("RYE",C2279)),"Whiskey",
 ISNUMBER(SEARCH("VODKA",C2279)),"Vodka",
 ISNUMBER(SEARCH("TEQUILA",C2279)),"Tequila/Mezcal",
 ISNUMBER(SEARCH("MEZCAL",C2279)),"Tequila/Mezcal",
 ISNUMBER(SEARCH("RUM",C2279)),"Rum",
 ISNUMBER(SEARCH("BRAND",C2279)),"Brandy",
 ISNUMBER(SEARCH("COGNAC",C2279)),"Brandy",
 ISNUMBER(SEARCH("LIQUEUR",C2279)),"Liqueurs",
 ISNUMBER(SEARCH("CORDIAL",C2279)),"Liqueurs",
 ISNUMBER(SEARCH("SCHNAPP",C2279)),"Liqueurs",
 ISNUMBER(SEARCH("GIN",C2279)),"Gin",
 TRUE,"Other")</f>
        <v>Gin</v>
      </c>
      <c r="E2279" s="5">
        <v>29589</v>
      </c>
      <c r="F2279" s="5">
        <v>270783.14000000095</v>
      </c>
      <c r="G2279" s="5"/>
      <c r="H2279" s="5">
        <v>2565</v>
      </c>
    </row>
    <row r="2280" spans="1:8">
      <c r="A2280" s="5">
        <v>2025</v>
      </c>
      <c r="B2280" s="6">
        <v>45931</v>
      </c>
      <c r="C2280" s="5" t="s">
        <v>12</v>
      </c>
      <c r="D2280" s="3" t="str" cm="1">
        <f t="array" ref="D2280">_xlfn.IFS(
 ISNUMBER(SEARCH("WHISK",C2280)),"Whiskey",
 ISNUMBER(SEARCH("BOURBON",C2280)),"Whiskey",
 ISNUMBER(SEARCH("SCOTCH",C2280)),"Whiskey",
 ISNUMBER(SEARCH("RYE",C2280)),"Whiskey",
 ISNUMBER(SEARCH("VODKA",C2280)),"Vodka",
 ISNUMBER(SEARCH("TEQUILA",C2280)),"Tequila/Mezcal",
 ISNUMBER(SEARCH("MEZCAL",C2280)),"Tequila/Mezcal",
 ISNUMBER(SEARCH("RUM",C2280)),"Rum",
 ISNUMBER(SEARCH("BRAND",C2280)),"Brandy",
 ISNUMBER(SEARCH("COGNAC",C2280)),"Brandy",
 ISNUMBER(SEARCH("LIQUEUR",C2280)),"Liqueurs",
 ISNUMBER(SEARCH("CORDIAL",C2280)),"Liqueurs",
 ISNUMBER(SEARCH("SCHNAPP",C2280)),"Liqueurs",
 ISNUMBER(SEARCH("GIN",C2280)),"Gin",
 TRUE,"Other")</f>
        <v>Vodka</v>
      </c>
      <c r="E2280" s="5">
        <v>85742</v>
      </c>
      <c r="F2280" s="5">
        <v>986563.24000004702</v>
      </c>
      <c r="G2280" s="5"/>
      <c r="H2280" s="5">
        <v>9391</v>
      </c>
    </row>
    <row r="2281" spans="1:8">
      <c r="A2281" s="5">
        <v>2025</v>
      </c>
      <c r="B2281" s="6">
        <v>45931</v>
      </c>
      <c r="C2281" s="5" t="s">
        <v>13</v>
      </c>
      <c r="D2281" s="3" t="str" cm="1">
        <f t="array" ref="D2281">_xlfn.IFS(
 ISNUMBER(SEARCH("WHISK",C2281)),"Whiskey",
 ISNUMBER(SEARCH("BOURBON",C2281)),"Whiskey",
 ISNUMBER(SEARCH("SCOTCH",C2281)),"Whiskey",
 ISNUMBER(SEARCH("RYE",C2281)),"Whiskey",
 ISNUMBER(SEARCH("VODKA",C2281)),"Vodka",
 ISNUMBER(SEARCH("TEQUILA",C2281)),"Tequila/Mezcal",
 ISNUMBER(SEARCH("MEZCAL",C2281)),"Tequila/Mezcal",
 ISNUMBER(SEARCH("RUM",C2281)),"Rum",
 ISNUMBER(SEARCH("BRAND",C2281)),"Brandy",
 ISNUMBER(SEARCH("COGNAC",C2281)),"Brandy",
 ISNUMBER(SEARCH("LIQUEUR",C2281)),"Liqueurs",
 ISNUMBER(SEARCH("CORDIAL",C2281)),"Liqueurs",
 ISNUMBER(SEARCH("SCHNAPP",C2281)),"Liqueurs",
 ISNUMBER(SEARCH("GIN",C2281)),"Gin",
 TRUE,"Other")</f>
        <v>Liqueurs</v>
      </c>
      <c r="E2281" s="5">
        <v>101891</v>
      </c>
      <c r="F2281" s="5">
        <v>742835.07000000449</v>
      </c>
      <c r="G2281" s="5"/>
      <c r="H2281" s="5">
        <v>8317</v>
      </c>
    </row>
    <row r="2282" spans="1:8">
      <c r="A2282" s="5">
        <v>2025</v>
      </c>
      <c r="B2282" s="6">
        <v>45931</v>
      </c>
      <c r="C2282" s="5" t="s">
        <v>15</v>
      </c>
      <c r="D2282" s="3" t="str" cm="1">
        <f t="array" ref="D2282">_xlfn.IFS(
 ISNUMBER(SEARCH("WHISK",C2282)),"Whiskey",
 ISNUMBER(SEARCH("BOURBON",C2282)),"Whiskey",
 ISNUMBER(SEARCH("SCOTCH",C2282)),"Whiskey",
 ISNUMBER(SEARCH("RYE",C2282)),"Whiskey",
 ISNUMBER(SEARCH("VODKA",C2282)),"Vodka",
 ISNUMBER(SEARCH("TEQUILA",C2282)),"Tequila/Mezcal",
 ISNUMBER(SEARCH("MEZCAL",C2282)),"Tequila/Mezcal",
 ISNUMBER(SEARCH("RUM",C2282)),"Rum",
 ISNUMBER(SEARCH("BRAND",C2282)),"Brandy",
 ISNUMBER(SEARCH("COGNAC",C2282)),"Brandy",
 ISNUMBER(SEARCH("LIQUEUR",C2282)),"Liqueurs",
 ISNUMBER(SEARCH("CORDIAL",C2282)),"Liqueurs",
 ISNUMBER(SEARCH("SCHNAPP",C2282)),"Liqueurs",
 ISNUMBER(SEARCH("GIN",C2282)),"Gin",
 TRUE,"Other")</f>
        <v>Vodka</v>
      </c>
      <c r="E2282" s="5">
        <v>571546</v>
      </c>
      <c r="F2282" s="5">
        <v>5863478.7900000568</v>
      </c>
      <c r="G2282" s="5"/>
      <c r="H2282" s="5">
        <v>32912</v>
      </c>
    </row>
    <row r="2283" spans="1:8">
      <c r="A2283" s="5">
        <v>2025</v>
      </c>
      <c r="B2283" s="6">
        <v>45931</v>
      </c>
      <c r="C2283" s="5" t="s">
        <v>16</v>
      </c>
      <c r="D2283" s="3" t="str" cm="1">
        <f t="array" ref="D2283">_xlfn.IFS(
 ISNUMBER(SEARCH("WHISK",C2283)),"Whiskey",
 ISNUMBER(SEARCH("BOURBON",C2283)),"Whiskey",
 ISNUMBER(SEARCH("SCOTCH",C2283)),"Whiskey",
 ISNUMBER(SEARCH("RYE",C2283)),"Whiskey",
 ISNUMBER(SEARCH("VODKA",C2283)),"Vodka",
 ISNUMBER(SEARCH("TEQUILA",C2283)),"Tequila/Mezcal",
 ISNUMBER(SEARCH("MEZCAL",C2283)),"Tequila/Mezcal",
 ISNUMBER(SEARCH("RUM",C2283)),"Rum",
 ISNUMBER(SEARCH("BRAND",C2283)),"Brandy",
 ISNUMBER(SEARCH("COGNAC",C2283)),"Brandy",
 ISNUMBER(SEARCH("LIQUEUR",C2283)),"Liqueurs",
 ISNUMBER(SEARCH("CORDIAL",C2283)),"Liqueurs",
 ISNUMBER(SEARCH("SCHNAPP",C2283)),"Liqueurs",
 ISNUMBER(SEARCH("GIN",C2283)),"Gin",
 TRUE,"Other")</f>
        <v>Whiskey</v>
      </c>
      <c r="E2283" s="5">
        <v>68826</v>
      </c>
      <c r="F2283" s="5">
        <v>953785.01999998523</v>
      </c>
      <c r="G2283" s="5"/>
      <c r="H2283" s="5">
        <v>7085</v>
      </c>
    </row>
    <row r="2284" spans="1:8">
      <c r="A2284" s="5">
        <v>2025</v>
      </c>
      <c r="B2284" s="6">
        <v>45931</v>
      </c>
      <c r="C2284" s="5" t="s">
        <v>18</v>
      </c>
      <c r="D2284" s="3" t="str" cm="1">
        <f t="array" ref="D2284">_xlfn.IFS(
 ISNUMBER(SEARCH("WHISK",C2284)),"Whiskey",
 ISNUMBER(SEARCH("BOURBON",C2284)),"Whiskey",
 ISNUMBER(SEARCH("SCOTCH",C2284)),"Whiskey",
 ISNUMBER(SEARCH("RYE",C2284)),"Whiskey",
 ISNUMBER(SEARCH("VODKA",C2284)),"Vodka",
 ISNUMBER(SEARCH("TEQUILA",C2284)),"Tequila/Mezcal",
 ISNUMBER(SEARCH("MEZCAL",C2284)),"Tequila/Mezcal",
 ISNUMBER(SEARCH("RUM",C2284)),"Rum",
 ISNUMBER(SEARCH("BRAND",C2284)),"Brandy",
 ISNUMBER(SEARCH("COGNAC",C2284)),"Brandy",
 ISNUMBER(SEARCH("LIQUEUR",C2284)),"Liqueurs",
 ISNUMBER(SEARCH("CORDIAL",C2284)),"Liqueurs",
 ISNUMBER(SEARCH("SCHNAPP",C2284)),"Liqueurs",
 ISNUMBER(SEARCH("GIN",C2284)),"Gin",
 TRUE,"Other")</f>
        <v>Whiskey</v>
      </c>
      <c r="E2284" s="5">
        <v>279591</v>
      </c>
      <c r="F2284" s="5">
        <v>5129786.7599998601</v>
      </c>
      <c r="G2284" s="5"/>
      <c r="H2284" s="5">
        <v>19453</v>
      </c>
    </row>
    <row r="2285" spans="1:8">
      <c r="A2285" s="5">
        <v>2025</v>
      </c>
      <c r="B2285" s="6">
        <v>45931</v>
      </c>
      <c r="C2285" s="5" t="s">
        <v>19</v>
      </c>
      <c r="D2285" s="3" t="str" cm="1">
        <f t="array" ref="D2285">_xlfn.IFS(
 ISNUMBER(SEARCH("WHISK",C2285)),"Whiskey",
 ISNUMBER(SEARCH("BOURBON",C2285)),"Whiskey",
 ISNUMBER(SEARCH("SCOTCH",C2285)),"Whiskey",
 ISNUMBER(SEARCH("RYE",C2285)),"Whiskey",
 ISNUMBER(SEARCH("VODKA",C2285)),"Vodka",
 ISNUMBER(SEARCH("TEQUILA",C2285)),"Tequila/Mezcal",
 ISNUMBER(SEARCH("MEZCAL",C2285)),"Tequila/Mezcal",
 ISNUMBER(SEARCH("RUM",C2285)),"Rum",
 ISNUMBER(SEARCH("BRAND",C2285)),"Brandy",
 ISNUMBER(SEARCH("COGNAC",C2285)),"Brandy",
 ISNUMBER(SEARCH("LIQUEUR",C2285)),"Liqueurs",
 ISNUMBER(SEARCH("CORDIAL",C2285)),"Liqueurs",
 ISNUMBER(SEARCH("SCHNAPP",C2285)),"Liqueurs",
 ISNUMBER(SEARCH("GIN",C2285)),"Gin",
 TRUE,"Other")</f>
        <v>Other</v>
      </c>
      <c r="E2285" s="5">
        <v>58843</v>
      </c>
      <c r="F2285" s="5">
        <v>734404.91999999655</v>
      </c>
      <c r="G2285" s="5"/>
      <c r="H2285" s="5">
        <v>6728</v>
      </c>
    </row>
    <row r="2286" spans="1:8">
      <c r="A2286" s="5">
        <v>2025</v>
      </c>
      <c r="B2286" s="6">
        <v>45931</v>
      </c>
      <c r="C2286" s="5" t="s">
        <v>24</v>
      </c>
      <c r="D2286" s="3" t="str" cm="1">
        <f t="array" ref="D2286">_xlfn.IFS(
 ISNUMBER(SEARCH("WHISK",C2286)),"Whiskey",
 ISNUMBER(SEARCH("BOURBON",C2286)),"Whiskey",
 ISNUMBER(SEARCH("SCOTCH",C2286)),"Whiskey",
 ISNUMBER(SEARCH("RYE",C2286)),"Whiskey",
 ISNUMBER(SEARCH("VODKA",C2286)),"Vodka",
 ISNUMBER(SEARCH("TEQUILA",C2286)),"Tequila/Mezcal",
 ISNUMBER(SEARCH("MEZCAL",C2286)),"Tequila/Mezcal",
 ISNUMBER(SEARCH("RUM",C2286)),"Rum",
 ISNUMBER(SEARCH("BRAND",C2286)),"Brandy",
 ISNUMBER(SEARCH("COGNAC",C2286)),"Brandy",
 ISNUMBER(SEARCH("LIQUEUR",C2286)),"Liqueurs",
 ISNUMBER(SEARCH("CORDIAL",C2286)),"Liqueurs",
 ISNUMBER(SEARCH("SCHNAPP",C2286)),"Liqueurs",
 ISNUMBER(SEARCH("GIN",C2286)),"Gin",
 TRUE,"Other")</f>
        <v>Rum</v>
      </c>
      <c r="E2286" s="5">
        <v>32124</v>
      </c>
      <c r="F2286" s="5">
        <v>487423.83000000025</v>
      </c>
      <c r="G2286" s="5"/>
      <c r="H2286" s="5">
        <v>3207</v>
      </c>
    </row>
    <row r="2287" spans="1:8">
      <c r="A2287" s="5">
        <v>2025</v>
      </c>
      <c r="B2287" s="6">
        <v>45931</v>
      </c>
      <c r="C2287" s="5" t="s">
        <v>25</v>
      </c>
      <c r="D2287" s="3" t="str" cm="1">
        <f t="array" ref="D2287">_xlfn.IFS(
 ISNUMBER(SEARCH("WHISK",C2287)),"Whiskey",
 ISNUMBER(SEARCH("BOURBON",C2287)),"Whiskey",
 ISNUMBER(SEARCH("SCOTCH",C2287)),"Whiskey",
 ISNUMBER(SEARCH("RYE",C2287)),"Whiskey",
 ISNUMBER(SEARCH("VODKA",C2287)),"Vodka",
 ISNUMBER(SEARCH("TEQUILA",C2287)),"Tequila/Mezcal",
 ISNUMBER(SEARCH("MEZCAL",C2287)),"Tequila/Mezcal",
 ISNUMBER(SEARCH("RUM",C2287)),"Rum",
 ISNUMBER(SEARCH("BRAND",C2287)),"Brandy",
 ISNUMBER(SEARCH("COGNAC",C2287)),"Brandy",
 ISNUMBER(SEARCH("LIQUEUR",C2287)),"Liqueurs",
 ISNUMBER(SEARCH("CORDIAL",C2287)),"Liqueurs",
 ISNUMBER(SEARCH("SCHNAPP",C2287)),"Liqueurs",
 ISNUMBER(SEARCH("GIN",C2287)),"Gin",
 TRUE,"Other")</f>
        <v>Rum</v>
      </c>
      <c r="E2287" s="5">
        <v>5262</v>
      </c>
      <c r="F2287" s="5">
        <v>75321.150000000096</v>
      </c>
      <c r="G2287" s="5"/>
      <c r="H2287" s="5">
        <v>738</v>
      </c>
    </row>
    <row r="2288" spans="1:8">
      <c r="A2288" s="5">
        <v>2025</v>
      </c>
      <c r="B2288" s="6">
        <v>45931</v>
      </c>
      <c r="C2288" s="5" t="s">
        <v>26</v>
      </c>
      <c r="D2288" s="3" t="str" cm="1">
        <f t="array" ref="D2288">_xlfn.IFS(
 ISNUMBER(SEARCH("WHISK",C2288)),"Whiskey",
 ISNUMBER(SEARCH("BOURBON",C2288)),"Whiskey",
 ISNUMBER(SEARCH("SCOTCH",C2288)),"Whiskey",
 ISNUMBER(SEARCH("RYE",C2288)),"Whiskey",
 ISNUMBER(SEARCH("VODKA",C2288)),"Vodka",
 ISNUMBER(SEARCH("TEQUILA",C2288)),"Tequila/Mezcal",
 ISNUMBER(SEARCH("MEZCAL",C2288)),"Tequila/Mezcal",
 ISNUMBER(SEARCH("RUM",C2288)),"Rum",
 ISNUMBER(SEARCH("BRAND",C2288)),"Brandy",
 ISNUMBER(SEARCH("COGNAC",C2288)),"Brandy",
 ISNUMBER(SEARCH("LIQUEUR",C2288)),"Liqueurs",
 ISNUMBER(SEARCH("CORDIAL",C2288)),"Liqueurs",
 ISNUMBER(SEARCH("SCHNAPP",C2288)),"Liqueurs",
 ISNUMBER(SEARCH("GIN",C2288)),"Gin",
 TRUE,"Other")</f>
        <v>Brandy</v>
      </c>
      <c r="E2288" s="5">
        <v>31033</v>
      </c>
      <c r="F2288" s="5">
        <v>689319.41999999958</v>
      </c>
      <c r="G2288" s="5"/>
      <c r="H2288" s="5">
        <v>2900</v>
      </c>
    </row>
    <row r="2289" spans="1:8">
      <c r="A2289" s="5">
        <v>2025</v>
      </c>
      <c r="B2289" s="6">
        <v>45931</v>
      </c>
      <c r="C2289" s="5" t="s">
        <v>27</v>
      </c>
      <c r="D2289" s="3" t="str" cm="1">
        <f t="array" ref="D2289">_xlfn.IFS(
 ISNUMBER(SEARCH("WHISK",C2289)),"Whiskey",
 ISNUMBER(SEARCH("BOURBON",C2289)),"Whiskey",
 ISNUMBER(SEARCH("SCOTCH",C2289)),"Whiskey",
 ISNUMBER(SEARCH("RYE",C2289)),"Whiskey",
 ISNUMBER(SEARCH("VODKA",C2289)),"Vodka",
 ISNUMBER(SEARCH("TEQUILA",C2289)),"Tequila/Mezcal",
 ISNUMBER(SEARCH("MEZCAL",C2289)),"Tequila/Mezcal",
 ISNUMBER(SEARCH("RUM",C2289)),"Rum",
 ISNUMBER(SEARCH("BRAND",C2289)),"Brandy",
 ISNUMBER(SEARCH("COGNAC",C2289)),"Brandy",
 ISNUMBER(SEARCH("LIQUEUR",C2289)),"Liqueurs",
 ISNUMBER(SEARCH("CORDIAL",C2289)),"Liqueurs",
 ISNUMBER(SEARCH("SCHNAPP",C2289)),"Liqueurs",
 ISNUMBER(SEARCH("GIN",C2289)),"Gin",
 TRUE,"Other")</f>
        <v>Liqueurs</v>
      </c>
      <c r="E2289" s="5">
        <v>40427</v>
      </c>
      <c r="F2289" s="5">
        <v>968459.23000000231</v>
      </c>
      <c r="G2289" s="5"/>
      <c r="H2289" s="5">
        <v>4605</v>
      </c>
    </row>
    <row r="2290" spans="1:8">
      <c r="A2290" s="5">
        <v>2025</v>
      </c>
      <c r="B2290" s="6">
        <v>45931</v>
      </c>
      <c r="C2290" s="5" t="s">
        <v>30</v>
      </c>
      <c r="D2290" s="3" t="str" cm="1">
        <f t="array" ref="D2290">_xlfn.IFS(
 ISNUMBER(SEARCH("WHISK",C2290)),"Whiskey",
 ISNUMBER(SEARCH("BOURBON",C2290)),"Whiskey",
 ISNUMBER(SEARCH("SCOTCH",C2290)),"Whiskey",
 ISNUMBER(SEARCH("RYE",C2290)),"Whiskey",
 ISNUMBER(SEARCH("VODKA",C2290)),"Vodka",
 ISNUMBER(SEARCH("TEQUILA",C2290)),"Tequila/Mezcal",
 ISNUMBER(SEARCH("MEZCAL",C2290)),"Tequila/Mezcal",
 ISNUMBER(SEARCH("RUM",C2290)),"Rum",
 ISNUMBER(SEARCH("BRAND",C2290)),"Brandy",
 ISNUMBER(SEARCH("COGNAC",C2290)),"Brandy",
 ISNUMBER(SEARCH("LIQUEUR",C2290)),"Liqueurs",
 ISNUMBER(SEARCH("CORDIAL",C2290)),"Liqueurs",
 ISNUMBER(SEARCH("SCHNAPP",C2290)),"Liqueurs",
 ISNUMBER(SEARCH("GIN",C2290)),"Gin",
 TRUE,"Other")</f>
        <v>Vodka</v>
      </c>
      <c r="E2290" s="5">
        <v>20357</v>
      </c>
      <c r="F2290" s="5">
        <v>322275.97000000073</v>
      </c>
      <c r="G2290" s="5"/>
      <c r="H2290" s="5">
        <v>1985</v>
      </c>
    </row>
    <row r="2291" spans="1:8">
      <c r="A2291" s="5">
        <v>2025</v>
      </c>
      <c r="B2291" s="6">
        <v>45931</v>
      </c>
      <c r="C2291" s="5" t="s">
        <v>33</v>
      </c>
      <c r="D2291" s="3" t="str" cm="1">
        <f t="array" ref="D2291">_xlfn.IFS(
 ISNUMBER(SEARCH("WHISK",C2291)),"Whiskey",
 ISNUMBER(SEARCH("BOURBON",C2291)),"Whiskey",
 ISNUMBER(SEARCH("SCOTCH",C2291)),"Whiskey",
 ISNUMBER(SEARCH("RYE",C2291)),"Whiskey",
 ISNUMBER(SEARCH("VODKA",C2291)),"Vodka",
 ISNUMBER(SEARCH("TEQUILA",C2291)),"Tequila/Mezcal",
 ISNUMBER(SEARCH("MEZCAL",C2291)),"Tequila/Mezcal",
 ISNUMBER(SEARCH("RUM",C2291)),"Rum",
 ISNUMBER(SEARCH("BRAND",C2291)),"Brandy",
 ISNUMBER(SEARCH("COGNAC",C2291)),"Brandy",
 ISNUMBER(SEARCH("LIQUEUR",C2291)),"Liqueurs",
 ISNUMBER(SEARCH("CORDIAL",C2291)),"Liqueurs",
 ISNUMBER(SEARCH("SCHNAPP",C2291)),"Liqueurs",
 ISNUMBER(SEARCH("GIN",C2291)),"Gin",
 TRUE,"Other")</f>
        <v>Whiskey</v>
      </c>
      <c r="E2291" s="5">
        <v>31264</v>
      </c>
      <c r="F2291" s="5">
        <v>865701.24999998626</v>
      </c>
      <c r="G2291" s="5"/>
      <c r="H2291" s="5">
        <v>2493</v>
      </c>
    </row>
    <row r="2292" spans="1:8">
      <c r="A2292" s="5">
        <v>2025</v>
      </c>
      <c r="B2292" s="6">
        <v>45931</v>
      </c>
      <c r="C2292" s="5" t="s">
        <v>37</v>
      </c>
      <c r="D2292" s="3" t="str" cm="1">
        <f t="array" ref="D2292">_xlfn.IFS(
 ISNUMBER(SEARCH("WHISK",C2292)),"Whiskey",
 ISNUMBER(SEARCH("BOURBON",C2292)),"Whiskey",
 ISNUMBER(SEARCH("SCOTCH",C2292)),"Whiskey",
 ISNUMBER(SEARCH("RYE",C2292)),"Whiskey",
 ISNUMBER(SEARCH("VODKA",C2292)),"Vodka",
 ISNUMBER(SEARCH("TEQUILA",C2292)),"Tequila/Mezcal",
 ISNUMBER(SEARCH("MEZCAL",C2292)),"Tequila/Mezcal",
 ISNUMBER(SEARCH("RUM",C2292)),"Rum",
 ISNUMBER(SEARCH("BRAND",C2292)),"Brandy",
 ISNUMBER(SEARCH("COGNAC",C2292)),"Brandy",
 ISNUMBER(SEARCH("LIQUEUR",C2292)),"Liqueurs",
 ISNUMBER(SEARCH("CORDIAL",C2292)),"Liqueurs",
 ISNUMBER(SEARCH("SCHNAPP",C2292)),"Liqueurs",
 ISNUMBER(SEARCH("GIN",C2292)),"Gin",
 TRUE,"Other")</f>
        <v>Other</v>
      </c>
      <c r="E2292" s="5">
        <v>14927</v>
      </c>
      <c r="F2292" s="5">
        <v>254816.99000000351</v>
      </c>
      <c r="G2292" s="5"/>
      <c r="H2292" s="5">
        <v>2638</v>
      </c>
    </row>
    <row r="2293" spans="1:8">
      <c r="A2293" s="5">
        <v>2025</v>
      </c>
      <c r="B2293" s="6">
        <v>45931</v>
      </c>
      <c r="C2293" s="5" t="s">
        <v>38</v>
      </c>
      <c r="D2293" s="3" t="str" cm="1">
        <f t="array" ref="D2293">_xlfn.IFS(
 ISNUMBER(SEARCH("WHISK",C2293)),"Whiskey",
 ISNUMBER(SEARCH("BOURBON",C2293)),"Whiskey",
 ISNUMBER(SEARCH("SCOTCH",C2293)),"Whiskey",
 ISNUMBER(SEARCH("RYE",C2293)),"Whiskey",
 ISNUMBER(SEARCH("VODKA",C2293)),"Vodka",
 ISNUMBER(SEARCH("TEQUILA",C2293)),"Tequila/Mezcal",
 ISNUMBER(SEARCH("MEZCAL",C2293)),"Tequila/Mezcal",
 ISNUMBER(SEARCH("RUM",C2293)),"Rum",
 ISNUMBER(SEARCH("BRAND",C2293)),"Brandy",
 ISNUMBER(SEARCH("COGNAC",C2293)),"Brandy",
 ISNUMBER(SEARCH("LIQUEUR",C2293)),"Liqueurs",
 ISNUMBER(SEARCH("CORDIAL",C2293)),"Liqueurs",
 ISNUMBER(SEARCH("SCHNAPP",C2293)),"Liqueurs",
 ISNUMBER(SEARCH("GIN",C2293)),"Gin",
 TRUE,"Other")</f>
        <v>Whiskey</v>
      </c>
      <c r="E2293" s="5">
        <v>14336</v>
      </c>
      <c r="F2293" s="5">
        <v>414506.50000000023</v>
      </c>
      <c r="G2293" s="5"/>
      <c r="H2293" s="5">
        <v>2395</v>
      </c>
    </row>
    <row r="2294" spans="1:8">
      <c r="A2294" s="5">
        <v>2025</v>
      </c>
      <c r="B2294" s="6">
        <v>45931</v>
      </c>
      <c r="C2294" s="5" t="s">
        <v>40</v>
      </c>
      <c r="D2294" s="3" t="str" cm="1">
        <f t="array" ref="D2294">_xlfn.IFS(
 ISNUMBER(SEARCH("WHISK",C2294)),"Whiskey",
 ISNUMBER(SEARCH("BOURBON",C2294)),"Whiskey",
 ISNUMBER(SEARCH("SCOTCH",C2294)),"Whiskey",
 ISNUMBER(SEARCH("RYE",C2294)),"Whiskey",
 ISNUMBER(SEARCH("VODKA",C2294)),"Vodka",
 ISNUMBER(SEARCH("TEQUILA",C2294)),"Tequila/Mezcal",
 ISNUMBER(SEARCH("MEZCAL",C2294)),"Tequila/Mezcal",
 ISNUMBER(SEARCH("RUM",C2294)),"Rum",
 ISNUMBER(SEARCH("BRAND",C2294)),"Brandy",
 ISNUMBER(SEARCH("COGNAC",C2294)),"Brandy",
 ISNUMBER(SEARCH("LIQUEUR",C2294)),"Liqueurs",
 ISNUMBER(SEARCH("CORDIAL",C2294)),"Liqueurs",
 ISNUMBER(SEARCH("SCHNAPP",C2294)),"Liqueurs",
 ISNUMBER(SEARCH("GIN",C2294)),"Gin",
 TRUE,"Other")</f>
        <v>Whiskey</v>
      </c>
      <c r="E2294" s="5">
        <v>4651</v>
      </c>
      <c r="F2294" s="5">
        <v>270150.03999999975</v>
      </c>
      <c r="G2294" s="5"/>
      <c r="H2294" s="5">
        <v>1169</v>
      </c>
    </row>
    <row r="2295" spans="1:8">
      <c r="A2295" s="5">
        <v>2025</v>
      </c>
      <c r="B2295" s="6">
        <v>45931</v>
      </c>
      <c r="C2295" s="5" t="s">
        <v>43</v>
      </c>
      <c r="D2295" s="3" t="str" cm="1">
        <f t="array" ref="D2295">_xlfn.IFS(
 ISNUMBER(SEARCH("WHISK",C2295)),"Whiskey",
 ISNUMBER(SEARCH("BOURBON",C2295)),"Whiskey",
 ISNUMBER(SEARCH("SCOTCH",C2295)),"Whiskey",
 ISNUMBER(SEARCH("RYE",C2295)),"Whiskey",
 ISNUMBER(SEARCH("VODKA",C2295)),"Vodka",
 ISNUMBER(SEARCH("TEQUILA",C2295)),"Tequila/Mezcal",
 ISNUMBER(SEARCH("MEZCAL",C2295)),"Tequila/Mezcal",
 ISNUMBER(SEARCH("RUM",C2295)),"Rum",
 ISNUMBER(SEARCH("BRAND",C2295)),"Brandy",
 ISNUMBER(SEARCH("COGNAC",C2295)),"Brandy",
 ISNUMBER(SEARCH("LIQUEUR",C2295)),"Liqueurs",
 ISNUMBER(SEARCH("CORDIAL",C2295)),"Liqueurs",
 ISNUMBER(SEARCH("SCHNAPP",C2295)),"Liqueurs",
 ISNUMBER(SEARCH("GIN",C2295)),"Gin",
 TRUE,"Other")</f>
        <v>Whiskey</v>
      </c>
      <c r="E2295" s="5">
        <v>162672</v>
      </c>
      <c r="F2295" s="5">
        <v>3874442.2200000011</v>
      </c>
      <c r="G2295" s="5"/>
      <c r="H2295" s="5">
        <v>17112</v>
      </c>
    </row>
    <row r="2296" spans="1:8">
      <c r="A2296" s="5">
        <v>2025</v>
      </c>
      <c r="B2296" s="6">
        <v>45931</v>
      </c>
      <c r="C2296" s="5" t="s">
        <v>45</v>
      </c>
      <c r="D2296" s="3" t="str" cm="1">
        <f t="array" ref="D2296">_xlfn.IFS(
 ISNUMBER(SEARCH("WHISK",C2296)),"Whiskey",
 ISNUMBER(SEARCH("BOURBON",C2296)),"Whiskey",
 ISNUMBER(SEARCH("SCOTCH",C2296)),"Whiskey",
 ISNUMBER(SEARCH("RYE",C2296)),"Whiskey",
 ISNUMBER(SEARCH("VODKA",C2296)),"Vodka",
 ISNUMBER(SEARCH("TEQUILA",C2296)),"Tequila/Mezcal",
 ISNUMBER(SEARCH("MEZCAL",C2296)),"Tequila/Mezcal",
 ISNUMBER(SEARCH("RUM",C2296)),"Rum",
 ISNUMBER(SEARCH("BRAND",C2296)),"Brandy",
 ISNUMBER(SEARCH("COGNAC",C2296)),"Brandy",
 ISNUMBER(SEARCH("LIQUEUR",C2296)),"Liqueurs",
 ISNUMBER(SEARCH("CORDIAL",C2296)),"Liqueurs",
 ISNUMBER(SEARCH("SCHNAPP",C2296)),"Liqueurs",
 ISNUMBER(SEARCH("GIN",C2296)),"Gin",
 TRUE,"Other")</f>
        <v>Other</v>
      </c>
      <c r="E2296" s="5">
        <v>78202</v>
      </c>
      <c r="F2296" s="5">
        <v>2093036.7099999129</v>
      </c>
      <c r="G2296" s="5"/>
      <c r="H2296" s="5">
        <v>9728</v>
      </c>
    </row>
    <row r="2297" spans="1:8">
      <c r="A2297" s="5">
        <v>2025</v>
      </c>
      <c r="B2297" s="6">
        <v>45931</v>
      </c>
      <c r="C2297" s="5" t="s">
        <v>46</v>
      </c>
      <c r="D2297" s="3" t="str" cm="1">
        <f t="array" ref="D2297">_xlfn.IFS(
 ISNUMBER(SEARCH("WHISK",C2297)),"Whiskey",
 ISNUMBER(SEARCH("BOURBON",C2297)),"Whiskey",
 ISNUMBER(SEARCH("SCOTCH",C2297)),"Whiskey",
 ISNUMBER(SEARCH("RYE",C2297)),"Whiskey",
 ISNUMBER(SEARCH("VODKA",C2297)),"Vodka",
 ISNUMBER(SEARCH("TEQUILA",C2297)),"Tequila/Mezcal",
 ISNUMBER(SEARCH("MEZCAL",C2297)),"Tequila/Mezcal",
 ISNUMBER(SEARCH("RUM",C2297)),"Rum",
 ISNUMBER(SEARCH("BRAND",C2297)),"Brandy",
 ISNUMBER(SEARCH("COGNAC",C2297)),"Brandy",
 ISNUMBER(SEARCH("LIQUEUR",C2297)),"Liqueurs",
 ISNUMBER(SEARCH("CORDIAL",C2297)),"Liqueurs",
 ISNUMBER(SEARCH("SCHNAPP",C2297)),"Liqueurs",
 ISNUMBER(SEARCH("GIN",C2297)),"Gin",
 TRUE,"Other")</f>
        <v>Whiskey</v>
      </c>
      <c r="E2297" s="5">
        <v>67658</v>
      </c>
      <c r="F2297" s="5">
        <v>1517643.5799999903</v>
      </c>
      <c r="G2297" s="5"/>
      <c r="H2297" s="5">
        <v>6613</v>
      </c>
    </row>
    <row r="2298" spans="1:8">
      <c r="A2298" s="5">
        <v>2025</v>
      </c>
      <c r="B2298" s="6">
        <v>45931</v>
      </c>
      <c r="C2298" s="5" t="s">
        <v>47</v>
      </c>
      <c r="D2298" s="3" t="str" cm="1">
        <f t="array" ref="D2298">_xlfn.IFS(
 ISNUMBER(SEARCH("WHISK",C2298)),"Whiskey",
 ISNUMBER(SEARCH("BOURBON",C2298)),"Whiskey",
 ISNUMBER(SEARCH("SCOTCH",C2298)),"Whiskey",
 ISNUMBER(SEARCH("RYE",C2298)),"Whiskey",
 ISNUMBER(SEARCH("VODKA",C2298)),"Vodka",
 ISNUMBER(SEARCH("TEQUILA",C2298)),"Tequila/Mezcal",
 ISNUMBER(SEARCH("MEZCAL",C2298)),"Tequila/Mezcal",
 ISNUMBER(SEARCH("RUM",C2298)),"Rum",
 ISNUMBER(SEARCH("BRAND",C2298)),"Brandy",
 ISNUMBER(SEARCH("COGNAC",C2298)),"Brandy",
 ISNUMBER(SEARCH("LIQUEUR",C2298)),"Liqueurs",
 ISNUMBER(SEARCH("CORDIAL",C2298)),"Liqueurs",
 ISNUMBER(SEARCH("SCHNAPP",C2298)),"Liqueurs",
 ISNUMBER(SEARCH("GIN",C2298)),"Gin",
 TRUE,"Other")</f>
        <v>Other</v>
      </c>
      <c r="E2298" s="5">
        <v>15517</v>
      </c>
      <c r="F2298" s="5">
        <v>64995.210000000014</v>
      </c>
      <c r="G2298" s="5"/>
      <c r="H2298" s="5">
        <v>612</v>
      </c>
    </row>
    <row r="2299" spans="1:8">
      <c r="A2299" s="5">
        <v>2025</v>
      </c>
      <c r="B2299" s="6">
        <v>45931</v>
      </c>
      <c r="C2299" s="5" t="s">
        <v>48</v>
      </c>
      <c r="D2299" s="3" t="str" cm="1">
        <f t="array" ref="D2299">_xlfn.IFS(
 ISNUMBER(SEARCH("WHISK",C2299)),"Whiskey",
 ISNUMBER(SEARCH("BOURBON",C2299)),"Whiskey",
 ISNUMBER(SEARCH("SCOTCH",C2299)),"Whiskey",
 ISNUMBER(SEARCH("RYE",C2299)),"Whiskey",
 ISNUMBER(SEARCH("VODKA",C2299)),"Vodka",
 ISNUMBER(SEARCH("TEQUILA",C2299)),"Tequila/Mezcal",
 ISNUMBER(SEARCH("MEZCAL",C2299)),"Tequila/Mezcal",
 ISNUMBER(SEARCH("RUM",C2299)),"Rum",
 ISNUMBER(SEARCH("BRAND",C2299)),"Brandy",
 ISNUMBER(SEARCH("COGNAC",C2299)),"Brandy",
 ISNUMBER(SEARCH("LIQUEUR",C2299)),"Liqueurs",
 ISNUMBER(SEARCH("CORDIAL",C2299)),"Liqueurs",
 ISNUMBER(SEARCH("SCHNAPP",C2299)),"Liqueurs",
 ISNUMBER(SEARCH("GIN",C2299)),"Gin",
 TRUE,"Other")</f>
        <v>Whiskey</v>
      </c>
      <c r="E2299" s="5">
        <v>421291</v>
      </c>
      <c r="F2299" s="5">
        <v>2461443.8200000213</v>
      </c>
      <c r="G2299" s="5"/>
      <c r="H2299" s="5">
        <v>15757</v>
      </c>
    </row>
    <row r="2300" spans="1:8">
      <c r="A2300" s="5">
        <v>2025</v>
      </c>
      <c r="B2300" s="6">
        <v>45931</v>
      </c>
      <c r="C2300" s="5" t="s">
        <v>49</v>
      </c>
      <c r="D2300" s="3" t="str" cm="1">
        <f t="array" ref="D2300">_xlfn.IFS(
 ISNUMBER(SEARCH("WHISK",C2300)),"Whiskey",
 ISNUMBER(SEARCH("BOURBON",C2300)),"Whiskey",
 ISNUMBER(SEARCH("SCOTCH",C2300)),"Whiskey",
 ISNUMBER(SEARCH("RYE",C2300)),"Whiskey",
 ISNUMBER(SEARCH("VODKA",C2300)),"Vodka",
 ISNUMBER(SEARCH("TEQUILA",C2300)),"Tequila/Mezcal",
 ISNUMBER(SEARCH("MEZCAL",C2300)),"Tequila/Mezcal",
 ISNUMBER(SEARCH("RUM",C2300)),"Rum",
 ISNUMBER(SEARCH("BRAND",C2300)),"Brandy",
 ISNUMBER(SEARCH("COGNAC",C2300)),"Brandy",
 ISNUMBER(SEARCH("LIQUEUR",C2300)),"Liqueurs",
 ISNUMBER(SEARCH("CORDIAL",C2300)),"Liqueurs",
 ISNUMBER(SEARCH("SCHNAPP",C2300)),"Liqueurs",
 ISNUMBER(SEARCH("GIN",C2300)),"Gin",
 TRUE,"Other")</f>
        <v>Rum</v>
      </c>
      <c r="E2300" s="5">
        <v>36273</v>
      </c>
      <c r="F2300" s="5">
        <v>441726.2500000007</v>
      </c>
      <c r="G2300" s="5"/>
      <c r="H2300" s="5">
        <v>2988</v>
      </c>
    </row>
    <row r="2301" spans="1:8">
      <c r="A2301" s="5">
        <v>2025</v>
      </c>
      <c r="B2301" s="6">
        <v>45931</v>
      </c>
      <c r="C2301" s="5" t="s">
        <v>7</v>
      </c>
      <c r="D2301" s="3" t="str" cm="1">
        <f t="array" ref="D2301">_xlfn.IFS(
 ISNUMBER(SEARCH("WHISK",C2301)),"Whiskey",
 ISNUMBER(SEARCH("BOURBON",C2301)),"Whiskey",
 ISNUMBER(SEARCH("SCOTCH",C2301)),"Whiskey",
 ISNUMBER(SEARCH("RYE",C2301)),"Whiskey",
 ISNUMBER(SEARCH("VODKA",C2301)),"Vodka",
 ISNUMBER(SEARCH("TEQUILA",C2301)),"Tequila/Mezcal",
 ISNUMBER(SEARCH("MEZCAL",C2301)),"Tequila/Mezcal",
 ISNUMBER(SEARCH("RUM",C2301)),"Rum",
 ISNUMBER(SEARCH("BRAND",C2301)),"Brandy",
 ISNUMBER(SEARCH("COGNAC",C2301)),"Brandy",
 ISNUMBER(SEARCH("LIQUEUR",C2301)),"Liqueurs",
 ISNUMBER(SEARCH("CORDIAL",C2301)),"Liqueurs",
 ISNUMBER(SEARCH("SCHNAPP",C2301)),"Liqueurs",
 ISNUMBER(SEARCH("GIN",C2301)),"Gin",
 TRUE,"Other")</f>
        <v>Rum</v>
      </c>
      <c r="E2301" s="5">
        <v>2959</v>
      </c>
      <c r="F2301" s="5">
        <v>60846.580000000016</v>
      </c>
      <c r="G2301" s="5"/>
      <c r="H2301" s="5">
        <v>537</v>
      </c>
    </row>
    <row r="2302" spans="1:8">
      <c r="A2302" s="5">
        <v>2025</v>
      </c>
      <c r="B2302" s="6">
        <v>45931</v>
      </c>
      <c r="C2302" s="5" t="s">
        <v>20</v>
      </c>
      <c r="D2302" s="3" t="str" cm="1">
        <f t="array" ref="D2302">_xlfn.IFS(
 ISNUMBER(SEARCH("WHISK",C2302)),"Whiskey",
 ISNUMBER(SEARCH("BOURBON",C2302)),"Whiskey",
 ISNUMBER(SEARCH("SCOTCH",C2302)),"Whiskey",
 ISNUMBER(SEARCH("RYE",C2302)),"Whiskey",
 ISNUMBER(SEARCH("VODKA",C2302)),"Vodka",
 ISNUMBER(SEARCH("TEQUILA",C2302)),"Tequila/Mezcal",
 ISNUMBER(SEARCH("MEZCAL",C2302)),"Tequila/Mezcal",
 ISNUMBER(SEARCH("RUM",C2302)),"Rum",
 ISNUMBER(SEARCH("BRAND",C2302)),"Brandy",
 ISNUMBER(SEARCH("COGNAC",C2302)),"Brandy",
 ISNUMBER(SEARCH("LIQUEUR",C2302)),"Liqueurs",
 ISNUMBER(SEARCH("CORDIAL",C2302)),"Liqueurs",
 ISNUMBER(SEARCH("SCHNAPP",C2302)),"Liqueurs",
 ISNUMBER(SEARCH("GIN",C2302)),"Gin",
 TRUE,"Other")</f>
        <v>Liqueurs</v>
      </c>
      <c r="E2302" s="5">
        <v>13888</v>
      </c>
      <c r="F2302" s="5">
        <v>299855.19000000064</v>
      </c>
      <c r="G2302" s="5"/>
      <c r="H2302" s="5">
        <v>1086</v>
      </c>
    </row>
    <row r="2303" spans="1:8">
      <c r="A2303" s="5">
        <v>2025</v>
      </c>
      <c r="B2303" s="6">
        <v>45931</v>
      </c>
      <c r="C2303" s="5" t="s">
        <v>22</v>
      </c>
      <c r="D2303" s="3" t="str" cm="1">
        <f t="array" ref="D2303">_xlfn.IFS(
 ISNUMBER(SEARCH("WHISK",C2303)),"Whiskey",
 ISNUMBER(SEARCH("BOURBON",C2303)),"Whiskey",
 ISNUMBER(SEARCH("SCOTCH",C2303)),"Whiskey",
 ISNUMBER(SEARCH("RYE",C2303)),"Whiskey",
 ISNUMBER(SEARCH("VODKA",C2303)),"Vodka",
 ISNUMBER(SEARCH("TEQUILA",C2303)),"Tequila/Mezcal",
 ISNUMBER(SEARCH("MEZCAL",C2303)),"Tequila/Mezcal",
 ISNUMBER(SEARCH("RUM",C2303)),"Rum",
 ISNUMBER(SEARCH("BRAND",C2303)),"Brandy",
 ISNUMBER(SEARCH("COGNAC",C2303)),"Brandy",
 ISNUMBER(SEARCH("LIQUEUR",C2303)),"Liqueurs",
 ISNUMBER(SEARCH("CORDIAL",C2303)),"Liqueurs",
 ISNUMBER(SEARCH("SCHNAPP",C2303)),"Liqueurs",
 ISNUMBER(SEARCH("GIN",C2303)),"Gin",
 TRUE,"Other")</f>
        <v>Liqueurs</v>
      </c>
      <c r="E2303" s="5">
        <v>48418</v>
      </c>
      <c r="F2303" s="5">
        <v>969743.42999999167</v>
      </c>
      <c r="G2303" s="5"/>
      <c r="H2303" s="5">
        <v>3411</v>
      </c>
    </row>
    <row r="2304" spans="1:8">
      <c r="A2304" s="5">
        <v>2025</v>
      </c>
      <c r="B2304" s="6">
        <v>45931</v>
      </c>
      <c r="C2304" s="5" t="s">
        <v>31</v>
      </c>
      <c r="D2304" s="3" t="str" cm="1">
        <f t="array" ref="D2304">_xlfn.IFS(
 ISNUMBER(SEARCH("WHISK",C2304)),"Whiskey",
 ISNUMBER(SEARCH("BOURBON",C2304)),"Whiskey",
 ISNUMBER(SEARCH("SCOTCH",C2304)),"Whiskey",
 ISNUMBER(SEARCH("RYE",C2304)),"Whiskey",
 ISNUMBER(SEARCH("VODKA",C2304)),"Vodka",
 ISNUMBER(SEARCH("TEQUILA",C2304)),"Tequila/Mezcal",
 ISNUMBER(SEARCH("MEZCAL",C2304)),"Tequila/Mezcal",
 ISNUMBER(SEARCH("RUM",C2304)),"Rum",
 ISNUMBER(SEARCH("BRAND",C2304)),"Brandy",
 ISNUMBER(SEARCH("COGNAC",C2304)),"Brandy",
 ISNUMBER(SEARCH("LIQUEUR",C2304)),"Liqueurs",
 ISNUMBER(SEARCH("CORDIAL",C2304)),"Liqueurs",
 ISNUMBER(SEARCH("SCHNAPP",C2304)),"Liqueurs",
 ISNUMBER(SEARCH("GIN",C2304)),"Gin",
 TRUE,"Other")</f>
        <v>Liqueurs</v>
      </c>
      <c r="E2304" s="5">
        <v>29359</v>
      </c>
      <c r="F2304" s="5">
        <v>539051.5100000021</v>
      </c>
      <c r="G2304" s="5"/>
      <c r="H2304" s="5">
        <v>2586</v>
      </c>
    </row>
    <row r="2305" spans="1:8">
      <c r="A2305" s="5">
        <v>2025</v>
      </c>
      <c r="B2305" s="6">
        <v>45931</v>
      </c>
      <c r="C2305" s="5" t="s">
        <v>32</v>
      </c>
      <c r="D2305" s="3" t="str" cm="1">
        <f t="array" ref="D2305">_xlfn.IFS(
 ISNUMBER(SEARCH("WHISK",C2305)),"Whiskey",
 ISNUMBER(SEARCH("BOURBON",C2305)),"Whiskey",
 ISNUMBER(SEARCH("SCOTCH",C2305)),"Whiskey",
 ISNUMBER(SEARCH("RYE",C2305)),"Whiskey",
 ISNUMBER(SEARCH("VODKA",C2305)),"Vodka",
 ISNUMBER(SEARCH("TEQUILA",C2305)),"Tequila/Mezcal",
 ISNUMBER(SEARCH("MEZCAL",C2305)),"Tequila/Mezcal",
 ISNUMBER(SEARCH("RUM",C2305)),"Rum",
 ISNUMBER(SEARCH("BRAND",C2305)),"Brandy",
 ISNUMBER(SEARCH("COGNAC",C2305)),"Brandy",
 ISNUMBER(SEARCH("LIQUEUR",C2305)),"Liqueurs",
 ISNUMBER(SEARCH("CORDIAL",C2305)),"Liqueurs",
 ISNUMBER(SEARCH("SCHNAPP",C2305)),"Liqueurs",
 ISNUMBER(SEARCH("GIN",C2305)),"Gin",
 TRUE,"Other")</f>
        <v>Vodka</v>
      </c>
      <c r="E2305" s="5">
        <v>81635</v>
      </c>
      <c r="F2305" s="5">
        <v>1247874.079999943</v>
      </c>
      <c r="G2305" s="5"/>
      <c r="H2305" s="5">
        <v>4585</v>
      </c>
    </row>
    <row r="2306" spans="1:8">
      <c r="A2306" s="5">
        <v>2025</v>
      </c>
      <c r="B2306" s="6">
        <v>45931</v>
      </c>
      <c r="C2306" s="5" t="s">
        <v>35</v>
      </c>
      <c r="D2306" s="3" t="str" cm="1">
        <f t="array" ref="D2306">_xlfn.IFS(
 ISNUMBER(SEARCH("WHISK",C2306)),"Whiskey",
 ISNUMBER(SEARCH("BOURBON",C2306)),"Whiskey",
 ISNUMBER(SEARCH("SCOTCH",C2306)),"Whiskey",
 ISNUMBER(SEARCH("RYE",C2306)),"Whiskey",
 ISNUMBER(SEARCH("VODKA",C2306)),"Vodka",
 ISNUMBER(SEARCH("TEQUILA",C2306)),"Tequila/Mezcal",
 ISNUMBER(SEARCH("MEZCAL",C2306)),"Tequila/Mezcal",
 ISNUMBER(SEARCH("RUM",C2306)),"Rum",
 ISNUMBER(SEARCH("BRAND",C2306)),"Brandy",
 ISNUMBER(SEARCH("COGNAC",C2306)),"Brandy",
 ISNUMBER(SEARCH("LIQUEUR",C2306)),"Liqueurs",
 ISNUMBER(SEARCH("CORDIAL",C2306)),"Liqueurs",
 ISNUMBER(SEARCH("SCHNAPP",C2306)),"Liqueurs",
 ISNUMBER(SEARCH("GIN",C2306)),"Gin",
 TRUE,"Other")</f>
        <v>Tequila/Mezcal</v>
      </c>
      <c r="E2306" s="5">
        <v>62451</v>
      </c>
      <c r="F2306" s="5">
        <v>861530.4199999941</v>
      </c>
      <c r="G2306" s="5"/>
      <c r="H2306" s="5">
        <v>4463</v>
      </c>
    </row>
    <row r="2307" spans="1:8">
      <c r="A2307" s="5">
        <v>2025</v>
      </c>
      <c r="B2307" s="6">
        <v>45931</v>
      </c>
      <c r="C2307" s="5" t="s">
        <v>42</v>
      </c>
      <c r="D2307" s="3" t="str" cm="1">
        <f t="array" ref="D2307">_xlfn.IFS(
 ISNUMBER(SEARCH("WHISK",C2307)),"Whiskey",
 ISNUMBER(SEARCH("BOURBON",C2307)),"Whiskey",
 ISNUMBER(SEARCH("SCOTCH",C2307)),"Whiskey",
 ISNUMBER(SEARCH("RYE",C2307)),"Whiskey",
 ISNUMBER(SEARCH("VODKA",C2307)),"Vodka",
 ISNUMBER(SEARCH("TEQUILA",C2307)),"Tequila/Mezcal",
 ISNUMBER(SEARCH("MEZCAL",C2307)),"Tequila/Mezcal",
 ISNUMBER(SEARCH("RUM",C2307)),"Rum",
 ISNUMBER(SEARCH("BRAND",C2307)),"Brandy",
 ISNUMBER(SEARCH("COGNAC",C2307)),"Brandy",
 ISNUMBER(SEARCH("LIQUEUR",C2307)),"Liqueurs",
 ISNUMBER(SEARCH("CORDIAL",C2307)),"Liqueurs",
 ISNUMBER(SEARCH("SCHNAPP",C2307)),"Liqueurs",
 ISNUMBER(SEARCH("GIN",C2307)),"Gin",
 TRUE,"Other")</f>
        <v>Rum</v>
      </c>
      <c r="E2307" s="5">
        <v>101226</v>
      </c>
      <c r="F2307" s="5">
        <v>1414617.0799999342</v>
      </c>
      <c r="G2307" s="5"/>
      <c r="H2307" s="5">
        <v>7158</v>
      </c>
    </row>
    <row r="2308" spans="1:8">
      <c r="A2308" s="5">
        <v>2025</v>
      </c>
      <c r="B2308" s="6">
        <v>45931</v>
      </c>
      <c r="C2308" s="5" t="s">
        <v>29</v>
      </c>
      <c r="D2308" s="3" t="str" cm="1">
        <f t="array" ref="D2308">_xlfn.IFS(
 ISNUMBER(SEARCH("WHISK",C2308)),"Whiskey",
 ISNUMBER(SEARCH("BOURBON",C2308)),"Whiskey",
 ISNUMBER(SEARCH("SCOTCH",C2308)),"Whiskey",
 ISNUMBER(SEARCH("RYE",C2308)),"Whiskey",
 ISNUMBER(SEARCH("VODKA",C2308)),"Vodka",
 ISNUMBER(SEARCH("TEQUILA",C2308)),"Tequila/Mezcal",
 ISNUMBER(SEARCH("MEZCAL",C2308)),"Tequila/Mezcal",
 ISNUMBER(SEARCH("RUM",C2308)),"Rum",
 ISNUMBER(SEARCH("BRAND",C2308)),"Brandy",
 ISNUMBER(SEARCH("COGNAC",C2308)),"Brandy",
 ISNUMBER(SEARCH("LIQUEUR",C2308)),"Liqueurs",
 ISNUMBER(SEARCH("CORDIAL",C2308)),"Liqueurs",
 ISNUMBER(SEARCH("SCHNAPP",C2308)),"Liqueurs",
 ISNUMBER(SEARCH("GIN",C2308)),"Gin",
 TRUE,"Other")</f>
        <v>Gin</v>
      </c>
      <c r="E2308" s="5">
        <v>17174</v>
      </c>
      <c r="F2308" s="5">
        <v>451168.73999999958</v>
      </c>
      <c r="G2308" s="5"/>
      <c r="H2308" s="5">
        <v>1755</v>
      </c>
    </row>
    <row r="2309" spans="1:8">
      <c r="A2309" s="5">
        <v>2025</v>
      </c>
      <c r="B2309" s="6">
        <v>45931</v>
      </c>
      <c r="C2309" s="5" t="s">
        <v>39</v>
      </c>
      <c r="D2309" s="3" t="str" cm="1">
        <f t="array" ref="D2309">_xlfn.IFS(
 ISNUMBER(SEARCH("WHISK",C2309)),"Whiskey",
 ISNUMBER(SEARCH("BOURBON",C2309)),"Whiskey",
 ISNUMBER(SEARCH("SCOTCH",C2309)),"Whiskey",
 ISNUMBER(SEARCH("RYE",C2309)),"Whiskey",
 ISNUMBER(SEARCH("VODKA",C2309)),"Vodka",
 ISNUMBER(SEARCH("TEQUILA",C2309)),"Tequila/Mezcal",
 ISNUMBER(SEARCH("MEZCAL",C2309)),"Tequila/Mezcal",
 ISNUMBER(SEARCH("RUM",C2309)),"Rum",
 ISNUMBER(SEARCH("BRAND",C2309)),"Brandy",
 ISNUMBER(SEARCH("COGNAC",C2309)),"Brandy",
 ISNUMBER(SEARCH("LIQUEUR",C2309)),"Liqueurs",
 ISNUMBER(SEARCH("CORDIAL",C2309)),"Liqueurs",
 ISNUMBER(SEARCH("SCHNAPP",C2309)),"Liqueurs",
 ISNUMBER(SEARCH("GIN",C2309)),"Gin",
 TRUE,"Other")</f>
        <v>Whiskey</v>
      </c>
      <c r="E2309" s="5">
        <v>4761</v>
      </c>
      <c r="F2309" s="5">
        <v>204956.98999999982</v>
      </c>
      <c r="G2309" s="5"/>
      <c r="H2309" s="5">
        <v>931</v>
      </c>
    </row>
    <row r="2310" spans="1:8">
      <c r="A2310" s="5">
        <v>2025</v>
      </c>
      <c r="B2310" s="6">
        <v>45931</v>
      </c>
      <c r="C2310" s="5" t="s">
        <v>44</v>
      </c>
      <c r="D2310" s="3" t="str" cm="1">
        <f t="array" ref="D2310">_xlfn.IFS(
 ISNUMBER(SEARCH("WHISK",C2310)),"Whiskey",
 ISNUMBER(SEARCH("BOURBON",C2310)),"Whiskey",
 ISNUMBER(SEARCH("SCOTCH",C2310)),"Whiskey",
 ISNUMBER(SEARCH("RYE",C2310)),"Whiskey",
 ISNUMBER(SEARCH("VODKA",C2310)),"Vodka",
 ISNUMBER(SEARCH("TEQUILA",C2310)),"Tequila/Mezcal",
 ISNUMBER(SEARCH("MEZCAL",C2310)),"Tequila/Mezcal",
 ISNUMBER(SEARCH("RUM",C2310)),"Rum",
 ISNUMBER(SEARCH("BRAND",C2310)),"Brandy",
 ISNUMBER(SEARCH("COGNAC",C2310)),"Brandy",
 ISNUMBER(SEARCH("LIQUEUR",C2310)),"Liqueurs",
 ISNUMBER(SEARCH("CORDIAL",C2310)),"Liqueurs",
 ISNUMBER(SEARCH("SCHNAPP",C2310)),"Liqueurs",
 ISNUMBER(SEARCH("GIN",C2310)),"Gin",
 TRUE,"Other")</f>
        <v>Whiskey</v>
      </c>
      <c r="E2310" s="5">
        <v>11221</v>
      </c>
      <c r="F2310" s="5">
        <v>396970.50000000384</v>
      </c>
      <c r="G2310" s="5"/>
      <c r="H2310" s="5">
        <v>1819</v>
      </c>
    </row>
    <row r="2311" spans="1:8">
      <c r="A2311" s="5">
        <v>2025</v>
      </c>
      <c r="B2311" s="6">
        <v>45931</v>
      </c>
      <c r="C2311" s="5" t="s">
        <v>23</v>
      </c>
      <c r="D2311" s="3" t="str" cm="1">
        <f t="array" ref="D2311">_xlfn.IFS(
 ISNUMBER(SEARCH("WHISK",C2311)),"Whiskey",
 ISNUMBER(SEARCH("BOURBON",C2311)),"Whiskey",
 ISNUMBER(SEARCH("SCOTCH",C2311)),"Whiskey",
 ISNUMBER(SEARCH("RYE",C2311)),"Whiskey",
 ISNUMBER(SEARCH("VODKA",C2311)),"Vodka",
 ISNUMBER(SEARCH("TEQUILA",C2311)),"Tequila/Mezcal",
 ISNUMBER(SEARCH("MEZCAL",C2311)),"Tequila/Mezcal",
 ISNUMBER(SEARCH("RUM",C2311)),"Rum",
 ISNUMBER(SEARCH("BRAND",C2311)),"Brandy",
 ISNUMBER(SEARCH("COGNAC",C2311)),"Brandy",
 ISNUMBER(SEARCH("LIQUEUR",C2311)),"Liqueurs",
 ISNUMBER(SEARCH("CORDIAL",C2311)),"Liqueurs",
 ISNUMBER(SEARCH("SCHNAPP",C2311)),"Liqueurs",
 ISNUMBER(SEARCH("GIN",C2311)),"Gin",
 TRUE,"Other")</f>
        <v>Gin</v>
      </c>
      <c r="E2311" s="5">
        <v>3959</v>
      </c>
      <c r="F2311" s="5">
        <v>101237.12999999999</v>
      </c>
      <c r="G2311" s="5"/>
      <c r="H2311" s="5">
        <v>401</v>
      </c>
    </row>
    <row r="2312" spans="1:8">
      <c r="A2312" s="5">
        <v>2025</v>
      </c>
      <c r="B2312" s="6">
        <v>45931</v>
      </c>
      <c r="C2312" s="5" t="s">
        <v>28</v>
      </c>
      <c r="D2312" s="3" t="str" cm="1">
        <f t="array" ref="D2312">_xlfn.IFS(
 ISNUMBER(SEARCH("WHISK",C2312)),"Whiskey",
 ISNUMBER(SEARCH("BOURBON",C2312)),"Whiskey",
 ISNUMBER(SEARCH("SCOTCH",C2312)),"Whiskey",
 ISNUMBER(SEARCH("RYE",C2312)),"Whiskey",
 ISNUMBER(SEARCH("VODKA",C2312)),"Vodka",
 ISNUMBER(SEARCH("TEQUILA",C2312)),"Tequila/Mezcal",
 ISNUMBER(SEARCH("MEZCAL",C2312)),"Tequila/Mezcal",
 ISNUMBER(SEARCH("RUM",C2312)),"Rum",
 ISNUMBER(SEARCH("BRAND",C2312)),"Brandy",
 ISNUMBER(SEARCH("COGNAC",C2312)),"Brandy",
 ISNUMBER(SEARCH("LIQUEUR",C2312)),"Liqueurs",
 ISNUMBER(SEARCH("CORDIAL",C2312)),"Liqueurs",
 ISNUMBER(SEARCH("SCHNAPP",C2312)),"Liqueurs",
 ISNUMBER(SEARCH("GIN",C2312)),"Gin",
 TRUE,"Other")</f>
        <v>Other</v>
      </c>
      <c r="E2312" s="5">
        <v>30636</v>
      </c>
      <c r="F2312" s="5">
        <v>219592.04999999978</v>
      </c>
      <c r="G2312" s="5"/>
      <c r="H2312" s="5">
        <v>962</v>
      </c>
    </row>
    <row r="2313" spans="1:8">
      <c r="A2313" s="5">
        <v>2025</v>
      </c>
      <c r="B2313" s="6">
        <v>45931</v>
      </c>
      <c r="C2313" s="5" t="s">
        <v>34</v>
      </c>
      <c r="D2313" s="3" t="str" cm="1">
        <f t="array" ref="D2313">_xlfn.IFS(
 ISNUMBER(SEARCH("WHISK",C2313)),"Whiskey",
 ISNUMBER(SEARCH("BOURBON",C2313)),"Whiskey",
 ISNUMBER(SEARCH("SCOTCH",C2313)),"Whiskey",
 ISNUMBER(SEARCH("RYE",C2313)),"Whiskey",
 ISNUMBER(SEARCH("VODKA",C2313)),"Vodka",
 ISNUMBER(SEARCH("TEQUILA",C2313)),"Tequila/Mezcal",
 ISNUMBER(SEARCH("MEZCAL",C2313)),"Tequila/Mezcal",
 ISNUMBER(SEARCH("RUM",C2313)),"Rum",
 ISNUMBER(SEARCH("BRAND",C2313)),"Brandy",
 ISNUMBER(SEARCH("COGNAC",C2313)),"Brandy",
 ISNUMBER(SEARCH("LIQUEUR",C2313)),"Liqueurs",
 ISNUMBER(SEARCH("CORDIAL",C2313)),"Liqueurs",
 ISNUMBER(SEARCH("SCHNAPP",C2313)),"Liqueurs",
 ISNUMBER(SEARCH("GIN",C2313)),"Gin",
 TRUE,"Other")</f>
        <v>Tequila/Mezcal</v>
      </c>
      <c r="E2313" s="5">
        <v>1475</v>
      </c>
      <c r="F2313" s="5">
        <v>46094.629999999976</v>
      </c>
      <c r="G2313" s="5"/>
      <c r="H2313" s="5">
        <v>226</v>
      </c>
    </row>
    <row r="2314" spans="1:8">
      <c r="A2314" s="5">
        <v>2025</v>
      </c>
      <c r="B2314" s="6">
        <v>45931</v>
      </c>
      <c r="C2314" s="5" t="s">
        <v>41</v>
      </c>
      <c r="D2314" s="3" t="str" cm="1">
        <f t="array" ref="D2314">_xlfn.IFS(
 ISNUMBER(SEARCH("WHISK",C2314)),"Whiskey",
 ISNUMBER(SEARCH("BOURBON",C2314)),"Whiskey",
 ISNUMBER(SEARCH("SCOTCH",C2314)),"Whiskey",
 ISNUMBER(SEARCH("RYE",C2314)),"Whiskey",
 ISNUMBER(SEARCH("VODKA",C2314)),"Vodka",
 ISNUMBER(SEARCH("TEQUILA",C2314)),"Tequila/Mezcal",
 ISNUMBER(SEARCH("MEZCAL",C2314)),"Tequila/Mezcal",
 ISNUMBER(SEARCH("RUM",C2314)),"Rum",
 ISNUMBER(SEARCH("BRAND",C2314)),"Brandy",
 ISNUMBER(SEARCH("COGNAC",C2314)),"Brandy",
 ISNUMBER(SEARCH("LIQUEUR",C2314)),"Liqueurs",
 ISNUMBER(SEARCH("CORDIAL",C2314)),"Liqueurs",
 ISNUMBER(SEARCH("SCHNAPP",C2314)),"Liqueurs",
 ISNUMBER(SEARCH("GIN",C2314)),"Gin",
 TRUE,"Other")</f>
        <v>Other</v>
      </c>
      <c r="E2314" s="5">
        <v>3084</v>
      </c>
      <c r="F2314" s="5">
        <v>42489.710000000006</v>
      </c>
      <c r="G2314" s="5"/>
      <c r="H2314" s="5">
        <v>102</v>
      </c>
    </row>
    <row r="2315" spans="1:8">
      <c r="A2315" s="5">
        <v>2025</v>
      </c>
      <c r="B2315" s="6">
        <v>45931</v>
      </c>
      <c r="C2315" s="5" t="s">
        <v>17</v>
      </c>
      <c r="D2315" s="3" t="str" cm="1">
        <f t="array" ref="D2315">_xlfn.IFS(
 ISNUMBER(SEARCH("WHISK",C2315)),"Whiskey",
 ISNUMBER(SEARCH("BOURBON",C2315)),"Whiskey",
 ISNUMBER(SEARCH("SCOTCH",C2315)),"Whiskey",
 ISNUMBER(SEARCH("RYE",C2315)),"Whiskey",
 ISNUMBER(SEARCH("VODKA",C2315)),"Vodka",
 ISNUMBER(SEARCH("TEQUILA",C2315)),"Tequila/Mezcal",
 ISNUMBER(SEARCH("MEZCAL",C2315)),"Tequila/Mezcal",
 ISNUMBER(SEARCH("RUM",C2315)),"Rum",
 ISNUMBER(SEARCH("BRAND",C2315)),"Brandy",
 ISNUMBER(SEARCH("COGNAC",C2315)),"Brandy",
 ISNUMBER(SEARCH("LIQUEUR",C2315)),"Liqueurs",
 ISNUMBER(SEARCH("CORDIAL",C2315)),"Liqueurs",
 ISNUMBER(SEARCH("SCHNAPP",C2315)),"Liqueurs",
 ISNUMBER(SEARCH("GIN",C2315)),"Gin",
 TRUE,"Other")</f>
        <v>Whiskey</v>
      </c>
      <c r="E2315" s="5">
        <v>3613</v>
      </c>
      <c r="F2315" s="5">
        <v>110192.97000000004</v>
      </c>
      <c r="G2315" s="5"/>
      <c r="H2315" s="5">
        <v>1048</v>
      </c>
    </row>
    <row r="2316" spans="1:8">
      <c r="A2316" s="5">
        <v>2025</v>
      </c>
      <c r="B2316" s="6">
        <v>45931</v>
      </c>
      <c r="C2316" s="5" t="s">
        <v>10</v>
      </c>
      <c r="D2316" s="3" t="str" cm="1">
        <f t="array" ref="D2316">_xlfn.IFS(
 ISNUMBER(SEARCH("WHISK",C2316)),"Whiskey",
 ISNUMBER(SEARCH("BOURBON",C2316)),"Whiskey",
 ISNUMBER(SEARCH("SCOTCH",C2316)),"Whiskey",
 ISNUMBER(SEARCH("RYE",C2316)),"Whiskey",
 ISNUMBER(SEARCH("VODKA",C2316)),"Vodka",
 ISNUMBER(SEARCH("TEQUILA",C2316)),"Tequila/Mezcal",
 ISNUMBER(SEARCH("MEZCAL",C2316)),"Tequila/Mezcal",
 ISNUMBER(SEARCH("RUM",C2316)),"Rum",
 ISNUMBER(SEARCH("BRAND",C2316)),"Brandy",
 ISNUMBER(SEARCH("COGNAC",C2316)),"Brandy",
 ISNUMBER(SEARCH("LIQUEUR",C2316)),"Liqueurs",
 ISNUMBER(SEARCH("CORDIAL",C2316)),"Liqueurs",
 ISNUMBER(SEARCH("SCHNAPP",C2316)),"Liqueurs",
 ISNUMBER(SEARCH("GIN",C2316)),"Gin",
 TRUE,"Other")</f>
        <v>Other</v>
      </c>
      <c r="E2316" s="5">
        <v>5257</v>
      </c>
      <c r="F2316" s="5">
        <v>74591.649999999936</v>
      </c>
      <c r="G2316" s="5"/>
      <c r="H2316" s="5">
        <v>456</v>
      </c>
    </row>
    <row r="2317" spans="1:8">
      <c r="A2317" s="5">
        <v>2025</v>
      </c>
      <c r="B2317" s="6">
        <v>45931</v>
      </c>
      <c r="C2317" s="5" t="s">
        <v>36</v>
      </c>
      <c r="D2317" s="3" t="str" cm="1">
        <f t="array" ref="D2317">_xlfn.IFS(
 ISNUMBER(SEARCH("WHISK",C2317)),"Whiskey",
 ISNUMBER(SEARCH("BOURBON",C2317)),"Whiskey",
 ISNUMBER(SEARCH("SCOTCH",C2317)),"Whiskey",
 ISNUMBER(SEARCH("RYE",C2317)),"Whiskey",
 ISNUMBER(SEARCH("VODKA",C2317)),"Vodka",
 ISNUMBER(SEARCH("TEQUILA",C2317)),"Tequila/Mezcal",
 ISNUMBER(SEARCH("MEZCAL",C2317)),"Tequila/Mezcal",
 ISNUMBER(SEARCH("RUM",C2317)),"Rum",
 ISNUMBER(SEARCH("BRAND",C2317)),"Brandy",
 ISNUMBER(SEARCH("COGNAC",C2317)),"Brandy",
 ISNUMBER(SEARCH("LIQUEUR",C2317)),"Liqueurs",
 ISNUMBER(SEARCH("CORDIAL",C2317)),"Liqueurs",
 ISNUMBER(SEARCH("SCHNAPP",C2317)),"Liqueurs",
 ISNUMBER(SEARCH("GIN",C2317)),"Gin",
 TRUE,"Other")</f>
        <v>Other</v>
      </c>
      <c r="E2317" s="5">
        <v>3308</v>
      </c>
      <c r="F2317" s="5">
        <v>47406.449999999975</v>
      </c>
      <c r="G2317" s="5"/>
      <c r="H2317" s="5">
        <v>419</v>
      </c>
    </row>
    <row r="2318" spans="1:8">
      <c r="A2318" s="5">
        <v>2025</v>
      </c>
      <c r="B2318" s="6">
        <v>45931</v>
      </c>
      <c r="C2318" s="5" t="s">
        <v>21</v>
      </c>
      <c r="D2318" s="3" t="str" cm="1">
        <f t="array" ref="D2318">_xlfn.IFS(
 ISNUMBER(SEARCH("WHISK",C2318)),"Whiskey",
 ISNUMBER(SEARCH("BOURBON",C2318)),"Whiskey",
 ISNUMBER(SEARCH("SCOTCH",C2318)),"Whiskey",
 ISNUMBER(SEARCH("RYE",C2318)),"Whiskey",
 ISNUMBER(SEARCH("VODKA",C2318)),"Vodka",
 ISNUMBER(SEARCH("TEQUILA",C2318)),"Tequila/Mezcal",
 ISNUMBER(SEARCH("MEZCAL",C2318)),"Tequila/Mezcal",
 ISNUMBER(SEARCH("RUM",C2318)),"Rum",
 ISNUMBER(SEARCH("BRAND",C2318)),"Brandy",
 ISNUMBER(SEARCH("COGNAC",C2318)),"Brandy",
 ISNUMBER(SEARCH("LIQUEUR",C2318)),"Liqueurs",
 ISNUMBER(SEARCH("CORDIAL",C2318)),"Liqueurs",
 ISNUMBER(SEARCH("SCHNAPP",C2318)),"Liqueurs",
 ISNUMBER(SEARCH("GIN",C2318)),"Gin",
 TRUE,"Other")</f>
        <v>Whiskey</v>
      </c>
      <c r="E2318" s="5">
        <v>735</v>
      </c>
      <c r="F2318" s="5">
        <v>12831.45</v>
      </c>
      <c r="G2318" s="5"/>
      <c r="H2318" s="5">
        <v>63</v>
      </c>
    </row>
    <row r="2319" spans="1:8">
      <c r="A2319" s="5">
        <v>2025</v>
      </c>
      <c r="B2319" s="6">
        <v>45931</v>
      </c>
      <c r="C2319" s="5" t="s">
        <v>14</v>
      </c>
      <c r="D2319" s="3" t="str" cm="1">
        <f t="array" ref="D2319">_xlfn.IFS(
 ISNUMBER(SEARCH("WHISK",C2319)),"Whiskey",
 ISNUMBER(SEARCH("BOURBON",C2319)),"Whiskey",
 ISNUMBER(SEARCH("SCOTCH",C2319)),"Whiskey",
 ISNUMBER(SEARCH("RYE",C2319)),"Whiskey",
 ISNUMBER(SEARCH("VODKA",C2319)),"Vodka",
 ISNUMBER(SEARCH("TEQUILA",C2319)),"Tequila/Mezcal",
 ISNUMBER(SEARCH("MEZCAL",C2319)),"Tequila/Mezcal",
 ISNUMBER(SEARCH("RUM",C2319)),"Rum",
 ISNUMBER(SEARCH("BRAND",C2319)),"Brandy",
 ISNUMBER(SEARCH("COGNAC",C2319)),"Brandy",
 ISNUMBER(SEARCH("LIQUEUR",C2319)),"Liqueurs",
 ISNUMBER(SEARCH("CORDIAL",C2319)),"Liqueurs",
 ISNUMBER(SEARCH("SCHNAPP",C2319)),"Liqueurs",
 ISNUMBER(SEARCH("GIN",C2319)),"Gin",
 TRUE,"Other")</f>
        <v>Gin</v>
      </c>
      <c r="E2319" s="5">
        <v>180</v>
      </c>
      <c r="F2319" s="5">
        <v>1537.2</v>
      </c>
      <c r="G2319" s="5"/>
      <c r="H2319" s="5">
        <v>29</v>
      </c>
    </row>
    <row r="2320" spans="1:8">
      <c r="A2320" s="5">
        <v>2025</v>
      </c>
      <c r="B2320" s="6">
        <v>45658</v>
      </c>
      <c r="C2320" s="5" t="s">
        <v>50</v>
      </c>
      <c r="D2320" s="3" t="str" cm="1">
        <f t="array" ref="D2320">_xlfn.IFS(
 ISNUMBER(SEARCH("WHISK",C2320)),"Whiskey",
 ISNUMBER(SEARCH("BOURBON",C2320)),"Whiskey",
 ISNUMBER(SEARCH("SCOTCH",C2320)),"Whiskey",
 ISNUMBER(SEARCH("RYE",C2320)),"Whiskey",
 ISNUMBER(SEARCH("VODKA",C2320)),"Vodka",
 ISNUMBER(SEARCH("TEQUILA",C2320)),"Tequila/Mezcal",
 ISNUMBER(SEARCH("MEZCAL",C2320)),"Tequila/Mezcal",
 ISNUMBER(SEARCH("RUM",C2320)),"Rum",
 ISNUMBER(SEARCH("BRAND",C2320)),"Brandy",
 ISNUMBER(SEARCH("COGNAC",C2320)),"Brandy",
 ISNUMBER(SEARCH("LIQUEUR",C2320)),"Liqueurs",
 ISNUMBER(SEARCH("CORDIAL",C2320)),"Liqueurs",
 ISNUMBER(SEARCH("SCHNAPP",C2320)),"Liqueurs",
 ISNUMBER(SEARCH("GIN",C2320)),"Gin",
 TRUE,"Other")</f>
        <v>Tequila/Mezcal</v>
      </c>
      <c r="E2320" s="5">
        <v>77220</v>
      </c>
      <c r="F2320" s="5">
        <v>2247694.3199999407</v>
      </c>
      <c r="G2320" s="5"/>
      <c r="H2320" s="5">
        <v>10096</v>
      </c>
    </row>
    <row r="2321" spans="1:8">
      <c r="A2321" s="5">
        <v>2025</v>
      </c>
      <c r="B2321" s="6">
        <v>45658</v>
      </c>
      <c r="C2321" s="5" t="s">
        <v>59</v>
      </c>
      <c r="D2321" s="3" t="str" cm="1">
        <f t="array" ref="D2321">_xlfn.IFS(
 ISNUMBER(SEARCH("WHISK",C2321)),"Whiskey",
 ISNUMBER(SEARCH("BOURBON",C2321)),"Whiskey",
 ISNUMBER(SEARCH("SCOTCH",C2321)),"Whiskey",
 ISNUMBER(SEARCH("RYE",C2321)),"Whiskey",
 ISNUMBER(SEARCH("VODKA",C2321)),"Vodka",
 ISNUMBER(SEARCH("TEQUILA",C2321)),"Tequila/Mezcal",
 ISNUMBER(SEARCH("MEZCAL",C2321)),"Tequila/Mezcal",
 ISNUMBER(SEARCH("RUM",C2321)),"Rum",
 ISNUMBER(SEARCH("BRAND",C2321)),"Brandy",
 ISNUMBER(SEARCH("COGNAC",C2321)),"Brandy",
 ISNUMBER(SEARCH("LIQUEUR",C2321)),"Liqueurs",
 ISNUMBER(SEARCH("CORDIAL",C2321)),"Liqueurs",
 ISNUMBER(SEARCH("SCHNAPP",C2321)),"Liqueurs",
 ISNUMBER(SEARCH("GIN",C2321)),"Gin",
 TRUE,"Other")</f>
        <v>Liqueurs</v>
      </c>
      <c r="E2321" s="5">
        <v>33776</v>
      </c>
      <c r="F2321" s="5">
        <v>376357.20999999647</v>
      </c>
      <c r="G2321" s="5"/>
      <c r="H2321" s="5">
        <v>5181</v>
      </c>
    </row>
    <row r="2322" spans="1:8">
      <c r="A2322" s="5">
        <v>2025</v>
      </c>
      <c r="B2322" s="6">
        <v>45658</v>
      </c>
      <c r="C2322" s="5" t="s">
        <v>10</v>
      </c>
      <c r="D2322" s="3" t="str" cm="1">
        <f t="array" ref="D2322">_xlfn.IFS(
 ISNUMBER(SEARCH("WHISK",C2322)),"Whiskey",
 ISNUMBER(SEARCH("BOURBON",C2322)),"Whiskey",
 ISNUMBER(SEARCH("SCOTCH",C2322)),"Whiskey",
 ISNUMBER(SEARCH("RYE",C2322)),"Whiskey",
 ISNUMBER(SEARCH("VODKA",C2322)),"Vodka",
 ISNUMBER(SEARCH("TEQUILA",C2322)),"Tequila/Mezcal",
 ISNUMBER(SEARCH("MEZCAL",C2322)),"Tequila/Mezcal",
 ISNUMBER(SEARCH("RUM",C2322)),"Rum",
 ISNUMBER(SEARCH("BRAND",C2322)),"Brandy",
 ISNUMBER(SEARCH("COGNAC",C2322)),"Brandy",
 ISNUMBER(SEARCH("LIQUEUR",C2322)),"Liqueurs",
 ISNUMBER(SEARCH("CORDIAL",C2322)),"Liqueurs",
 ISNUMBER(SEARCH("SCHNAPP",C2322)),"Liqueurs",
 ISNUMBER(SEARCH("GIN",C2322)),"Gin",
 TRUE,"Other")</f>
        <v>Other</v>
      </c>
      <c r="E2322" s="5">
        <v>3185</v>
      </c>
      <c r="F2322" s="5">
        <v>56778.470000000016</v>
      </c>
      <c r="G2322" s="5"/>
      <c r="H2322" s="5">
        <v>392</v>
      </c>
    </row>
    <row r="2323" spans="1:8">
      <c r="A2323" s="5">
        <v>2025</v>
      </c>
      <c r="B2323" s="6">
        <v>45658</v>
      </c>
      <c r="C2323" s="5" t="s">
        <v>12</v>
      </c>
      <c r="D2323" s="3" t="str" cm="1">
        <f t="array" ref="D2323">_xlfn.IFS(
 ISNUMBER(SEARCH("WHISK",C2323)),"Whiskey",
 ISNUMBER(SEARCH("BOURBON",C2323)),"Whiskey",
 ISNUMBER(SEARCH("SCOTCH",C2323)),"Whiskey",
 ISNUMBER(SEARCH("RYE",C2323)),"Whiskey",
 ISNUMBER(SEARCH("VODKA",C2323)),"Vodka",
 ISNUMBER(SEARCH("TEQUILA",C2323)),"Tequila/Mezcal",
 ISNUMBER(SEARCH("MEZCAL",C2323)),"Tequila/Mezcal",
 ISNUMBER(SEARCH("RUM",C2323)),"Rum",
 ISNUMBER(SEARCH("BRAND",C2323)),"Brandy",
 ISNUMBER(SEARCH("COGNAC",C2323)),"Brandy",
 ISNUMBER(SEARCH("LIQUEUR",C2323)),"Liqueurs",
 ISNUMBER(SEARCH("CORDIAL",C2323)),"Liqueurs",
 ISNUMBER(SEARCH("SCHNAPP",C2323)),"Liqueurs",
 ISNUMBER(SEARCH("GIN",C2323)),"Gin",
 TRUE,"Other")</f>
        <v>Vodka</v>
      </c>
      <c r="E2323" s="5">
        <v>72739</v>
      </c>
      <c r="F2323" s="5">
        <v>834583.30000003614</v>
      </c>
      <c r="G2323" s="5"/>
      <c r="H2323" s="5">
        <v>8978</v>
      </c>
    </row>
    <row r="2324" spans="1:8">
      <c r="A2324" s="5">
        <v>2025</v>
      </c>
      <c r="B2324" s="6">
        <v>45658</v>
      </c>
      <c r="C2324" s="5" t="s">
        <v>13</v>
      </c>
      <c r="D2324" s="3" t="str" cm="1">
        <f t="array" ref="D2324">_xlfn.IFS(
 ISNUMBER(SEARCH("WHISK",C2324)),"Whiskey",
 ISNUMBER(SEARCH("BOURBON",C2324)),"Whiskey",
 ISNUMBER(SEARCH("SCOTCH",C2324)),"Whiskey",
 ISNUMBER(SEARCH("RYE",C2324)),"Whiskey",
 ISNUMBER(SEARCH("VODKA",C2324)),"Vodka",
 ISNUMBER(SEARCH("TEQUILA",C2324)),"Tequila/Mezcal",
 ISNUMBER(SEARCH("MEZCAL",C2324)),"Tequila/Mezcal",
 ISNUMBER(SEARCH("RUM",C2324)),"Rum",
 ISNUMBER(SEARCH("BRAND",C2324)),"Brandy",
 ISNUMBER(SEARCH("COGNAC",C2324)),"Brandy",
 ISNUMBER(SEARCH("LIQUEUR",C2324)),"Liqueurs",
 ISNUMBER(SEARCH("CORDIAL",C2324)),"Liqueurs",
 ISNUMBER(SEARCH("SCHNAPP",C2324)),"Liqueurs",
 ISNUMBER(SEARCH("GIN",C2324)),"Gin",
 TRUE,"Other")</f>
        <v>Liqueurs</v>
      </c>
      <c r="E2324" s="5">
        <v>92624</v>
      </c>
      <c r="F2324" s="5">
        <v>660033.94999996969</v>
      </c>
      <c r="G2324" s="5"/>
      <c r="H2324" s="5">
        <v>7643</v>
      </c>
    </row>
    <row r="2325" spans="1:8">
      <c r="A2325" s="5">
        <v>2025</v>
      </c>
      <c r="B2325" s="6">
        <v>45658</v>
      </c>
      <c r="C2325" s="5" t="s">
        <v>15</v>
      </c>
      <c r="D2325" s="3" t="str" cm="1">
        <f t="array" ref="D2325">_xlfn.IFS(
 ISNUMBER(SEARCH("WHISK",C2325)),"Whiskey",
 ISNUMBER(SEARCH("BOURBON",C2325)),"Whiskey",
 ISNUMBER(SEARCH("SCOTCH",C2325)),"Whiskey",
 ISNUMBER(SEARCH("RYE",C2325)),"Whiskey",
 ISNUMBER(SEARCH("VODKA",C2325)),"Vodka",
 ISNUMBER(SEARCH("TEQUILA",C2325)),"Tequila/Mezcal",
 ISNUMBER(SEARCH("MEZCAL",C2325)),"Tequila/Mezcal",
 ISNUMBER(SEARCH("RUM",C2325)),"Rum",
 ISNUMBER(SEARCH("BRAND",C2325)),"Brandy",
 ISNUMBER(SEARCH("COGNAC",C2325)),"Brandy",
 ISNUMBER(SEARCH("LIQUEUR",C2325)),"Liqueurs",
 ISNUMBER(SEARCH("CORDIAL",C2325)),"Liqueurs",
 ISNUMBER(SEARCH("SCHNAPP",C2325)),"Liqueurs",
 ISNUMBER(SEARCH("GIN",C2325)),"Gin",
 TRUE,"Other")</f>
        <v>Vodka</v>
      </c>
      <c r="E2325" s="5">
        <v>498629</v>
      </c>
      <c r="F2325" s="5">
        <v>4902904.5200001262</v>
      </c>
      <c r="G2325" s="5"/>
      <c r="H2325" s="5">
        <v>31419</v>
      </c>
    </row>
    <row r="2326" spans="1:8">
      <c r="A2326" s="5">
        <v>2025</v>
      </c>
      <c r="B2326" s="6">
        <v>45658</v>
      </c>
      <c r="C2326" s="5" t="s">
        <v>16</v>
      </c>
      <c r="D2326" s="3" t="str" cm="1">
        <f t="array" ref="D2326">_xlfn.IFS(
 ISNUMBER(SEARCH("WHISK",C2326)),"Whiskey",
 ISNUMBER(SEARCH("BOURBON",C2326)),"Whiskey",
 ISNUMBER(SEARCH("SCOTCH",C2326)),"Whiskey",
 ISNUMBER(SEARCH("RYE",C2326)),"Whiskey",
 ISNUMBER(SEARCH("VODKA",C2326)),"Vodka",
 ISNUMBER(SEARCH("TEQUILA",C2326)),"Tequila/Mezcal",
 ISNUMBER(SEARCH("MEZCAL",C2326)),"Tequila/Mezcal",
 ISNUMBER(SEARCH("RUM",C2326)),"Rum",
 ISNUMBER(SEARCH("BRAND",C2326)),"Brandy",
 ISNUMBER(SEARCH("COGNAC",C2326)),"Brandy",
 ISNUMBER(SEARCH("LIQUEUR",C2326)),"Liqueurs",
 ISNUMBER(SEARCH("CORDIAL",C2326)),"Liqueurs",
 ISNUMBER(SEARCH("SCHNAPP",C2326)),"Liqueurs",
 ISNUMBER(SEARCH("GIN",C2326)),"Gin",
 TRUE,"Other")</f>
        <v>Whiskey</v>
      </c>
      <c r="E2326" s="5">
        <v>65228</v>
      </c>
      <c r="F2326" s="5">
        <v>919525.09999998589</v>
      </c>
      <c r="G2326" s="5"/>
      <c r="H2326" s="5">
        <v>7414</v>
      </c>
    </row>
    <row r="2327" spans="1:8">
      <c r="A2327" s="5">
        <v>2025</v>
      </c>
      <c r="B2327" s="6">
        <v>45658</v>
      </c>
      <c r="C2327" s="5" t="s">
        <v>18</v>
      </c>
      <c r="D2327" s="3" t="str" cm="1">
        <f t="array" ref="D2327">_xlfn.IFS(
 ISNUMBER(SEARCH("WHISK",C2327)),"Whiskey",
 ISNUMBER(SEARCH("BOURBON",C2327)),"Whiskey",
 ISNUMBER(SEARCH("SCOTCH",C2327)),"Whiskey",
 ISNUMBER(SEARCH("RYE",C2327)),"Whiskey",
 ISNUMBER(SEARCH("VODKA",C2327)),"Vodka",
 ISNUMBER(SEARCH("TEQUILA",C2327)),"Tequila/Mezcal",
 ISNUMBER(SEARCH("MEZCAL",C2327)),"Tequila/Mezcal",
 ISNUMBER(SEARCH("RUM",C2327)),"Rum",
 ISNUMBER(SEARCH("BRAND",C2327)),"Brandy",
 ISNUMBER(SEARCH("COGNAC",C2327)),"Brandy",
 ISNUMBER(SEARCH("LIQUEUR",C2327)),"Liqueurs",
 ISNUMBER(SEARCH("CORDIAL",C2327)),"Liqueurs",
 ISNUMBER(SEARCH("SCHNAPP",C2327)),"Liqueurs",
 ISNUMBER(SEARCH("GIN",C2327)),"Gin",
 TRUE,"Other")</f>
        <v>Whiskey</v>
      </c>
      <c r="E2327" s="5">
        <v>202431</v>
      </c>
      <c r="F2327" s="5">
        <v>3207138.8499997961</v>
      </c>
      <c r="G2327" s="5"/>
      <c r="H2327" s="5">
        <v>18479</v>
      </c>
    </row>
    <row r="2328" spans="1:8">
      <c r="A2328" s="5">
        <v>2025</v>
      </c>
      <c r="B2328" s="6">
        <v>45658</v>
      </c>
      <c r="C2328" s="5" t="s">
        <v>19</v>
      </c>
      <c r="D2328" s="3" t="str" cm="1">
        <f t="array" ref="D2328">_xlfn.IFS(
 ISNUMBER(SEARCH("WHISK",C2328)),"Whiskey",
 ISNUMBER(SEARCH("BOURBON",C2328)),"Whiskey",
 ISNUMBER(SEARCH("SCOTCH",C2328)),"Whiskey",
 ISNUMBER(SEARCH("RYE",C2328)),"Whiskey",
 ISNUMBER(SEARCH("VODKA",C2328)),"Vodka",
 ISNUMBER(SEARCH("TEQUILA",C2328)),"Tequila/Mezcal",
 ISNUMBER(SEARCH("MEZCAL",C2328)),"Tequila/Mezcal",
 ISNUMBER(SEARCH("RUM",C2328)),"Rum",
 ISNUMBER(SEARCH("BRAND",C2328)),"Brandy",
 ISNUMBER(SEARCH("COGNAC",C2328)),"Brandy",
 ISNUMBER(SEARCH("LIQUEUR",C2328)),"Liqueurs",
 ISNUMBER(SEARCH("CORDIAL",C2328)),"Liqueurs",
 ISNUMBER(SEARCH("SCHNAPP",C2328)),"Liqueurs",
 ISNUMBER(SEARCH("GIN",C2328)),"Gin",
 TRUE,"Other")</f>
        <v>Other</v>
      </c>
      <c r="E2328" s="5">
        <v>54084</v>
      </c>
      <c r="F2328" s="5">
        <v>675276.9299999983</v>
      </c>
      <c r="G2328" s="5"/>
      <c r="H2328" s="5">
        <v>6111</v>
      </c>
    </row>
    <row r="2329" spans="1:8">
      <c r="A2329" s="5">
        <v>2025</v>
      </c>
      <c r="B2329" s="6">
        <v>45658</v>
      </c>
      <c r="C2329" s="5" t="s">
        <v>20</v>
      </c>
      <c r="D2329" s="3" t="str" cm="1">
        <f t="array" ref="D2329">_xlfn.IFS(
 ISNUMBER(SEARCH("WHISK",C2329)),"Whiskey",
 ISNUMBER(SEARCH("BOURBON",C2329)),"Whiskey",
 ISNUMBER(SEARCH("SCOTCH",C2329)),"Whiskey",
 ISNUMBER(SEARCH("RYE",C2329)),"Whiskey",
 ISNUMBER(SEARCH("VODKA",C2329)),"Vodka",
 ISNUMBER(SEARCH("TEQUILA",C2329)),"Tequila/Mezcal",
 ISNUMBER(SEARCH("MEZCAL",C2329)),"Tequila/Mezcal",
 ISNUMBER(SEARCH("RUM",C2329)),"Rum",
 ISNUMBER(SEARCH("BRAND",C2329)),"Brandy",
 ISNUMBER(SEARCH("COGNAC",C2329)),"Brandy",
 ISNUMBER(SEARCH("LIQUEUR",C2329)),"Liqueurs",
 ISNUMBER(SEARCH("CORDIAL",C2329)),"Liqueurs",
 ISNUMBER(SEARCH("SCHNAPP",C2329)),"Liqueurs",
 ISNUMBER(SEARCH("GIN",C2329)),"Gin",
 TRUE,"Other")</f>
        <v>Liqueurs</v>
      </c>
      <c r="E2329" s="5">
        <v>6997</v>
      </c>
      <c r="F2329" s="5">
        <v>143693.20000000033</v>
      </c>
      <c r="G2329" s="5"/>
      <c r="H2329" s="5">
        <v>778</v>
      </c>
    </row>
    <row r="2330" spans="1:8">
      <c r="A2330" s="5">
        <v>2025</v>
      </c>
      <c r="B2330" s="6">
        <v>45658</v>
      </c>
      <c r="C2330" s="5" t="s">
        <v>22</v>
      </c>
      <c r="D2330" s="3" t="str" cm="1">
        <f t="array" ref="D2330">_xlfn.IFS(
 ISNUMBER(SEARCH("WHISK",C2330)),"Whiskey",
 ISNUMBER(SEARCH("BOURBON",C2330)),"Whiskey",
 ISNUMBER(SEARCH("SCOTCH",C2330)),"Whiskey",
 ISNUMBER(SEARCH("RYE",C2330)),"Whiskey",
 ISNUMBER(SEARCH("VODKA",C2330)),"Vodka",
 ISNUMBER(SEARCH("TEQUILA",C2330)),"Tequila/Mezcal",
 ISNUMBER(SEARCH("MEZCAL",C2330)),"Tequila/Mezcal",
 ISNUMBER(SEARCH("RUM",C2330)),"Rum",
 ISNUMBER(SEARCH("BRAND",C2330)),"Brandy",
 ISNUMBER(SEARCH("COGNAC",C2330)),"Brandy",
 ISNUMBER(SEARCH("LIQUEUR",C2330)),"Liqueurs",
 ISNUMBER(SEARCH("CORDIAL",C2330)),"Liqueurs",
 ISNUMBER(SEARCH("SCHNAPP",C2330)),"Liqueurs",
 ISNUMBER(SEARCH("GIN",C2330)),"Gin",
 TRUE,"Other")</f>
        <v>Liqueurs</v>
      </c>
      <c r="E2330" s="5">
        <v>33103</v>
      </c>
      <c r="F2330" s="5">
        <v>642582.3899999914</v>
      </c>
      <c r="G2330" s="5"/>
      <c r="H2330" s="5">
        <v>4152</v>
      </c>
    </row>
    <row r="2331" spans="1:8">
      <c r="A2331" s="5">
        <v>2025</v>
      </c>
      <c r="B2331" s="6">
        <v>45658</v>
      </c>
      <c r="C2331" s="5" t="s">
        <v>24</v>
      </c>
      <c r="D2331" s="3" t="str" cm="1">
        <f t="array" ref="D2331">_xlfn.IFS(
 ISNUMBER(SEARCH("WHISK",C2331)),"Whiskey",
 ISNUMBER(SEARCH("BOURBON",C2331)),"Whiskey",
 ISNUMBER(SEARCH("SCOTCH",C2331)),"Whiskey",
 ISNUMBER(SEARCH("RYE",C2331)),"Whiskey",
 ISNUMBER(SEARCH("VODKA",C2331)),"Vodka",
 ISNUMBER(SEARCH("TEQUILA",C2331)),"Tequila/Mezcal",
 ISNUMBER(SEARCH("MEZCAL",C2331)),"Tequila/Mezcal",
 ISNUMBER(SEARCH("RUM",C2331)),"Rum",
 ISNUMBER(SEARCH("BRAND",C2331)),"Brandy",
 ISNUMBER(SEARCH("COGNAC",C2331)),"Brandy",
 ISNUMBER(SEARCH("LIQUEUR",C2331)),"Liqueurs",
 ISNUMBER(SEARCH("CORDIAL",C2331)),"Liqueurs",
 ISNUMBER(SEARCH("SCHNAPP",C2331)),"Liqueurs",
 ISNUMBER(SEARCH("GIN",C2331)),"Gin",
 TRUE,"Other")</f>
        <v>Rum</v>
      </c>
      <c r="E2331" s="5">
        <v>29160</v>
      </c>
      <c r="F2331" s="5">
        <v>440785.29000000143</v>
      </c>
      <c r="G2331" s="5"/>
      <c r="H2331" s="5">
        <v>3321</v>
      </c>
    </row>
    <row r="2332" spans="1:8">
      <c r="A2332" s="5">
        <v>2025</v>
      </c>
      <c r="B2332" s="6">
        <v>45658</v>
      </c>
      <c r="C2332" s="5" t="s">
        <v>60</v>
      </c>
      <c r="D2332" s="3" t="str" cm="1">
        <f t="array" ref="D2332">_xlfn.IFS(
 ISNUMBER(SEARCH("WHISK",C2332)),"Whiskey",
 ISNUMBER(SEARCH("BOURBON",C2332)),"Whiskey",
 ISNUMBER(SEARCH("SCOTCH",C2332)),"Whiskey",
 ISNUMBER(SEARCH("RYE",C2332)),"Whiskey",
 ISNUMBER(SEARCH("VODKA",C2332)),"Vodka",
 ISNUMBER(SEARCH("TEQUILA",C2332)),"Tequila/Mezcal",
 ISNUMBER(SEARCH("MEZCAL",C2332)),"Tequila/Mezcal",
 ISNUMBER(SEARCH("RUM",C2332)),"Rum",
 ISNUMBER(SEARCH("BRAND",C2332)),"Brandy",
 ISNUMBER(SEARCH("COGNAC",C2332)),"Brandy",
 ISNUMBER(SEARCH("LIQUEUR",C2332)),"Liqueurs",
 ISNUMBER(SEARCH("CORDIAL",C2332)),"Liqueurs",
 ISNUMBER(SEARCH("SCHNAPP",C2332)),"Liqueurs",
 ISNUMBER(SEARCH("GIN",C2332)),"Gin",
 TRUE,"Other")</f>
        <v>Liqueurs</v>
      </c>
      <c r="E2332" s="5">
        <v>36507</v>
      </c>
      <c r="F2332" s="5">
        <v>873726.52000000479</v>
      </c>
      <c r="G2332" s="5"/>
      <c r="H2332" s="5">
        <v>4634</v>
      </c>
    </row>
    <row r="2333" spans="1:8">
      <c r="A2333" s="5">
        <v>2025</v>
      </c>
      <c r="B2333" s="6">
        <v>45658</v>
      </c>
      <c r="C2333" s="5" t="s">
        <v>30</v>
      </c>
      <c r="D2333" s="3" t="str" cm="1">
        <f t="array" ref="D2333">_xlfn.IFS(
 ISNUMBER(SEARCH("WHISK",C2333)),"Whiskey",
 ISNUMBER(SEARCH("BOURBON",C2333)),"Whiskey",
 ISNUMBER(SEARCH("SCOTCH",C2333)),"Whiskey",
 ISNUMBER(SEARCH("RYE",C2333)),"Whiskey",
 ISNUMBER(SEARCH("VODKA",C2333)),"Vodka",
 ISNUMBER(SEARCH("TEQUILA",C2333)),"Tequila/Mezcal",
 ISNUMBER(SEARCH("MEZCAL",C2333)),"Tequila/Mezcal",
 ISNUMBER(SEARCH("RUM",C2333)),"Rum",
 ISNUMBER(SEARCH("BRAND",C2333)),"Brandy",
 ISNUMBER(SEARCH("COGNAC",C2333)),"Brandy",
 ISNUMBER(SEARCH("LIQUEUR",C2333)),"Liqueurs",
 ISNUMBER(SEARCH("CORDIAL",C2333)),"Liqueurs",
 ISNUMBER(SEARCH("SCHNAPP",C2333)),"Liqueurs",
 ISNUMBER(SEARCH("GIN",C2333)),"Gin",
 TRUE,"Other")</f>
        <v>Vodka</v>
      </c>
      <c r="E2333" s="5">
        <v>15676</v>
      </c>
      <c r="F2333" s="5">
        <v>265197.27000000229</v>
      </c>
      <c r="G2333" s="5"/>
      <c r="H2333" s="5">
        <v>1979</v>
      </c>
    </row>
    <row r="2334" spans="1:8">
      <c r="A2334" s="5">
        <v>2025</v>
      </c>
      <c r="B2334" s="6">
        <v>45658</v>
      </c>
      <c r="C2334" s="5" t="s">
        <v>31</v>
      </c>
      <c r="D2334" s="3" t="str" cm="1">
        <f t="array" ref="D2334">_xlfn.IFS(
 ISNUMBER(SEARCH("WHISK",C2334)),"Whiskey",
 ISNUMBER(SEARCH("BOURBON",C2334)),"Whiskey",
 ISNUMBER(SEARCH("SCOTCH",C2334)),"Whiskey",
 ISNUMBER(SEARCH("RYE",C2334)),"Whiskey",
 ISNUMBER(SEARCH("VODKA",C2334)),"Vodka",
 ISNUMBER(SEARCH("TEQUILA",C2334)),"Tequila/Mezcal",
 ISNUMBER(SEARCH("MEZCAL",C2334)),"Tequila/Mezcal",
 ISNUMBER(SEARCH("RUM",C2334)),"Rum",
 ISNUMBER(SEARCH("BRAND",C2334)),"Brandy",
 ISNUMBER(SEARCH("COGNAC",C2334)),"Brandy",
 ISNUMBER(SEARCH("LIQUEUR",C2334)),"Liqueurs",
 ISNUMBER(SEARCH("CORDIAL",C2334)),"Liqueurs",
 ISNUMBER(SEARCH("SCHNAPP",C2334)),"Liqueurs",
 ISNUMBER(SEARCH("GIN",C2334)),"Gin",
 TRUE,"Other")</f>
        <v>Liqueurs</v>
      </c>
      <c r="E2334" s="5">
        <v>27597</v>
      </c>
      <c r="F2334" s="5">
        <v>488631.28000000108</v>
      </c>
      <c r="G2334" s="5"/>
      <c r="H2334" s="5">
        <v>2536</v>
      </c>
    </row>
    <row r="2335" spans="1:8">
      <c r="A2335" s="5">
        <v>2025</v>
      </c>
      <c r="B2335" s="6">
        <v>45658</v>
      </c>
      <c r="C2335" s="5" t="s">
        <v>32</v>
      </c>
      <c r="D2335" s="3" t="str" cm="1">
        <f t="array" ref="D2335">_xlfn.IFS(
 ISNUMBER(SEARCH("WHISK",C2335)),"Whiskey",
 ISNUMBER(SEARCH("BOURBON",C2335)),"Whiskey",
 ISNUMBER(SEARCH("SCOTCH",C2335)),"Whiskey",
 ISNUMBER(SEARCH("RYE",C2335)),"Whiskey",
 ISNUMBER(SEARCH("VODKA",C2335)),"Vodka",
 ISNUMBER(SEARCH("TEQUILA",C2335)),"Tequila/Mezcal",
 ISNUMBER(SEARCH("MEZCAL",C2335)),"Tequila/Mezcal",
 ISNUMBER(SEARCH("RUM",C2335)),"Rum",
 ISNUMBER(SEARCH("BRAND",C2335)),"Brandy",
 ISNUMBER(SEARCH("COGNAC",C2335)),"Brandy",
 ISNUMBER(SEARCH("LIQUEUR",C2335)),"Liqueurs",
 ISNUMBER(SEARCH("CORDIAL",C2335)),"Liqueurs",
 ISNUMBER(SEARCH("SCHNAPP",C2335)),"Liqueurs",
 ISNUMBER(SEARCH("GIN",C2335)),"Gin",
 TRUE,"Other")</f>
        <v>Vodka</v>
      </c>
      <c r="E2335" s="5">
        <v>48452</v>
      </c>
      <c r="F2335" s="5">
        <v>776430.71999998926</v>
      </c>
      <c r="G2335" s="5"/>
      <c r="H2335" s="5">
        <v>4327</v>
      </c>
    </row>
    <row r="2336" spans="1:8">
      <c r="A2336" s="5">
        <v>2025</v>
      </c>
      <c r="B2336" s="6">
        <v>45658</v>
      </c>
      <c r="C2336" s="5" t="s">
        <v>33</v>
      </c>
      <c r="D2336" s="3" t="str" cm="1">
        <f t="array" ref="D2336">_xlfn.IFS(
 ISNUMBER(SEARCH("WHISK",C2336)),"Whiskey",
 ISNUMBER(SEARCH("BOURBON",C2336)),"Whiskey",
 ISNUMBER(SEARCH("SCOTCH",C2336)),"Whiskey",
 ISNUMBER(SEARCH("RYE",C2336)),"Whiskey",
 ISNUMBER(SEARCH("VODKA",C2336)),"Vodka",
 ISNUMBER(SEARCH("TEQUILA",C2336)),"Tequila/Mezcal",
 ISNUMBER(SEARCH("MEZCAL",C2336)),"Tequila/Mezcal",
 ISNUMBER(SEARCH("RUM",C2336)),"Rum",
 ISNUMBER(SEARCH("BRAND",C2336)),"Brandy",
 ISNUMBER(SEARCH("COGNAC",C2336)),"Brandy",
 ISNUMBER(SEARCH("LIQUEUR",C2336)),"Liqueurs",
 ISNUMBER(SEARCH("CORDIAL",C2336)),"Liqueurs",
 ISNUMBER(SEARCH("SCHNAPP",C2336)),"Liqueurs",
 ISNUMBER(SEARCH("GIN",C2336)),"Gin",
 TRUE,"Other")</f>
        <v>Whiskey</v>
      </c>
      <c r="E2336" s="5">
        <v>26794</v>
      </c>
      <c r="F2336" s="5">
        <v>741979.63999999338</v>
      </c>
      <c r="G2336" s="5"/>
      <c r="H2336" s="5">
        <v>2445</v>
      </c>
    </row>
    <row r="2337" spans="1:8">
      <c r="A2337" s="5">
        <v>2025</v>
      </c>
      <c r="B2337" s="6">
        <v>45658</v>
      </c>
      <c r="C2337" s="5" t="s">
        <v>35</v>
      </c>
      <c r="D2337" s="3" t="str" cm="1">
        <f t="array" ref="D2337">_xlfn.IFS(
 ISNUMBER(SEARCH("WHISK",C2337)),"Whiskey",
 ISNUMBER(SEARCH("BOURBON",C2337)),"Whiskey",
 ISNUMBER(SEARCH("SCOTCH",C2337)),"Whiskey",
 ISNUMBER(SEARCH("RYE",C2337)),"Whiskey",
 ISNUMBER(SEARCH("VODKA",C2337)),"Vodka",
 ISNUMBER(SEARCH("TEQUILA",C2337)),"Tequila/Mezcal",
 ISNUMBER(SEARCH("MEZCAL",C2337)),"Tequila/Mezcal",
 ISNUMBER(SEARCH("RUM",C2337)),"Rum",
 ISNUMBER(SEARCH("BRAND",C2337)),"Brandy",
 ISNUMBER(SEARCH("COGNAC",C2337)),"Brandy",
 ISNUMBER(SEARCH("LIQUEUR",C2337)),"Liqueurs",
 ISNUMBER(SEARCH("CORDIAL",C2337)),"Liqueurs",
 ISNUMBER(SEARCH("SCHNAPP",C2337)),"Liqueurs",
 ISNUMBER(SEARCH("GIN",C2337)),"Gin",
 TRUE,"Other")</f>
        <v>Tequila/Mezcal</v>
      </c>
      <c r="E2337" s="5">
        <v>57101</v>
      </c>
      <c r="F2337" s="5">
        <v>793701.90999999596</v>
      </c>
      <c r="G2337" s="5"/>
      <c r="H2337" s="5">
        <v>4173</v>
      </c>
    </row>
    <row r="2338" spans="1:8">
      <c r="A2338" s="5">
        <v>2025</v>
      </c>
      <c r="B2338" s="6">
        <v>45658</v>
      </c>
      <c r="C2338" s="5" t="s">
        <v>37</v>
      </c>
      <c r="D2338" s="3" t="str" cm="1">
        <f t="array" ref="D2338">_xlfn.IFS(
 ISNUMBER(SEARCH("WHISK",C2338)),"Whiskey",
 ISNUMBER(SEARCH("BOURBON",C2338)),"Whiskey",
 ISNUMBER(SEARCH("SCOTCH",C2338)),"Whiskey",
 ISNUMBER(SEARCH("RYE",C2338)),"Whiskey",
 ISNUMBER(SEARCH("VODKA",C2338)),"Vodka",
 ISNUMBER(SEARCH("TEQUILA",C2338)),"Tequila/Mezcal",
 ISNUMBER(SEARCH("MEZCAL",C2338)),"Tequila/Mezcal",
 ISNUMBER(SEARCH("RUM",C2338)),"Rum",
 ISNUMBER(SEARCH("BRAND",C2338)),"Brandy",
 ISNUMBER(SEARCH("COGNAC",C2338)),"Brandy",
 ISNUMBER(SEARCH("LIQUEUR",C2338)),"Liqueurs",
 ISNUMBER(SEARCH("CORDIAL",C2338)),"Liqueurs",
 ISNUMBER(SEARCH("SCHNAPP",C2338)),"Liqueurs",
 ISNUMBER(SEARCH("GIN",C2338)),"Gin",
 TRUE,"Other")</f>
        <v>Other</v>
      </c>
      <c r="E2338" s="5">
        <v>13789</v>
      </c>
      <c r="F2338" s="5">
        <v>227747.88000000286</v>
      </c>
      <c r="G2338" s="5"/>
      <c r="H2338" s="5">
        <v>2878</v>
      </c>
    </row>
    <row r="2339" spans="1:8">
      <c r="A2339" s="5">
        <v>2025</v>
      </c>
      <c r="B2339" s="6">
        <v>45658</v>
      </c>
      <c r="C2339" s="5" t="s">
        <v>42</v>
      </c>
      <c r="D2339" s="3" t="str" cm="1">
        <f t="array" ref="D2339">_xlfn.IFS(
 ISNUMBER(SEARCH("WHISK",C2339)),"Whiskey",
 ISNUMBER(SEARCH("BOURBON",C2339)),"Whiskey",
 ISNUMBER(SEARCH("SCOTCH",C2339)),"Whiskey",
 ISNUMBER(SEARCH("RYE",C2339)),"Whiskey",
 ISNUMBER(SEARCH("VODKA",C2339)),"Vodka",
 ISNUMBER(SEARCH("TEQUILA",C2339)),"Tequila/Mezcal",
 ISNUMBER(SEARCH("MEZCAL",C2339)),"Tequila/Mezcal",
 ISNUMBER(SEARCH("RUM",C2339)),"Rum",
 ISNUMBER(SEARCH("BRAND",C2339)),"Brandy",
 ISNUMBER(SEARCH("COGNAC",C2339)),"Brandy",
 ISNUMBER(SEARCH("LIQUEUR",C2339)),"Liqueurs",
 ISNUMBER(SEARCH("CORDIAL",C2339)),"Liqueurs",
 ISNUMBER(SEARCH("SCHNAPP",C2339)),"Liqueurs",
 ISNUMBER(SEARCH("GIN",C2339)),"Gin",
 TRUE,"Other")</f>
        <v>Rum</v>
      </c>
      <c r="E2339" s="5">
        <v>98235</v>
      </c>
      <c r="F2339" s="5">
        <v>1475311.0399999069</v>
      </c>
      <c r="G2339" s="5"/>
      <c r="H2339" s="5">
        <v>7299</v>
      </c>
    </row>
    <row r="2340" spans="1:8">
      <c r="A2340" s="5">
        <v>2025</v>
      </c>
      <c r="B2340" s="6">
        <v>45658</v>
      </c>
      <c r="C2340" s="5" t="s">
        <v>43</v>
      </c>
      <c r="D2340" s="3" t="str" cm="1">
        <f t="array" ref="D2340">_xlfn.IFS(
 ISNUMBER(SEARCH("WHISK",C2340)),"Whiskey",
 ISNUMBER(SEARCH("BOURBON",C2340)),"Whiskey",
 ISNUMBER(SEARCH("SCOTCH",C2340)),"Whiskey",
 ISNUMBER(SEARCH("RYE",C2340)),"Whiskey",
 ISNUMBER(SEARCH("VODKA",C2340)),"Vodka",
 ISNUMBER(SEARCH("TEQUILA",C2340)),"Tequila/Mezcal",
 ISNUMBER(SEARCH("MEZCAL",C2340)),"Tequila/Mezcal",
 ISNUMBER(SEARCH("RUM",C2340)),"Rum",
 ISNUMBER(SEARCH("BRAND",C2340)),"Brandy",
 ISNUMBER(SEARCH("COGNAC",C2340)),"Brandy",
 ISNUMBER(SEARCH("LIQUEUR",C2340)),"Liqueurs",
 ISNUMBER(SEARCH("CORDIAL",C2340)),"Liqueurs",
 ISNUMBER(SEARCH("SCHNAPP",C2340)),"Liqueurs",
 ISNUMBER(SEARCH("GIN",C2340)),"Gin",
 TRUE,"Other")</f>
        <v>Whiskey</v>
      </c>
      <c r="E2340" s="5">
        <v>135267</v>
      </c>
      <c r="F2340" s="5">
        <v>3047827.9700000333</v>
      </c>
      <c r="G2340" s="5"/>
      <c r="H2340" s="5">
        <v>16737</v>
      </c>
    </row>
    <row r="2341" spans="1:8">
      <c r="A2341" s="5">
        <v>2025</v>
      </c>
      <c r="B2341" s="6">
        <v>45658</v>
      </c>
      <c r="C2341" s="5" t="s">
        <v>44</v>
      </c>
      <c r="D2341" s="3" t="str" cm="1">
        <f t="array" ref="D2341">_xlfn.IFS(
 ISNUMBER(SEARCH("WHISK",C2341)),"Whiskey",
 ISNUMBER(SEARCH("BOURBON",C2341)),"Whiskey",
 ISNUMBER(SEARCH("SCOTCH",C2341)),"Whiskey",
 ISNUMBER(SEARCH("RYE",C2341)),"Whiskey",
 ISNUMBER(SEARCH("VODKA",C2341)),"Vodka",
 ISNUMBER(SEARCH("TEQUILA",C2341)),"Tequila/Mezcal",
 ISNUMBER(SEARCH("MEZCAL",C2341)),"Tequila/Mezcal",
 ISNUMBER(SEARCH("RUM",C2341)),"Rum",
 ISNUMBER(SEARCH("BRAND",C2341)),"Brandy",
 ISNUMBER(SEARCH("COGNAC",C2341)),"Brandy",
 ISNUMBER(SEARCH("LIQUEUR",C2341)),"Liqueurs",
 ISNUMBER(SEARCH("CORDIAL",C2341)),"Liqueurs",
 ISNUMBER(SEARCH("SCHNAPP",C2341)),"Liqueurs",
 ISNUMBER(SEARCH("GIN",C2341)),"Gin",
 TRUE,"Other")</f>
        <v>Whiskey</v>
      </c>
      <c r="E2341" s="5">
        <v>8016</v>
      </c>
      <c r="F2341" s="5">
        <v>258577.7400000011</v>
      </c>
      <c r="G2341" s="5"/>
      <c r="H2341" s="5">
        <v>1562</v>
      </c>
    </row>
    <row r="2342" spans="1:8">
      <c r="A2342" s="5">
        <v>2025</v>
      </c>
      <c r="B2342" s="6">
        <v>45658</v>
      </c>
      <c r="C2342" s="5" t="s">
        <v>46</v>
      </c>
      <c r="D2342" s="3" t="str" cm="1">
        <f t="array" ref="D2342">_xlfn.IFS(
 ISNUMBER(SEARCH("WHISK",C2342)),"Whiskey",
 ISNUMBER(SEARCH("BOURBON",C2342)),"Whiskey",
 ISNUMBER(SEARCH("SCOTCH",C2342)),"Whiskey",
 ISNUMBER(SEARCH("RYE",C2342)),"Whiskey",
 ISNUMBER(SEARCH("VODKA",C2342)),"Vodka",
 ISNUMBER(SEARCH("TEQUILA",C2342)),"Tequila/Mezcal",
 ISNUMBER(SEARCH("MEZCAL",C2342)),"Tequila/Mezcal",
 ISNUMBER(SEARCH("RUM",C2342)),"Rum",
 ISNUMBER(SEARCH("BRAND",C2342)),"Brandy",
 ISNUMBER(SEARCH("COGNAC",C2342)),"Brandy",
 ISNUMBER(SEARCH("LIQUEUR",C2342)),"Liqueurs",
 ISNUMBER(SEARCH("CORDIAL",C2342)),"Liqueurs",
 ISNUMBER(SEARCH("SCHNAPP",C2342)),"Liqueurs",
 ISNUMBER(SEARCH("GIN",C2342)),"Gin",
 TRUE,"Other")</f>
        <v>Whiskey</v>
      </c>
      <c r="E2342" s="5">
        <v>47802</v>
      </c>
      <c r="F2342" s="5">
        <v>1015284.9499999937</v>
      </c>
      <c r="G2342" s="5"/>
      <c r="H2342" s="5">
        <v>5809</v>
      </c>
    </row>
    <row r="2343" spans="1:8">
      <c r="A2343" s="5">
        <v>2025</v>
      </c>
      <c r="B2343" s="6">
        <v>45658</v>
      </c>
      <c r="C2343" s="5" t="s">
        <v>48</v>
      </c>
      <c r="D2343" s="3" t="str" cm="1">
        <f t="array" ref="D2343">_xlfn.IFS(
 ISNUMBER(SEARCH("WHISK",C2343)),"Whiskey",
 ISNUMBER(SEARCH("BOURBON",C2343)),"Whiskey",
 ISNUMBER(SEARCH("SCOTCH",C2343)),"Whiskey",
 ISNUMBER(SEARCH("RYE",C2343)),"Whiskey",
 ISNUMBER(SEARCH("VODKA",C2343)),"Vodka",
 ISNUMBER(SEARCH("TEQUILA",C2343)),"Tequila/Mezcal",
 ISNUMBER(SEARCH("MEZCAL",C2343)),"Tequila/Mezcal",
 ISNUMBER(SEARCH("RUM",C2343)),"Rum",
 ISNUMBER(SEARCH("BRAND",C2343)),"Brandy",
 ISNUMBER(SEARCH("COGNAC",C2343)),"Brandy",
 ISNUMBER(SEARCH("LIQUEUR",C2343)),"Liqueurs",
 ISNUMBER(SEARCH("CORDIAL",C2343)),"Liqueurs",
 ISNUMBER(SEARCH("SCHNAPP",C2343)),"Liqueurs",
 ISNUMBER(SEARCH("GIN",C2343)),"Gin",
 TRUE,"Other")</f>
        <v>Whiskey</v>
      </c>
      <c r="E2343" s="5">
        <v>373817</v>
      </c>
      <c r="F2343" s="5">
        <v>2172964.3399999724</v>
      </c>
      <c r="G2343" s="5"/>
      <c r="H2343" s="5">
        <v>14239</v>
      </c>
    </row>
    <row r="2344" spans="1:8">
      <c r="A2344" s="5">
        <v>2025</v>
      </c>
      <c r="B2344" s="6">
        <v>45658</v>
      </c>
      <c r="C2344" s="5" t="s">
        <v>49</v>
      </c>
      <c r="D2344" s="3" t="str" cm="1">
        <f t="array" ref="D2344">_xlfn.IFS(
 ISNUMBER(SEARCH("WHISK",C2344)),"Whiskey",
 ISNUMBER(SEARCH("BOURBON",C2344)),"Whiskey",
 ISNUMBER(SEARCH("SCOTCH",C2344)),"Whiskey",
 ISNUMBER(SEARCH("RYE",C2344)),"Whiskey",
 ISNUMBER(SEARCH("VODKA",C2344)),"Vodka",
 ISNUMBER(SEARCH("TEQUILA",C2344)),"Tequila/Mezcal",
 ISNUMBER(SEARCH("MEZCAL",C2344)),"Tequila/Mezcal",
 ISNUMBER(SEARCH("RUM",C2344)),"Rum",
 ISNUMBER(SEARCH("BRAND",C2344)),"Brandy",
 ISNUMBER(SEARCH("COGNAC",C2344)),"Brandy",
 ISNUMBER(SEARCH("LIQUEUR",C2344)),"Liqueurs",
 ISNUMBER(SEARCH("CORDIAL",C2344)),"Liqueurs",
 ISNUMBER(SEARCH("SCHNAPP",C2344)),"Liqueurs",
 ISNUMBER(SEARCH("GIN",C2344)),"Gin",
 TRUE,"Other")</f>
        <v>Rum</v>
      </c>
      <c r="E2344" s="5">
        <v>32412</v>
      </c>
      <c r="F2344" s="5">
        <v>391053.01999999915</v>
      </c>
      <c r="G2344" s="5"/>
      <c r="H2344" s="5">
        <v>3035</v>
      </c>
    </row>
    <row r="2345" spans="1:8">
      <c r="A2345" s="5">
        <v>2025</v>
      </c>
      <c r="B2345" s="6">
        <v>45658</v>
      </c>
      <c r="C2345" s="5" t="s">
        <v>8</v>
      </c>
      <c r="D2345" s="3" t="str" cm="1">
        <f t="array" ref="D2345">_xlfn.IFS(
 ISNUMBER(SEARCH("WHISK",C2345)),"Whiskey",
 ISNUMBER(SEARCH("BOURBON",C2345)),"Whiskey",
 ISNUMBER(SEARCH("SCOTCH",C2345)),"Whiskey",
 ISNUMBER(SEARCH("RYE",C2345)),"Whiskey",
 ISNUMBER(SEARCH("VODKA",C2345)),"Vodka",
 ISNUMBER(SEARCH("TEQUILA",C2345)),"Tequila/Mezcal",
 ISNUMBER(SEARCH("MEZCAL",C2345)),"Tequila/Mezcal",
 ISNUMBER(SEARCH("RUM",C2345)),"Rum",
 ISNUMBER(SEARCH("BRAND",C2345)),"Brandy",
 ISNUMBER(SEARCH("COGNAC",C2345)),"Brandy",
 ISNUMBER(SEARCH("LIQUEUR",C2345)),"Liqueurs",
 ISNUMBER(SEARCH("CORDIAL",C2345)),"Liqueurs",
 ISNUMBER(SEARCH("SCHNAPP",C2345)),"Liqueurs",
 ISNUMBER(SEARCH("GIN",C2345)),"Gin",
 TRUE,"Other")</f>
        <v>Brandy</v>
      </c>
      <c r="E2345" s="5">
        <v>55851</v>
      </c>
      <c r="F2345" s="5">
        <v>372434.56000000157</v>
      </c>
      <c r="G2345" s="5"/>
      <c r="H2345" s="5">
        <v>4730</v>
      </c>
    </row>
    <row r="2346" spans="1:8">
      <c r="A2346" s="5">
        <v>2025</v>
      </c>
      <c r="B2346" s="6">
        <v>45658</v>
      </c>
      <c r="C2346" s="5" t="s">
        <v>7</v>
      </c>
      <c r="D2346" s="3" t="str" cm="1">
        <f t="array" ref="D2346">_xlfn.IFS(
 ISNUMBER(SEARCH("WHISK",C2346)),"Whiskey",
 ISNUMBER(SEARCH("BOURBON",C2346)),"Whiskey",
 ISNUMBER(SEARCH("SCOTCH",C2346)),"Whiskey",
 ISNUMBER(SEARCH("RYE",C2346)),"Whiskey",
 ISNUMBER(SEARCH("VODKA",C2346)),"Vodka",
 ISNUMBER(SEARCH("TEQUILA",C2346)),"Tequila/Mezcal",
 ISNUMBER(SEARCH("MEZCAL",C2346)),"Tequila/Mezcal",
 ISNUMBER(SEARCH("RUM",C2346)),"Rum",
 ISNUMBER(SEARCH("BRAND",C2346)),"Brandy",
 ISNUMBER(SEARCH("COGNAC",C2346)),"Brandy",
 ISNUMBER(SEARCH("LIQUEUR",C2346)),"Liqueurs",
 ISNUMBER(SEARCH("CORDIAL",C2346)),"Liqueurs",
 ISNUMBER(SEARCH("SCHNAPP",C2346)),"Liqueurs",
 ISNUMBER(SEARCH("GIN",C2346)),"Gin",
 TRUE,"Other")</f>
        <v>Rum</v>
      </c>
      <c r="E2346" s="5">
        <v>2837</v>
      </c>
      <c r="F2346" s="5">
        <v>62807.930000000029</v>
      </c>
      <c r="G2346" s="5"/>
      <c r="H2346" s="5">
        <v>551</v>
      </c>
    </row>
    <row r="2347" spans="1:8">
      <c r="A2347" s="5">
        <v>2025</v>
      </c>
      <c r="B2347" s="6">
        <v>45658</v>
      </c>
      <c r="C2347" s="5" t="s">
        <v>23</v>
      </c>
      <c r="D2347" s="3" t="str" cm="1">
        <f t="array" ref="D2347">_xlfn.IFS(
 ISNUMBER(SEARCH("WHISK",C2347)),"Whiskey",
 ISNUMBER(SEARCH("BOURBON",C2347)),"Whiskey",
 ISNUMBER(SEARCH("SCOTCH",C2347)),"Whiskey",
 ISNUMBER(SEARCH("RYE",C2347)),"Whiskey",
 ISNUMBER(SEARCH("VODKA",C2347)),"Vodka",
 ISNUMBER(SEARCH("TEQUILA",C2347)),"Tequila/Mezcal",
 ISNUMBER(SEARCH("MEZCAL",C2347)),"Tequila/Mezcal",
 ISNUMBER(SEARCH("RUM",C2347)),"Rum",
 ISNUMBER(SEARCH("BRAND",C2347)),"Brandy",
 ISNUMBER(SEARCH("COGNAC",C2347)),"Brandy",
 ISNUMBER(SEARCH("LIQUEUR",C2347)),"Liqueurs",
 ISNUMBER(SEARCH("CORDIAL",C2347)),"Liqueurs",
 ISNUMBER(SEARCH("SCHNAPP",C2347)),"Liqueurs",
 ISNUMBER(SEARCH("GIN",C2347)),"Gin",
 TRUE,"Other")</f>
        <v>Gin</v>
      </c>
      <c r="E2347" s="5">
        <v>2717</v>
      </c>
      <c r="F2347" s="5">
        <v>68884.070000000007</v>
      </c>
      <c r="G2347" s="5"/>
      <c r="H2347" s="5">
        <v>388</v>
      </c>
    </row>
    <row r="2348" spans="1:8">
      <c r="A2348" s="5">
        <v>2025</v>
      </c>
      <c r="B2348" s="6">
        <v>45658</v>
      </c>
      <c r="C2348" s="5" t="s">
        <v>26</v>
      </c>
      <c r="D2348" s="3" t="str" cm="1">
        <f t="array" ref="D2348">_xlfn.IFS(
 ISNUMBER(SEARCH("WHISK",C2348)),"Whiskey",
 ISNUMBER(SEARCH("BOURBON",C2348)),"Whiskey",
 ISNUMBER(SEARCH("SCOTCH",C2348)),"Whiskey",
 ISNUMBER(SEARCH("RYE",C2348)),"Whiskey",
 ISNUMBER(SEARCH("VODKA",C2348)),"Vodka",
 ISNUMBER(SEARCH("TEQUILA",C2348)),"Tequila/Mezcal",
 ISNUMBER(SEARCH("MEZCAL",C2348)),"Tequila/Mezcal",
 ISNUMBER(SEARCH("RUM",C2348)),"Rum",
 ISNUMBER(SEARCH("BRAND",C2348)),"Brandy",
 ISNUMBER(SEARCH("COGNAC",C2348)),"Brandy",
 ISNUMBER(SEARCH("LIQUEUR",C2348)),"Liqueurs",
 ISNUMBER(SEARCH("CORDIAL",C2348)),"Liqueurs",
 ISNUMBER(SEARCH("SCHNAPP",C2348)),"Liqueurs",
 ISNUMBER(SEARCH("GIN",C2348)),"Gin",
 TRUE,"Other")</f>
        <v>Brandy</v>
      </c>
      <c r="E2348" s="5">
        <v>23871</v>
      </c>
      <c r="F2348" s="5">
        <v>592377.71000000043</v>
      </c>
      <c r="G2348" s="5"/>
      <c r="H2348" s="5">
        <v>2597</v>
      </c>
    </row>
    <row r="2349" spans="1:8">
      <c r="A2349" s="5">
        <v>2025</v>
      </c>
      <c r="B2349" s="6">
        <v>45658</v>
      </c>
      <c r="C2349" s="5" t="s">
        <v>28</v>
      </c>
      <c r="D2349" s="3" t="str" cm="1">
        <f t="array" ref="D2349">_xlfn.IFS(
 ISNUMBER(SEARCH("WHISK",C2349)),"Whiskey",
 ISNUMBER(SEARCH("BOURBON",C2349)),"Whiskey",
 ISNUMBER(SEARCH("SCOTCH",C2349)),"Whiskey",
 ISNUMBER(SEARCH("RYE",C2349)),"Whiskey",
 ISNUMBER(SEARCH("VODKA",C2349)),"Vodka",
 ISNUMBER(SEARCH("TEQUILA",C2349)),"Tequila/Mezcal",
 ISNUMBER(SEARCH("MEZCAL",C2349)),"Tequila/Mezcal",
 ISNUMBER(SEARCH("RUM",C2349)),"Rum",
 ISNUMBER(SEARCH("BRAND",C2349)),"Brandy",
 ISNUMBER(SEARCH("COGNAC",C2349)),"Brandy",
 ISNUMBER(SEARCH("LIQUEUR",C2349)),"Liqueurs",
 ISNUMBER(SEARCH("CORDIAL",C2349)),"Liqueurs",
 ISNUMBER(SEARCH("SCHNAPP",C2349)),"Liqueurs",
 ISNUMBER(SEARCH("GIN",C2349)),"Gin",
 TRUE,"Other")</f>
        <v>Other</v>
      </c>
      <c r="E2349" s="5">
        <v>32882</v>
      </c>
      <c r="F2349" s="5">
        <v>229537.42000000057</v>
      </c>
      <c r="G2349" s="5"/>
      <c r="H2349" s="5">
        <v>1088</v>
      </c>
    </row>
    <row r="2350" spans="1:8">
      <c r="A2350" s="5">
        <v>2025</v>
      </c>
      <c r="B2350" s="6">
        <v>45658</v>
      </c>
      <c r="C2350" s="5" t="s">
        <v>29</v>
      </c>
      <c r="D2350" s="3" t="str" cm="1">
        <f t="array" ref="D2350">_xlfn.IFS(
 ISNUMBER(SEARCH("WHISK",C2350)),"Whiskey",
 ISNUMBER(SEARCH("BOURBON",C2350)),"Whiskey",
 ISNUMBER(SEARCH("SCOTCH",C2350)),"Whiskey",
 ISNUMBER(SEARCH("RYE",C2350)),"Whiskey",
 ISNUMBER(SEARCH("VODKA",C2350)),"Vodka",
 ISNUMBER(SEARCH("TEQUILA",C2350)),"Tequila/Mezcal",
 ISNUMBER(SEARCH("MEZCAL",C2350)),"Tequila/Mezcal",
 ISNUMBER(SEARCH("RUM",C2350)),"Rum",
 ISNUMBER(SEARCH("BRAND",C2350)),"Brandy",
 ISNUMBER(SEARCH("COGNAC",C2350)),"Brandy",
 ISNUMBER(SEARCH("LIQUEUR",C2350)),"Liqueurs",
 ISNUMBER(SEARCH("CORDIAL",C2350)),"Liqueurs",
 ISNUMBER(SEARCH("SCHNAPP",C2350)),"Liqueurs",
 ISNUMBER(SEARCH("GIN",C2350)),"Gin",
 TRUE,"Other")</f>
        <v>Gin</v>
      </c>
      <c r="E2350" s="5">
        <v>11913</v>
      </c>
      <c r="F2350" s="5">
        <v>304836.96000000072</v>
      </c>
      <c r="G2350" s="5"/>
      <c r="H2350" s="5">
        <v>1576</v>
      </c>
    </row>
    <row r="2351" spans="1:8">
      <c r="A2351" s="5">
        <v>2025</v>
      </c>
      <c r="B2351" s="6">
        <v>45658</v>
      </c>
      <c r="C2351" s="5" t="s">
        <v>36</v>
      </c>
      <c r="D2351" s="3" t="str" cm="1">
        <f t="array" ref="D2351">_xlfn.IFS(
 ISNUMBER(SEARCH("WHISK",C2351)),"Whiskey",
 ISNUMBER(SEARCH("BOURBON",C2351)),"Whiskey",
 ISNUMBER(SEARCH("SCOTCH",C2351)),"Whiskey",
 ISNUMBER(SEARCH("RYE",C2351)),"Whiskey",
 ISNUMBER(SEARCH("VODKA",C2351)),"Vodka",
 ISNUMBER(SEARCH("TEQUILA",C2351)),"Tequila/Mezcal",
 ISNUMBER(SEARCH("MEZCAL",C2351)),"Tequila/Mezcal",
 ISNUMBER(SEARCH("RUM",C2351)),"Rum",
 ISNUMBER(SEARCH("BRAND",C2351)),"Brandy",
 ISNUMBER(SEARCH("COGNAC",C2351)),"Brandy",
 ISNUMBER(SEARCH("LIQUEUR",C2351)),"Liqueurs",
 ISNUMBER(SEARCH("CORDIAL",C2351)),"Liqueurs",
 ISNUMBER(SEARCH("SCHNAPP",C2351)),"Liqueurs",
 ISNUMBER(SEARCH("GIN",C2351)),"Gin",
 TRUE,"Other")</f>
        <v>Other</v>
      </c>
      <c r="E2351" s="5">
        <v>2091</v>
      </c>
      <c r="F2351" s="5">
        <v>30811.900000000005</v>
      </c>
      <c r="G2351" s="5"/>
      <c r="H2351" s="5">
        <v>310</v>
      </c>
    </row>
    <row r="2352" spans="1:8">
      <c r="A2352" s="5">
        <v>2025</v>
      </c>
      <c r="B2352" s="6">
        <v>45658</v>
      </c>
      <c r="C2352" s="5" t="s">
        <v>38</v>
      </c>
      <c r="D2352" s="3" t="str" cm="1">
        <f t="array" ref="D2352">_xlfn.IFS(
 ISNUMBER(SEARCH("WHISK",C2352)),"Whiskey",
 ISNUMBER(SEARCH("BOURBON",C2352)),"Whiskey",
 ISNUMBER(SEARCH("SCOTCH",C2352)),"Whiskey",
 ISNUMBER(SEARCH("RYE",C2352)),"Whiskey",
 ISNUMBER(SEARCH("VODKA",C2352)),"Vodka",
 ISNUMBER(SEARCH("TEQUILA",C2352)),"Tequila/Mezcal",
 ISNUMBER(SEARCH("MEZCAL",C2352)),"Tequila/Mezcal",
 ISNUMBER(SEARCH("RUM",C2352)),"Rum",
 ISNUMBER(SEARCH("BRAND",C2352)),"Brandy",
 ISNUMBER(SEARCH("COGNAC",C2352)),"Brandy",
 ISNUMBER(SEARCH("LIQUEUR",C2352)),"Liqueurs",
 ISNUMBER(SEARCH("CORDIAL",C2352)),"Liqueurs",
 ISNUMBER(SEARCH("SCHNAPP",C2352)),"Liqueurs",
 ISNUMBER(SEARCH("GIN",C2352)),"Gin",
 TRUE,"Other")</f>
        <v>Whiskey</v>
      </c>
      <c r="E2352" s="5">
        <v>13149</v>
      </c>
      <c r="F2352" s="5">
        <v>385804.6299999996</v>
      </c>
      <c r="G2352" s="5"/>
      <c r="H2352" s="5">
        <v>2541</v>
      </c>
    </row>
    <row r="2353" spans="1:8">
      <c r="A2353" s="5">
        <v>2025</v>
      </c>
      <c r="B2353" s="6">
        <v>45658</v>
      </c>
      <c r="C2353" s="5" t="s">
        <v>39</v>
      </c>
      <c r="D2353" s="3" t="str" cm="1">
        <f t="array" ref="D2353">_xlfn.IFS(
 ISNUMBER(SEARCH("WHISK",C2353)),"Whiskey",
 ISNUMBER(SEARCH("BOURBON",C2353)),"Whiskey",
 ISNUMBER(SEARCH("SCOTCH",C2353)),"Whiskey",
 ISNUMBER(SEARCH("RYE",C2353)),"Whiskey",
 ISNUMBER(SEARCH("VODKA",C2353)),"Vodka",
 ISNUMBER(SEARCH("TEQUILA",C2353)),"Tequila/Mezcal",
 ISNUMBER(SEARCH("MEZCAL",C2353)),"Tequila/Mezcal",
 ISNUMBER(SEARCH("RUM",C2353)),"Rum",
 ISNUMBER(SEARCH("BRAND",C2353)),"Brandy",
 ISNUMBER(SEARCH("COGNAC",C2353)),"Brandy",
 ISNUMBER(SEARCH("LIQUEUR",C2353)),"Liqueurs",
 ISNUMBER(SEARCH("CORDIAL",C2353)),"Liqueurs",
 ISNUMBER(SEARCH("SCHNAPP",C2353)),"Liqueurs",
 ISNUMBER(SEARCH("GIN",C2353)),"Gin",
 TRUE,"Other")</f>
        <v>Whiskey</v>
      </c>
      <c r="E2353" s="5">
        <v>2459</v>
      </c>
      <c r="F2353" s="5">
        <v>98656.710000000036</v>
      </c>
      <c r="G2353" s="5"/>
      <c r="H2353" s="5">
        <v>661</v>
      </c>
    </row>
    <row r="2354" spans="1:8">
      <c r="A2354" s="5">
        <v>2025</v>
      </c>
      <c r="B2354" s="6">
        <v>45658</v>
      </c>
      <c r="C2354" s="5" t="s">
        <v>40</v>
      </c>
      <c r="D2354" s="3" t="str" cm="1">
        <f t="array" ref="D2354">_xlfn.IFS(
 ISNUMBER(SEARCH("WHISK",C2354)),"Whiskey",
 ISNUMBER(SEARCH("BOURBON",C2354)),"Whiskey",
 ISNUMBER(SEARCH("SCOTCH",C2354)),"Whiskey",
 ISNUMBER(SEARCH("RYE",C2354)),"Whiskey",
 ISNUMBER(SEARCH("VODKA",C2354)),"Vodka",
 ISNUMBER(SEARCH("TEQUILA",C2354)),"Tequila/Mezcal",
 ISNUMBER(SEARCH("MEZCAL",C2354)),"Tequila/Mezcal",
 ISNUMBER(SEARCH("RUM",C2354)),"Rum",
 ISNUMBER(SEARCH("BRAND",C2354)),"Brandy",
 ISNUMBER(SEARCH("COGNAC",C2354)),"Brandy",
 ISNUMBER(SEARCH("LIQUEUR",C2354)),"Liqueurs",
 ISNUMBER(SEARCH("CORDIAL",C2354)),"Liqueurs",
 ISNUMBER(SEARCH("SCHNAPP",C2354)),"Liqueurs",
 ISNUMBER(SEARCH("GIN",C2354)),"Gin",
 TRUE,"Other")</f>
        <v>Whiskey</v>
      </c>
      <c r="E2354" s="5">
        <v>3942</v>
      </c>
      <c r="F2354" s="5">
        <v>231048.51000000059</v>
      </c>
      <c r="G2354" s="5"/>
      <c r="H2354" s="5">
        <v>953</v>
      </c>
    </row>
    <row r="2355" spans="1:8">
      <c r="A2355" s="5">
        <v>2025</v>
      </c>
      <c r="B2355" s="6">
        <v>45658</v>
      </c>
      <c r="C2355" s="5" t="s">
        <v>45</v>
      </c>
      <c r="D2355" s="3" t="str" cm="1">
        <f t="array" ref="D2355">_xlfn.IFS(
 ISNUMBER(SEARCH("WHISK",C2355)),"Whiskey",
 ISNUMBER(SEARCH("BOURBON",C2355)),"Whiskey",
 ISNUMBER(SEARCH("SCOTCH",C2355)),"Whiskey",
 ISNUMBER(SEARCH("RYE",C2355)),"Whiskey",
 ISNUMBER(SEARCH("VODKA",C2355)),"Vodka",
 ISNUMBER(SEARCH("TEQUILA",C2355)),"Tequila/Mezcal",
 ISNUMBER(SEARCH("MEZCAL",C2355)),"Tequila/Mezcal",
 ISNUMBER(SEARCH("RUM",C2355)),"Rum",
 ISNUMBER(SEARCH("BRAND",C2355)),"Brandy",
 ISNUMBER(SEARCH("COGNAC",C2355)),"Brandy",
 ISNUMBER(SEARCH("LIQUEUR",C2355)),"Liqueurs",
 ISNUMBER(SEARCH("CORDIAL",C2355)),"Liqueurs",
 ISNUMBER(SEARCH("SCHNAPP",C2355)),"Liqueurs",
 ISNUMBER(SEARCH("GIN",C2355)),"Gin",
 TRUE,"Other")</f>
        <v>Other</v>
      </c>
      <c r="E2355" s="5">
        <v>12807</v>
      </c>
      <c r="F2355" s="5">
        <v>501556.28999999835</v>
      </c>
      <c r="G2355" s="5"/>
      <c r="H2355" s="5">
        <v>4227</v>
      </c>
    </row>
    <row r="2356" spans="1:8">
      <c r="A2356" s="5">
        <v>2025</v>
      </c>
      <c r="B2356" s="6">
        <v>45658</v>
      </c>
      <c r="C2356" s="5" t="s">
        <v>47</v>
      </c>
      <c r="D2356" s="3" t="str" cm="1">
        <f t="array" ref="D2356">_xlfn.IFS(
 ISNUMBER(SEARCH("WHISK",C2356)),"Whiskey",
 ISNUMBER(SEARCH("BOURBON",C2356)),"Whiskey",
 ISNUMBER(SEARCH("SCOTCH",C2356)),"Whiskey",
 ISNUMBER(SEARCH("RYE",C2356)),"Whiskey",
 ISNUMBER(SEARCH("VODKA",C2356)),"Vodka",
 ISNUMBER(SEARCH("TEQUILA",C2356)),"Tequila/Mezcal",
 ISNUMBER(SEARCH("MEZCAL",C2356)),"Tequila/Mezcal",
 ISNUMBER(SEARCH("RUM",C2356)),"Rum",
 ISNUMBER(SEARCH("BRAND",C2356)),"Brandy",
 ISNUMBER(SEARCH("COGNAC",C2356)),"Brandy",
 ISNUMBER(SEARCH("LIQUEUR",C2356)),"Liqueurs",
 ISNUMBER(SEARCH("CORDIAL",C2356)),"Liqueurs",
 ISNUMBER(SEARCH("SCHNAPP",C2356)),"Liqueurs",
 ISNUMBER(SEARCH("GIN",C2356)),"Gin",
 TRUE,"Other")</f>
        <v>Other</v>
      </c>
      <c r="E2356" s="5">
        <v>14384</v>
      </c>
      <c r="F2356" s="5">
        <v>59667.490000000027</v>
      </c>
      <c r="G2356" s="5"/>
      <c r="H2356" s="5">
        <v>637</v>
      </c>
    </row>
    <row r="2357" spans="1:8">
      <c r="A2357" s="5">
        <v>2025</v>
      </c>
      <c r="B2357" s="6">
        <v>45658</v>
      </c>
      <c r="C2357" s="5" t="s">
        <v>11</v>
      </c>
      <c r="D2357" s="3" t="str" cm="1">
        <f t="array" ref="D2357">_xlfn.IFS(
 ISNUMBER(SEARCH("WHISK",C2357)),"Whiskey",
 ISNUMBER(SEARCH("BOURBON",C2357)),"Whiskey",
 ISNUMBER(SEARCH("SCOTCH",C2357)),"Whiskey",
 ISNUMBER(SEARCH("RYE",C2357)),"Whiskey",
 ISNUMBER(SEARCH("VODKA",C2357)),"Vodka",
 ISNUMBER(SEARCH("TEQUILA",C2357)),"Tequila/Mezcal",
 ISNUMBER(SEARCH("MEZCAL",C2357)),"Tequila/Mezcal",
 ISNUMBER(SEARCH("RUM",C2357)),"Rum",
 ISNUMBER(SEARCH("BRAND",C2357)),"Brandy",
 ISNUMBER(SEARCH("COGNAC",C2357)),"Brandy",
 ISNUMBER(SEARCH("LIQUEUR",C2357)),"Liqueurs",
 ISNUMBER(SEARCH("CORDIAL",C2357)),"Liqueurs",
 ISNUMBER(SEARCH("SCHNAPP",C2357)),"Liqueurs",
 ISNUMBER(SEARCH("GIN",C2357)),"Gin",
 TRUE,"Other")</f>
        <v>Gin</v>
      </c>
      <c r="E2357" s="5">
        <v>24394</v>
      </c>
      <c r="F2357" s="5">
        <v>240770.32000000108</v>
      </c>
      <c r="G2357" s="5"/>
      <c r="H2357" s="5">
        <v>2280</v>
      </c>
    </row>
    <row r="2358" spans="1:8">
      <c r="A2358" s="5">
        <v>2025</v>
      </c>
      <c r="B2358" s="6">
        <v>45658</v>
      </c>
      <c r="C2358" s="5" t="s">
        <v>17</v>
      </c>
      <c r="D2358" s="3" t="str" cm="1">
        <f t="array" ref="D2358">_xlfn.IFS(
 ISNUMBER(SEARCH("WHISK",C2358)),"Whiskey",
 ISNUMBER(SEARCH("BOURBON",C2358)),"Whiskey",
 ISNUMBER(SEARCH("SCOTCH",C2358)),"Whiskey",
 ISNUMBER(SEARCH("RYE",C2358)),"Whiskey",
 ISNUMBER(SEARCH("VODKA",C2358)),"Vodka",
 ISNUMBER(SEARCH("TEQUILA",C2358)),"Tequila/Mezcal",
 ISNUMBER(SEARCH("MEZCAL",C2358)),"Tequila/Mezcal",
 ISNUMBER(SEARCH("RUM",C2358)),"Rum",
 ISNUMBER(SEARCH("BRAND",C2358)),"Brandy",
 ISNUMBER(SEARCH("COGNAC",C2358)),"Brandy",
 ISNUMBER(SEARCH("LIQUEUR",C2358)),"Liqueurs",
 ISNUMBER(SEARCH("CORDIAL",C2358)),"Liqueurs",
 ISNUMBER(SEARCH("SCHNAPP",C2358)),"Liqueurs",
 ISNUMBER(SEARCH("GIN",C2358)),"Gin",
 TRUE,"Other")</f>
        <v>Whiskey</v>
      </c>
      <c r="E2358" s="5">
        <v>4664</v>
      </c>
      <c r="F2358" s="5">
        <v>124471.88000000006</v>
      </c>
      <c r="G2358" s="5"/>
      <c r="H2358" s="5">
        <v>1064</v>
      </c>
    </row>
    <row r="2359" spans="1:8">
      <c r="A2359" s="5">
        <v>2025</v>
      </c>
      <c r="B2359" s="6">
        <v>45658</v>
      </c>
      <c r="C2359" s="5" t="s">
        <v>25</v>
      </c>
      <c r="D2359" s="3" t="str" cm="1">
        <f t="array" ref="D2359">_xlfn.IFS(
 ISNUMBER(SEARCH("WHISK",C2359)),"Whiskey",
 ISNUMBER(SEARCH("BOURBON",C2359)),"Whiskey",
 ISNUMBER(SEARCH("SCOTCH",C2359)),"Whiskey",
 ISNUMBER(SEARCH("RYE",C2359)),"Whiskey",
 ISNUMBER(SEARCH("VODKA",C2359)),"Vodka",
 ISNUMBER(SEARCH("TEQUILA",C2359)),"Tequila/Mezcal",
 ISNUMBER(SEARCH("MEZCAL",C2359)),"Tequila/Mezcal",
 ISNUMBER(SEARCH("RUM",C2359)),"Rum",
 ISNUMBER(SEARCH("BRAND",C2359)),"Brandy",
 ISNUMBER(SEARCH("COGNAC",C2359)),"Brandy",
 ISNUMBER(SEARCH("LIQUEUR",C2359)),"Liqueurs",
 ISNUMBER(SEARCH("CORDIAL",C2359)),"Liqueurs",
 ISNUMBER(SEARCH("SCHNAPP",C2359)),"Liqueurs",
 ISNUMBER(SEARCH("GIN",C2359)),"Gin",
 TRUE,"Other")</f>
        <v>Rum</v>
      </c>
      <c r="E2359" s="5">
        <v>5530</v>
      </c>
      <c r="F2359" s="5">
        <v>77462.740000000049</v>
      </c>
      <c r="G2359" s="5"/>
      <c r="H2359" s="5">
        <v>827</v>
      </c>
    </row>
    <row r="2360" spans="1:8">
      <c r="A2360" s="5">
        <v>2025</v>
      </c>
      <c r="B2360" s="6">
        <v>45658</v>
      </c>
      <c r="C2360" s="5" t="s">
        <v>34</v>
      </c>
      <c r="D2360" s="3" t="str" cm="1">
        <f t="array" ref="D2360">_xlfn.IFS(
 ISNUMBER(SEARCH("WHISK",C2360)),"Whiskey",
 ISNUMBER(SEARCH("BOURBON",C2360)),"Whiskey",
 ISNUMBER(SEARCH("SCOTCH",C2360)),"Whiskey",
 ISNUMBER(SEARCH("RYE",C2360)),"Whiskey",
 ISNUMBER(SEARCH("VODKA",C2360)),"Vodka",
 ISNUMBER(SEARCH("TEQUILA",C2360)),"Tequila/Mezcal",
 ISNUMBER(SEARCH("MEZCAL",C2360)),"Tequila/Mezcal",
 ISNUMBER(SEARCH("RUM",C2360)),"Rum",
 ISNUMBER(SEARCH("BRAND",C2360)),"Brandy",
 ISNUMBER(SEARCH("COGNAC",C2360)),"Brandy",
 ISNUMBER(SEARCH("LIQUEUR",C2360)),"Liqueurs",
 ISNUMBER(SEARCH("CORDIAL",C2360)),"Liqueurs",
 ISNUMBER(SEARCH("SCHNAPP",C2360)),"Liqueurs",
 ISNUMBER(SEARCH("GIN",C2360)),"Gin",
 TRUE,"Other")</f>
        <v>Tequila/Mezcal</v>
      </c>
      <c r="E2360" s="5">
        <v>999</v>
      </c>
      <c r="F2360" s="5">
        <v>30209.939999999973</v>
      </c>
      <c r="G2360" s="5"/>
      <c r="H2360" s="5">
        <v>203</v>
      </c>
    </row>
    <row r="2361" spans="1:8">
      <c r="A2361" s="5">
        <v>2025</v>
      </c>
      <c r="B2361" s="6">
        <v>45658</v>
      </c>
      <c r="C2361" s="5" t="s">
        <v>21</v>
      </c>
      <c r="D2361" s="3" t="str" cm="1">
        <f t="array" ref="D2361">_xlfn.IFS(
 ISNUMBER(SEARCH("WHISK",C2361)),"Whiskey",
 ISNUMBER(SEARCH("BOURBON",C2361)),"Whiskey",
 ISNUMBER(SEARCH("SCOTCH",C2361)),"Whiskey",
 ISNUMBER(SEARCH("RYE",C2361)),"Whiskey",
 ISNUMBER(SEARCH("VODKA",C2361)),"Vodka",
 ISNUMBER(SEARCH("TEQUILA",C2361)),"Tequila/Mezcal",
 ISNUMBER(SEARCH("MEZCAL",C2361)),"Tequila/Mezcal",
 ISNUMBER(SEARCH("RUM",C2361)),"Rum",
 ISNUMBER(SEARCH("BRAND",C2361)),"Brandy",
 ISNUMBER(SEARCH("COGNAC",C2361)),"Brandy",
 ISNUMBER(SEARCH("LIQUEUR",C2361)),"Liqueurs",
 ISNUMBER(SEARCH("CORDIAL",C2361)),"Liqueurs",
 ISNUMBER(SEARCH("SCHNAPP",C2361)),"Liqueurs",
 ISNUMBER(SEARCH("GIN",C2361)),"Gin",
 TRUE,"Other")</f>
        <v>Whiskey</v>
      </c>
      <c r="E2361" s="5">
        <v>393</v>
      </c>
      <c r="F2361" s="5">
        <v>9211.8900000000012</v>
      </c>
      <c r="G2361" s="5"/>
      <c r="H2361" s="5">
        <v>72</v>
      </c>
    </row>
    <row r="2362" spans="1:8">
      <c r="A2362" s="5">
        <v>2025</v>
      </c>
      <c r="B2362" s="6">
        <v>45658</v>
      </c>
      <c r="C2362" s="5" t="s">
        <v>41</v>
      </c>
      <c r="D2362" s="3" t="str" cm="1">
        <f t="array" ref="D2362">_xlfn.IFS(
 ISNUMBER(SEARCH("WHISK",C2362)),"Whiskey",
 ISNUMBER(SEARCH("BOURBON",C2362)),"Whiskey",
 ISNUMBER(SEARCH("SCOTCH",C2362)),"Whiskey",
 ISNUMBER(SEARCH("RYE",C2362)),"Whiskey",
 ISNUMBER(SEARCH("VODKA",C2362)),"Vodka",
 ISNUMBER(SEARCH("TEQUILA",C2362)),"Tequila/Mezcal",
 ISNUMBER(SEARCH("MEZCAL",C2362)),"Tequila/Mezcal",
 ISNUMBER(SEARCH("RUM",C2362)),"Rum",
 ISNUMBER(SEARCH("BRAND",C2362)),"Brandy",
 ISNUMBER(SEARCH("COGNAC",C2362)),"Brandy",
 ISNUMBER(SEARCH("LIQUEUR",C2362)),"Liqueurs",
 ISNUMBER(SEARCH("CORDIAL",C2362)),"Liqueurs",
 ISNUMBER(SEARCH("SCHNAPP",C2362)),"Liqueurs",
 ISNUMBER(SEARCH("GIN",C2362)),"Gin",
 TRUE,"Other")</f>
        <v>Other</v>
      </c>
      <c r="E2362" s="5">
        <v>4046</v>
      </c>
      <c r="F2362" s="5">
        <v>53383.240000000013</v>
      </c>
      <c r="G2362" s="5"/>
      <c r="H2362" s="5">
        <v>138</v>
      </c>
    </row>
    <row r="2363" spans="1:8">
      <c r="A2363" s="5">
        <v>2025</v>
      </c>
      <c r="B2363" s="6">
        <v>45658</v>
      </c>
      <c r="C2363" s="5" t="s">
        <v>14</v>
      </c>
      <c r="D2363" s="3" t="str" cm="1">
        <f t="array" ref="D2363">_xlfn.IFS(
 ISNUMBER(SEARCH("WHISK",C2363)),"Whiskey",
 ISNUMBER(SEARCH("BOURBON",C2363)),"Whiskey",
 ISNUMBER(SEARCH("SCOTCH",C2363)),"Whiskey",
 ISNUMBER(SEARCH("RYE",C2363)),"Whiskey",
 ISNUMBER(SEARCH("VODKA",C2363)),"Vodka",
 ISNUMBER(SEARCH("TEQUILA",C2363)),"Tequila/Mezcal",
 ISNUMBER(SEARCH("MEZCAL",C2363)),"Tequila/Mezcal",
 ISNUMBER(SEARCH("RUM",C2363)),"Rum",
 ISNUMBER(SEARCH("BRAND",C2363)),"Brandy",
 ISNUMBER(SEARCH("COGNAC",C2363)),"Brandy",
 ISNUMBER(SEARCH("LIQUEUR",C2363)),"Liqueurs",
 ISNUMBER(SEARCH("CORDIAL",C2363)),"Liqueurs",
 ISNUMBER(SEARCH("SCHNAPP",C2363)),"Liqueurs",
 ISNUMBER(SEARCH("GIN",C2363)),"Gin",
 TRUE,"Other")</f>
        <v>Gin</v>
      </c>
      <c r="E2363" s="5">
        <v>229</v>
      </c>
      <c r="F2363" s="5">
        <v>1955.6599999999992</v>
      </c>
      <c r="G2363" s="5"/>
      <c r="H2363" s="5">
        <v>49</v>
      </c>
    </row>
    <row r="2364" spans="1:8">
      <c r="A2364" s="5">
        <v>2025</v>
      </c>
      <c r="B2364" s="6">
        <v>45689</v>
      </c>
      <c r="C2364" s="5" t="s">
        <v>50</v>
      </c>
      <c r="D2364" s="3" t="str" cm="1">
        <f t="array" ref="D2364">_xlfn.IFS(
 ISNUMBER(SEARCH("WHISK",C2364)),"Whiskey",
 ISNUMBER(SEARCH("BOURBON",C2364)),"Whiskey",
 ISNUMBER(SEARCH("SCOTCH",C2364)),"Whiskey",
 ISNUMBER(SEARCH("RYE",C2364)),"Whiskey",
 ISNUMBER(SEARCH("VODKA",C2364)),"Vodka",
 ISNUMBER(SEARCH("TEQUILA",C2364)),"Tequila/Mezcal",
 ISNUMBER(SEARCH("MEZCAL",C2364)),"Tequila/Mezcal",
 ISNUMBER(SEARCH("RUM",C2364)),"Rum",
 ISNUMBER(SEARCH("BRAND",C2364)),"Brandy",
 ISNUMBER(SEARCH("COGNAC",C2364)),"Brandy",
 ISNUMBER(SEARCH("LIQUEUR",C2364)),"Liqueurs",
 ISNUMBER(SEARCH("CORDIAL",C2364)),"Liqueurs",
 ISNUMBER(SEARCH("SCHNAPP",C2364)),"Liqueurs",
 ISNUMBER(SEARCH("GIN",C2364)),"Gin",
 TRUE,"Other")</f>
        <v>Tequila/Mezcal</v>
      </c>
      <c r="E2364" s="5">
        <v>83433</v>
      </c>
      <c r="F2364" s="5">
        <v>2476234.4799999553</v>
      </c>
      <c r="G2364" s="5"/>
      <c r="H2364" s="5">
        <v>9425</v>
      </c>
    </row>
    <row r="2365" spans="1:8">
      <c r="A2365" s="5">
        <v>2025</v>
      </c>
      <c r="B2365" s="6">
        <v>45689</v>
      </c>
      <c r="C2365" s="5" t="s">
        <v>15</v>
      </c>
      <c r="D2365" s="3" t="str" cm="1">
        <f t="array" ref="D2365">_xlfn.IFS(
 ISNUMBER(SEARCH("WHISK",C2365)),"Whiskey",
 ISNUMBER(SEARCH("BOURBON",C2365)),"Whiskey",
 ISNUMBER(SEARCH("SCOTCH",C2365)),"Whiskey",
 ISNUMBER(SEARCH("RYE",C2365)),"Whiskey",
 ISNUMBER(SEARCH("VODKA",C2365)),"Vodka",
 ISNUMBER(SEARCH("TEQUILA",C2365)),"Tequila/Mezcal",
 ISNUMBER(SEARCH("MEZCAL",C2365)),"Tequila/Mezcal",
 ISNUMBER(SEARCH("RUM",C2365)),"Rum",
 ISNUMBER(SEARCH("BRAND",C2365)),"Brandy",
 ISNUMBER(SEARCH("COGNAC",C2365)),"Brandy",
 ISNUMBER(SEARCH("LIQUEUR",C2365)),"Liqueurs",
 ISNUMBER(SEARCH("CORDIAL",C2365)),"Liqueurs",
 ISNUMBER(SEARCH("SCHNAPP",C2365)),"Liqueurs",
 ISNUMBER(SEARCH("GIN",C2365)),"Gin",
 TRUE,"Other")</f>
        <v>Vodka</v>
      </c>
      <c r="E2365" s="5">
        <v>457088</v>
      </c>
      <c r="F2365" s="5">
        <v>4782197.2100001341</v>
      </c>
      <c r="G2365" s="5"/>
      <c r="H2365" s="5">
        <v>28406</v>
      </c>
    </row>
    <row r="2366" spans="1:8">
      <c r="A2366" s="5">
        <v>2025</v>
      </c>
      <c r="B2366" s="6">
        <v>45689</v>
      </c>
      <c r="C2366" s="5" t="s">
        <v>19</v>
      </c>
      <c r="D2366" s="3" t="str" cm="1">
        <f t="array" ref="D2366">_xlfn.IFS(
 ISNUMBER(SEARCH("WHISK",C2366)),"Whiskey",
 ISNUMBER(SEARCH("BOURBON",C2366)),"Whiskey",
 ISNUMBER(SEARCH("SCOTCH",C2366)),"Whiskey",
 ISNUMBER(SEARCH("RYE",C2366)),"Whiskey",
 ISNUMBER(SEARCH("VODKA",C2366)),"Vodka",
 ISNUMBER(SEARCH("TEQUILA",C2366)),"Tequila/Mezcal",
 ISNUMBER(SEARCH("MEZCAL",C2366)),"Tequila/Mezcal",
 ISNUMBER(SEARCH("RUM",C2366)),"Rum",
 ISNUMBER(SEARCH("BRAND",C2366)),"Brandy",
 ISNUMBER(SEARCH("COGNAC",C2366)),"Brandy",
 ISNUMBER(SEARCH("LIQUEUR",C2366)),"Liqueurs",
 ISNUMBER(SEARCH("CORDIAL",C2366)),"Liqueurs",
 ISNUMBER(SEARCH("SCHNAPP",C2366)),"Liqueurs",
 ISNUMBER(SEARCH("GIN",C2366)),"Gin",
 TRUE,"Other")</f>
        <v>Other</v>
      </c>
      <c r="E2366" s="5">
        <v>55320</v>
      </c>
      <c r="F2366" s="5">
        <v>726995.08000000042</v>
      </c>
      <c r="G2366" s="5"/>
      <c r="H2366" s="5">
        <v>5988</v>
      </c>
    </row>
    <row r="2367" spans="1:8">
      <c r="A2367" s="5">
        <v>2025</v>
      </c>
      <c r="B2367" s="6">
        <v>45689</v>
      </c>
      <c r="C2367" s="5" t="s">
        <v>24</v>
      </c>
      <c r="D2367" s="3" t="str" cm="1">
        <f t="array" ref="D2367">_xlfn.IFS(
 ISNUMBER(SEARCH("WHISK",C2367)),"Whiskey",
 ISNUMBER(SEARCH("BOURBON",C2367)),"Whiskey",
 ISNUMBER(SEARCH("SCOTCH",C2367)),"Whiskey",
 ISNUMBER(SEARCH("RYE",C2367)),"Whiskey",
 ISNUMBER(SEARCH("VODKA",C2367)),"Vodka",
 ISNUMBER(SEARCH("TEQUILA",C2367)),"Tequila/Mezcal",
 ISNUMBER(SEARCH("MEZCAL",C2367)),"Tequila/Mezcal",
 ISNUMBER(SEARCH("RUM",C2367)),"Rum",
 ISNUMBER(SEARCH("BRAND",C2367)),"Brandy",
 ISNUMBER(SEARCH("COGNAC",C2367)),"Brandy",
 ISNUMBER(SEARCH("LIQUEUR",C2367)),"Liqueurs",
 ISNUMBER(SEARCH("CORDIAL",C2367)),"Liqueurs",
 ISNUMBER(SEARCH("SCHNAPP",C2367)),"Liqueurs",
 ISNUMBER(SEARCH("GIN",C2367)),"Gin",
 TRUE,"Other")</f>
        <v>Rum</v>
      </c>
      <c r="E2367" s="5">
        <v>27883</v>
      </c>
      <c r="F2367" s="5">
        <v>432857.64000000031</v>
      </c>
      <c r="G2367" s="5"/>
      <c r="H2367" s="5">
        <v>3024</v>
      </c>
    </row>
    <row r="2368" spans="1:8">
      <c r="A2368" s="5">
        <v>2025</v>
      </c>
      <c r="B2368" s="6">
        <v>45689</v>
      </c>
      <c r="C2368" s="5" t="s">
        <v>12</v>
      </c>
      <c r="D2368" s="3" t="str" cm="1">
        <f t="array" ref="D2368">_xlfn.IFS(
 ISNUMBER(SEARCH("WHISK",C2368)),"Whiskey",
 ISNUMBER(SEARCH("BOURBON",C2368)),"Whiskey",
 ISNUMBER(SEARCH("SCOTCH",C2368)),"Whiskey",
 ISNUMBER(SEARCH("RYE",C2368)),"Whiskey",
 ISNUMBER(SEARCH("VODKA",C2368)),"Vodka",
 ISNUMBER(SEARCH("TEQUILA",C2368)),"Tequila/Mezcal",
 ISNUMBER(SEARCH("MEZCAL",C2368)),"Tequila/Mezcal",
 ISNUMBER(SEARCH("RUM",C2368)),"Rum",
 ISNUMBER(SEARCH("BRAND",C2368)),"Brandy",
 ISNUMBER(SEARCH("COGNAC",C2368)),"Brandy",
 ISNUMBER(SEARCH("LIQUEUR",C2368)),"Liqueurs",
 ISNUMBER(SEARCH("CORDIAL",C2368)),"Liqueurs",
 ISNUMBER(SEARCH("SCHNAPP",C2368)),"Liqueurs",
 ISNUMBER(SEARCH("GIN",C2368)),"Gin",
 TRUE,"Other")</f>
        <v>Vodka</v>
      </c>
      <c r="E2368" s="5">
        <v>62286</v>
      </c>
      <c r="F2368" s="5">
        <v>697505.17000001646</v>
      </c>
      <c r="G2368" s="5"/>
      <c r="H2368" s="5">
        <v>7391</v>
      </c>
    </row>
    <row r="2369" spans="1:8">
      <c r="A2369" s="5">
        <v>2025</v>
      </c>
      <c r="B2369" s="6">
        <v>45689</v>
      </c>
      <c r="C2369" s="5" t="s">
        <v>35</v>
      </c>
      <c r="D2369" s="3" t="str" cm="1">
        <f t="array" ref="D2369">_xlfn.IFS(
 ISNUMBER(SEARCH("WHISK",C2369)),"Whiskey",
 ISNUMBER(SEARCH("BOURBON",C2369)),"Whiskey",
 ISNUMBER(SEARCH("SCOTCH",C2369)),"Whiskey",
 ISNUMBER(SEARCH("RYE",C2369)),"Whiskey",
 ISNUMBER(SEARCH("VODKA",C2369)),"Vodka",
 ISNUMBER(SEARCH("TEQUILA",C2369)),"Tequila/Mezcal",
 ISNUMBER(SEARCH("MEZCAL",C2369)),"Tequila/Mezcal",
 ISNUMBER(SEARCH("RUM",C2369)),"Rum",
 ISNUMBER(SEARCH("BRAND",C2369)),"Brandy",
 ISNUMBER(SEARCH("COGNAC",C2369)),"Brandy",
 ISNUMBER(SEARCH("LIQUEUR",C2369)),"Liqueurs",
 ISNUMBER(SEARCH("CORDIAL",C2369)),"Liqueurs",
 ISNUMBER(SEARCH("SCHNAPP",C2369)),"Liqueurs",
 ISNUMBER(SEARCH("GIN",C2369)),"Gin",
 TRUE,"Other")</f>
        <v>Tequila/Mezcal</v>
      </c>
      <c r="E2369" s="5">
        <v>58539</v>
      </c>
      <c r="F2369" s="5">
        <v>827633.89999999327</v>
      </c>
      <c r="G2369" s="5"/>
      <c r="H2369" s="5">
        <v>3819</v>
      </c>
    </row>
    <row r="2370" spans="1:8">
      <c r="A2370" s="5">
        <v>2025</v>
      </c>
      <c r="B2370" s="6">
        <v>45689</v>
      </c>
      <c r="C2370" s="5" t="s">
        <v>43</v>
      </c>
      <c r="D2370" s="3" t="str" cm="1">
        <f t="array" ref="D2370">_xlfn.IFS(
 ISNUMBER(SEARCH("WHISK",C2370)),"Whiskey",
 ISNUMBER(SEARCH("BOURBON",C2370)),"Whiskey",
 ISNUMBER(SEARCH("SCOTCH",C2370)),"Whiskey",
 ISNUMBER(SEARCH("RYE",C2370)),"Whiskey",
 ISNUMBER(SEARCH("VODKA",C2370)),"Vodka",
 ISNUMBER(SEARCH("TEQUILA",C2370)),"Tequila/Mezcal",
 ISNUMBER(SEARCH("MEZCAL",C2370)),"Tequila/Mezcal",
 ISNUMBER(SEARCH("RUM",C2370)),"Rum",
 ISNUMBER(SEARCH("BRAND",C2370)),"Brandy",
 ISNUMBER(SEARCH("COGNAC",C2370)),"Brandy",
 ISNUMBER(SEARCH("LIQUEUR",C2370)),"Liqueurs",
 ISNUMBER(SEARCH("CORDIAL",C2370)),"Liqueurs",
 ISNUMBER(SEARCH("SCHNAPP",C2370)),"Liqueurs",
 ISNUMBER(SEARCH("GIN",C2370)),"Gin",
 TRUE,"Other")</f>
        <v>Whiskey</v>
      </c>
      <c r="E2370" s="5">
        <v>126008</v>
      </c>
      <c r="F2370" s="5">
        <v>2945758.6200000094</v>
      </c>
      <c r="G2370" s="5"/>
      <c r="H2370" s="5">
        <v>14542</v>
      </c>
    </row>
    <row r="2371" spans="1:8">
      <c r="A2371" s="5">
        <v>2025</v>
      </c>
      <c r="B2371" s="6">
        <v>45689</v>
      </c>
      <c r="C2371" s="5" t="s">
        <v>8</v>
      </c>
      <c r="D2371" s="3" t="str" cm="1">
        <f t="array" ref="D2371">_xlfn.IFS(
 ISNUMBER(SEARCH("WHISK",C2371)),"Whiskey",
 ISNUMBER(SEARCH("BOURBON",C2371)),"Whiskey",
 ISNUMBER(SEARCH("SCOTCH",C2371)),"Whiskey",
 ISNUMBER(SEARCH("RYE",C2371)),"Whiskey",
 ISNUMBER(SEARCH("VODKA",C2371)),"Vodka",
 ISNUMBER(SEARCH("TEQUILA",C2371)),"Tequila/Mezcal",
 ISNUMBER(SEARCH("MEZCAL",C2371)),"Tequila/Mezcal",
 ISNUMBER(SEARCH("RUM",C2371)),"Rum",
 ISNUMBER(SEARCH("BRAND",C2371)),"Brandy",
 ISNUMBER(SEARCH("COGNAC",C2371)),"Brandy",
 ISNUMBER(SEARCH("LIQUEUR",C2371)),"Liqueurs",
 ISNUMBER(SEARCH("CORDIAL",C2371)),"Liqueurs",
 ISNUMBER(SEARCH("SCHNAPP",C2371)),"Liqueurs",
 ISNUMBER(SEARCH("GIN",C2371)),"Gin",
 TRUE,"Other")</f>
        <v>Brandy</v>
      </c>
      <c r="E2371" s="5">
        <v>48705</v>
      </c>
      <c r="F2371" s="5">
        <v>316541.76000000176</v>
      </c>
      <c r="G2371" s="5"/>
      <c r="H2371" s="5">
        <v>3915</v>
      </c>
    </row>
    <row r="2372" spans="1:8">
      <c r="A2372" s="5">
        <v>2025</v>
      </c>
      <c r="B2372" s="6">
        <v>45689</v>
      </c>
      <c r="C2372" s="5" t="s">
        <v>59</v>
      </c>
      <c r="D2372" s="3" t="str" cm="1">
        <f t="array" ref="D2372">_xlfn.IFS(
 ISNUMBER(SEARCH("WHISK",C2372)),"Whiskey",
 ISNUMBER(SEARCH("BOURBON",C2372)),"Whiskey",
 ISNUMBER(SEARCH("SCOTCH",C2372)),"Whiskey",
 ISNUMBER(SEARCH("RYE",C2372)),"Whiskey",
 ISNUMBER(SEARCH("VODKA",C2372)),"Vodka",
 ISNUMBER(SEARCH("TEQUILA",C2372)),"Tequila/Mezcal",
 ISNUMBER(SEARCH("MEZCAL",C2372)),"Tequila/Mezcal",
 ISNUMBER(SEARCH("RUM",C2372)),"Rum",
 ISNUMBER(SEARCH("BRAND",C2372)),"Brandy",
 ISNUMBER(SEARCH("COGNAC",C2372)),"Brandy",
 ISNUMBER(SEARCH("LIQUEUR",C2372)),"Liqueurs",
 ISNUMBER(SEARCH("CORDIAL",C2372)),"Liqueurs",
 ISNUMBER(SEARCH("SCHNAPP",C2372)),"Liqueurs",
 ISNUMBER(SEARCH("GIN",C2372)),"Gin",
 TRUE,"Other")</f>
        <v>Liqueurs</v>
      </c>
      <c r="E2372" s="5">
        <v>27614</v>
      </c>
      <c r="F2372" s="5">
        <v>315141.90000000125</v>
      </c>
      <c r="G2372" s="5"/>
      <c r="H2372" s="5">
        <v>4154</v>
      </c>
    </row>
    <row r="2373" spans="1:8">
      <c r="A2373" s="5">
        <v>2025</v>
      </c>
      <c r="B2373" s="6">
        <v>45689</v>
      </c>
      <c r="C2373" s="5" t="s">
        <v>11</v>
      </c>
      <c r="D2373" s="3" t="str" cm="1">
        <f t="array" ref="D2373">_xlfn.IFS(
 ISNUMBER(SEARCH("WHISK",C2373)),"Whiskey",
 ISNUMBER(SEARCH("BOURBON",C2373)),"Whiskey",
 ISNUMBER(SEARCH("SCOTCH",C2373)),"Whiskey",
 ISNUMBER(SEARCH("RYE",C2373)),"Whiskey",
 ISNUMBER(SEARCH("VODKA",C2373)),"Vodka",
 ISNUMBER(SEARCH("TEQUILA",C2373)),"Tequila/Mezcal",
 ISNUMBER(SEARCH("MEZCAL",C2373)),"Tequila/Mezcal",
 ISNUMBER(SEARCH("RUM",C2373)),"Rum",
 ISNUMBER(SEARCH("BRAND",C2373)),"Brandy",
 ISNUMBER(SEARCH("COGNAC",C2373)),"Brandy",
 ISNUMBER(SEARCH("LIQUEUR",C2373)),"Liqueurs",
 ISNUMBER(SEARCH("CORDIAL",C2373)),"Liqueurs",
 ISNUMBER(SEARCH("SCHNAPP",C2373)),"Liqueurs",
 ISNUMBER(SEARCH("GIN",C2373)),"Gin",
 TRUE,"Other")</f>
        <v>Gin</v>
      </c>
      <c r="E2373" s="5">
        <v>22739</v>
      </c>
      <c r="F2373" s="5">
        <v>215503.68000000101</v>
      </c>
      <c r="G2373" s="5"/>
      <c r="H2373" s="5">
        <v>2142</v>
      </c>
    </row>
    <row r="2374" spans="1:8">
      <c r="A2374" s="5">
        <v>2025</v>
      </c>
      <c r="B2374" s="6">
        <v>45689</v>
      </c>
      <c r="C2374" s="5" t="s">
        <v>13</v>
      </c>
      <c r="D2374" s="3" t="str" cm="1">
        <f t="array" ref="D2374">_xlfn.IFS(
 ISNUMBER(SEARCH("WHISK",C2374)),"Whiskey",
 ISNUMBER(SEARCH("BOURBON",C2374)),"Whiskey",
 ISNUMBER(SEARCH("SCOTCH",C2374)),"Whiskey",
 ISNUMBER(SEARCH("RYE",C2374)),"Whiskey",
 ISNUMBER(SEARCH("VODKA",C2374)),"Vodka",
 ISNUMBER(SEARCH("TEQUILA",C2374)),"Tequila/Mezcal",
 ISNUMBER(SEARCH("MEZCAL",C2374)),"Tequila/Mezcal",
 ISNUMBER(SEARCH("RUM",C2374)),"Rum",
 ISNUMBER(SEARCH("BRAND",C2374)),"Brandy",
 ISNUMBER(SEARCH("COGNAC",C2374)),"Brandy",
 ISNUMBER(SEARCH("LIQUEUR",C2374)),"Liqueurs",
 ISNUMBER(SEARCH("CORDIAL",C2374)),"Liqueurs",
 ISNUMBER(SEARCH("SCHNAPP",C2374)),"Liqueurs",
 ISNUMBER(SEARCH("GIN",C2374)),"Gin",
 TRUE,"Other")</f>
        <v>Liqueurs</v>
      </c>
      <c r="E2374" s="5">
        <v>83503</v>
      </c>
      <c r="F2374" s="5">
        <v>577769.86999997392</v>
      </c>
      <c r="G2374" s="5"/>
      <c r="H2374" s="5">
        <v>6643</v>
      </c>
    </row>
    <row r="2375" spans="1:8">
      <c r="A2375" s="5">
        <v>2025</v>
      </c>
      <c r="B2375" s="6">
        <v>45689</v>
      </c>
      <c r="C2375" s="5" t="s">
        <v>16</v>
      </c>
      <c r="D2375" s="3" t="str" cm="1">
        <f t="array" ref="D2375">_xlfn.IFS(
 ISNUMBER(SEARCH("WHISK",C2375)),"Whiskey",
 ISNUMBER(SEARCH("BOURBON",C2375)),"Whiskey",
 ISNUMBER(SEARCH("SCOTCH",C2375)),"Whiskey",
 ISNUMBER(SEARCH("RYE",C2375)),"Whiskey",
 ISNUMBER(SEARCH("VODKA",C2375)),"Vodka",
 ISNUMBER(SEARCH("TEQUILA",C2375)),"Tequila/Mezcal",
 ISNUMBER(SEARCH("MEZCAL",C2375)),"Tequila/Mezcal",
 ISNUMBER(SEARCH("RUM",C2375)),"Rum",
 ISNUMBER(SEARCH("BRAND",C2375)),"Brandy",
 ISNUMBER(SEARCH("COGNAC",C2375)),"Brandy",
 ISNUMBER(SEARCH("LIQUEUR",C2375)),"Liqueurs",
 ISNUMBER(SEARCH("CORDIAL",C2375)),"Liqueurs",
 ISNUMBER(SEARCH("SCHNAPP",C2375)),"Liqueurs",
 ISNUMBER(SEARCH("GIN",C2375)),"Gin",
 TRUE,"Other")</f>
        <v>Whiskey</v>
      </c>
      <c r="E2375" s="5">
        <v>47827</v>
      </c>
      <c r="F2375" s="5">
        <v>634123.91999999492</v>
      </c>
      <c r="G2375" s="5"/>
      <c r="H2375" s="5">
        <v>5542</v>
      </c>
    </row>
    <row r="2376" spans="1:8">
      <c r="A2376" s="5">
        <v>2025</v>
      </c>
      <c r="B2376" s="6">
        <v>45689</v>
      </c>
      <c r="C2376" s="5" t="s">
        <v>18</v>
      </c>
      <c r="D2376" s="3" t="str" cm="1">
        <f t="array" ref="D2376">_xlfn.IFS(
 ISNUMBER(SEARCH("WHISK",C2376)),"Whiskey",
 ISNUMBER(SEARCH("BOURBON",C2376)),"Whiskey",
 ISNUMBER(SEARCH("SCOTCH",C2376)),"Whiskey",
 ISNUMBER(SEARCH("RYE",C2376)),"Whiskey",
 ISNUMBER(SEARCH("VODKA",C2376)),"Vodka",
 ISNUMBER(SEARCH("TEQUILA",C2376)),"Tequila/Mezcal",
 ISNUMBER(SEARCH("MEZCAL",C2376)),"Tequila/Mezcal",
 ISNUMBER(SEARCH("RUM",C2376)),"Rum",
 ISNUMBER(SEARCH("BRAND",C2376)),"Brandy",
 ISNUMBER(SEARCH("COGNAC",C2376)),"Brandy",
 ISNUMBER(SEARCH("LIQUEUR",C2376)),"Liqueurs",
 ISNUMBER(SEARCH("CORDIAL",C2376)),"Liqueurs",
 ISNUMBER(SEARCH("SCHNAPP",C2376)),"Liqueurs",
 ISNUMBER(SEARCH("GIN",C2376)),"Gin",
 TRUE,"Other")</f>
        <v>Whiskey</v>
      </c>
      <c r="E2376" s="5">
        <v>250532</v>
      </c>
      <c r="F2376" s="5">
        <v>4270276.3099998096</v>
      </c>
      <c r="G2376" s="5"/>
      <c r="H2376" s="5">
        <v>17468</v>
      </c>
    </row>
    <row r="2377" spans="1:8">
      <c r="A2377" s="5">
        <v>2025</v>
      </c>
      <c r="B2377" s="6">
        <v>45689</v>
      </c>
      <c r="C2377" s="5" t="s">
        <v>20</v>
      </c>
      <c r="D2377" s="3" t="str" cm="1">
        <f t="array" ref="D2377">_xlfn.IFS(
 ISNUMBER(SEARCH("WHISK",C2377)),"Whiskey",
 ISNUMBER(SEARCH("BOURBON",C2377)),"Whiskey",
 ISNUMBER(SEARCH("SCOTCH",C2377)),"Whiskey",
 ISNUMBER(SEARCH("RYE",C2377)),"Whiskey",
 ISNUMBER(SEARCH("VODKA",C2377)),"Vodka",
 ISNUMBER(SEARCH("TEQUILA",C2377)),"Tequila/Mezcal",
 ISNUMBER(SEARCH("MEZCAL",C2377)),"Tequila/Mezcal",
 ISNUMBER(SEARCH("RUM",C2377)),"Rum",
 ISNUMBER(SEARCH("BRAND",C2377)),"Brandy",
 ISNUMBER(SEARCH("COGNAC",C2377)),"Brandy",
 ISNUMBER(SEARCH("LIQUEUR",C2377)),"Liqueurs",
 ISNUMBER(SEARCH("CORDIAL",C2377)),"Liqueurs",
 ISNUMBER(SEARCH("SCHNAPP",C2377)),"Liqueurs",
 ISNUMBER(SEARCH("GIN",C2377)),"Gin",
 TRUE,"Other")</f>
        <v>Liqueurs</v>
      </c>
      <c r="E2377" s="5">
        <v>9446</v>
      </c>
      <c r="F2377" s="5">
        <v>198377.00000000058</v>
      </c>
      <c r="G2377" s="5"/>
      <c r="H2377" s="5">
        <v>1066</v>
      </c>
    </row>
    <row r="2378" spans="1:8">
      <c r="A2378" s="5">
        <v>2025</v>
      </c>
      <c r="B2378" s="6">
        <v>45689</v>
      </c>
      <c r="C2378" s="5" t="s">
        <v>22</v>
      </c>
      <c r="D2378" s="3" t="str" cm="1">
        <f t="array" ref="D2378">_xlfn.IFS(
 ISNUMBER(SEARCH("WHISK",C2378)),"Whiskey",
 ISNUMBER(SEARCH("BOURBON",C2378)),"Whiskey",
 ISNUMBER(SEARCH("SCOTCH",C2378)),"Whiskey",
 ISNUMBER(SEARCH("RYE",C2378)),"Whiskey",
 ISNUMBER(SEARCH("VODKA",C2378)),"Vodka",
 ISNUMBER(SEARCH("TEQUILA",C2378)),"Tequila/Mezcal",
 ISNUMBER(SEARCH("MEZCAL",C2378)),"Tequila/Mezcal",
 ISNUMBER(SEARCH("RUM",C2378)),"Rum",
 ISNUMBER(SEARCH("BRAND",C2378)),"Brandy",
 ISNUMBER(SEARCH("COGNAC",C2378)),"Brandy",
 ISNUMBER(SEARCH("LIQUEUR",C2378)),"Liqueurs",
 ISNUMBER(SEARCH("CORDIAL",C2378)),"Liqueurs",
 ISNUMBER(SEARCH("SCHNAPP",C2378)),"Liqueurs",
 ISNUMBER(SEARCH("GIN",C2378)),"Gin",
 TRUE,"Other")</f>
        <v>Liqueurs</v>
      </c>
      <c r="E2378" s="5">
        <v>27243</v>
      </c>
      <c r="F2378" s="5">
        <v>561792.83999999508</v>
      </c>
      <c r="G2378" s="5"/>
      <c r="H2378" s="5">
        <v>3054</v>
      </c>
    </row>
    <row r="2379" spans="1:8">
      <c r="A2379" s="5">
        <v>2025</v>
      </c>
      <c r="B2379" s="6">
        <v>45689</v>
      </c>
      <c r="C2379" s="5" t="s">
        <v>25</v>
      </c>
      <c r="D2379" s="3" t="str" cm="1">
        <f t="array" ref="D2379">_xlfn.IFS(
 ISNUMBER(SEARCH("WHISK",C2379)),"Whiskey",
 ISNUMBER(SEARCH("BOURBON",C2379)),"Whiskey",
 ISNUMBER(SEARCH("SCOTCH",C2379)),"Whiskey",
 ISNUMBER(SEARCH("RYE",C2379)),"Whiskey",
 ISNUMBER(SEARCH("VODKA",C2379)),"Vodka",
 ISNUMBER(SEARCH("TEQUILA",C2379)),"Tequila/Mezcal",
 ISNUMBER(SEARCH("MEZCAL",C2379)),"Tequila/Mezcal",
 ISNUMBER(SEARCH("RUM",C2379)),"Rum",
 ISNUMBER(SEARCH("BRAND",C2379)),"Brandy",
 ISNUMBER(SEARCH("COGNAC",C2379)),"Brandy",
 ISNUMBER(SEARCH("LIQUEUR",C2379)),"Liqueurs",
 ISNUMBER(SEARCH("CORDIAL",C2379)),"Liqueurs",
 ISNUMBER(SEARCH("SCHNAPP",C2379)),"Liqueurs",
 ISNUMBER(SEARCH("GIN",C2379)),"Gin",
 TRUE,"Other")</f>
        <v>Rum</v>
      </c>
      <c r="E2379" s="5">
        <v>4867</v>
      </c>
      <c r="F2379" s="5">
        <v>67483.880000000019</v>
      </c>
      <c r="G2379" s="5"/>
      <c r="H2379" s="5">
        <v>723</v>
      </c>
    </row>
    <row r="2380" spans="1:8">
      <c r="A2380" s="5">
        <v>2025</v>
      </c>
      <c r="B2380" s="6">
        <v>45689</v>
      </c>
      <c r="C2380" s="5" t="s">
        <v>26</v>
      </c>
      <c r="D2380" s="3" t="str" cm="1">
        <f t="array" ref="D2380">_xlfn.IFS(
 ISNUMBER(SEARCH("WHISK",C2380)),"Whiskey",
 ISNUMBER(SEARCH("BOURBON",C2380)),"Whiskey",
 ISNUMBER(SEARCH("SCOTCH",C2380)),"Whiskey",
 ISNUMBER(SEARCH("RYE",C2380)),"Whiskey",
 ISNUMBER(SEARCH("VODKA",C2380)),"Vodka",
 ISNUMBER(SEARCH("TEQUILA",C2380)),"Tequila/Mezcal",
 ISNUMBER(SEARCH("MEZCAL",C2380)),"Tequila/Mezcal",
 ISNUMBER(SEARCH("RUM",C2380)),"Rum",
 ISNUMBER(SEARCH("BRAND",C2380)),"Brandy",
 ISNUMBER(SEARCH("COGNAC",C2380)),"Brandy",
 ISNUMBER(SEARCH("LIQUEUR",C2380)),"Liqueurs",
 ISNUMBER(SEARCH("CORDIAL",C2380)),"Liqueurs",
 ISNUMBER(SEARCH("SCHNAPP",C2380)),"Liqueurs",
 ISNUMBER(SEARCH("GIN",C2380)),"Gin",
 TRUE,"Other")</f>
        <v>Brandy</v>
      </c>
      <c r="E2380" s="5">
        <v>25772</v>
      </c>
      <c r="F2380" s="5">
        <v>617283.86000000185</v>
      </c>
      <c r="G2380" s="5"/>
      <c r="H2380" s="5">
        <v>2424</v>
      </c>
    </row>
    <row r="2381" spans="1:8">
      <c r="A2381" s="5">
        <v>2025</v>
      </c>
      <c r="B2381" s="6">
        <v>45689</v>
      </c>
      <c r="C2381" s="5" t="s">
        <v>60</v>
      </c>
      <c r="D2381" s="3" t="str" cm="1">
        <f t="array" ref="D2381">_xlfn.IFS(
 ISNUMBER(SEARCH("WHISK",C2381)),"Whiskey",
 ISNUMBER(SEARCH("BOURBON",C2381)),"Whiskey",
 ISNUMBER(SEARCH("SCOTCH",C2381)),"Whiskey",
 ISNUMBER(SEARCH("RYE",C2381)),"Whiskey",
 ISNUMBER(SEARCH("VODKA",C2381)),"Vodka",
 ISNUMBER(SEARCH("TEQUILA",C2381)),"Tequila/Mezcal",
 ISNUMBER(SEARCH("MEZCAL",C2381)),"Tequila/Mezcal",
 ISNUMBER(SEARCH("RUM",C2381)),"Rum",
 ISNUMBER(SEARCH("BRAND",C2381)),"Brandy",
 ISNUMBER(SEARCH("COGNAC",C2381)),"Brandy",
 ISNUMBER(SEARCH("LIQUEUR",C2381)),"Liqueurs",
 ISNUMBER(SEARCH("CORDIAL",C2381)),"Liqueurs",
 ISNUMBER(SEARCH("SCHNAPP",C2381)),"Liqueurs",
 ISNUMBER(SEARCH("GIN",C2381)),"Gin",
 TRUE,"Other")</f>
        <v>Liqueurs</v>
      </c>
      <c r="E2381" s="5">
        <v>34280</v>
      </c>
      <c r="F2381" s="5">
        <v>818417.24999999988</v>
      </c>
      <c r="G2381" s="5"/>
      <c r="H2381" s="5">
        <v>4047</v>
      </c>
    </row>
    <row r="2382" spans="1:8">
      <c r="A2382" s="5">
        <v>2025</v>
      </c>
      <c r="B2382" s="6">
        <v>45689</v>
      </c>
      <c r="C2382" s="5" t="s">
        <v>28</v>
      </c>
      <c r="D2382" s="3" t="str" cm="1">
        <f t="array" ref="D2382">_xlfn.IFS(
 ISNUMBER(SEARCH("WHISK",C2382)),"Whiskey",
 ISNUMBER(SEARCH("BOURBON",C2382)),"Whiskey",
 ISNUMBER(SEARCH("SCOTCH",C2382)),"Whiskey",
 ISNUMBER(SEARCH("RYE",C2382)),"Whiskey",
 ISNUMBER(SEARCH("VODKA",C2382)),"Vodka",
 ISNUMBER(SEARCH("TEQUILA",C2382)),"Tequila/Mezcal",
 ISNUMBER(SEARCH("MEZCAL",C2382)),"Tequila/Mezcal",
 ISNUMBER(SEARCH("RUM",C2382)),"Rum",
 ISNUMBER(SEARCH("BRAND",C2382)),"Brandy",
 ISNUMBER(SEARCH("COGNAC",C2382)),"Brandy",
 ISNUMBER(SEARCH("LIQUEUR",C2382)),"Liqueurs",
 ISNUMBER(SEARCH("CORDIAL",C2382)),"Liqueurs",
 ISNUMBER(SEARCH("SCHNAPP",C2382)),"Liqueurs",
 ISNUMBER(SEARCH("GIN",C2382)),"Gin",
 TRUE,"Other")</f>
        <v>Other</v>
      </c>
      <c r="E2382" s="5">
        <v>29579</v>
      </c>
      <c r="F2382" s="5">
        <v>207502.96000000078</v>
      </c>
      <c r="G2382" s="5"/>
      <c r="H2382" s="5">
        <v>851</v>
      </c>
    </row>
    <row r="2383" spans="1:8">
      <c r="A2383" s="5">
        <v>2025</v>
      </c>
      <c r="B2383" s="6">
        <v>45689</v>
      </c>
      <c r="C2383" s="5" t="s">
        <v>29</v>
      </c>
      <c r="D2383" s="3" t="str" cm="1">
        <f t="array" ref="D2383">_xlfn.IFS(
 ISNUMBER(SEARCH("WHISK",C2383)),"Whiskey",
 ISNUMBER(SEARCH("BOURBON",C2383)),"Whiskey",
 ISNUMBER(SEARCH("SCOTCH",C2383)),"Whiskey",
 ISNUMBER(SEARCH("RYE",C2383)),"Whiskey",
 ISNUMBER(SEARCH("VODKA",C2383)),"Vodka",
 ISNUMBER(SEARCH("TEQUILA",C2383)),"Tequila/Mezcal",
 ISNUMBER(SEARCH("MEZCAL",C2383)),"Tequila/Mezcal",
 ISNUMBER(SEARCH("RUM",C2383)),"Rum",
 ISNUMBER(SEARCH("BRAND",C2383)),"Brandy",
 ISNUMBER(SEARCH("COGNAC",C2383)),"Brandy",
 ISNUMBER(SEARCH("LIQUEUR",C2383)),"Liqueurs",
 ISNUMBER(SEARCH("CORDIAL",C2383)),"Liqueurs",
 ISNUMBER(SEARCH("SCHNAPP",C2383)),"Liqueurs",
 ISNUMBER(SEARCH("GIN",C2383)),"Gin",
 TRUE,"Other")</f>
        <v>Gin</v>
      </c>
      <c r="E2383" s="5">
        <v>13088</v>
      </c>
      <c r="F2383" s="5">
        <v>348665.63999999972</v>
      </c>
      <c r="G2383" s="5"/>
      <c r="H2383" s="5">
        <v>1504</v>
      </c>
    </row>
    <row r="2384" spans="1:8">
      <c r="A2384" s="5">
        <v>2025</v>
      </c>
      <c r="B2384" s="6">
        <v>45689</v>
      </c>
      <c r="C2384" s="5" t="s">
        <v>30</v>
      </c>
      <c r="D2384" s="3" t="str" cm="1">
        <f t="array" ref="D2384">_xlfn.IFS(
 ISNUMBER(SEARCH("WHISK",C2384)),"Whiskey",
 ISNUMBER(SEARCH("BOURBON",C2384)),"Whiskey",
 ISNUMBER(SEARCH("SCOTCH",C2384)),"Whiskey",
 ISNUMBER(SEARCH("RYE",C2384)),"Whiskey",
 ISNUMBER(SEARCH("VODKA",C2384)),"Vodka",
 ISNUMBER(SEARCH("TEQUILA",C2384)),"Tequila/Mezcal",
 ISNUMBER(SEARCH("MEZCAL",C2384)),"Tequila/Mezcal",
 ISNUMBER(SEARCH("RUM",C2384)),"Rum",
 ISNUMBER(SEARCH("BRAND",C2384)),"Brandy",
 ISNUMBER(SEARCH("COGNAC",C2384)),"Brandy",
 ISNUMBER(SEARCH("LIQUEUR",C2384)),"Liqueurs",
 ISNUMBER(SEARCH("CORDIAL",C2384)),"Liqueurs",
 ISNUMBER(SEARCH("SCHNAPP",C2384)),"Liqueurs",
 ISNUMBER(SEARCH("GIN",C2384)),"Gin",
 TRUE,"Other")</f>
        <v>Vodka</v>
      </c>
      <c r="E2384" s="5">
        <v>13795</v>
      </c>
      <c r="F2384" s="5">
        <v>225083.96000000264</v>
      </c>
      <c r="G2384" s="5"/>
      <c r="H2384" s="5">
        <v>1866</v>
      </c>
    </row>
    <row r="2385" spans="1:8">
      <c r="A2385" s="5">
        <v>2025</v>
      </c>
      <c r="B2385" s="6">
        <v>45689</v>
      </c>
      <c r="C2385" s="5" t="s">
        <v>31</v>
      </c>
      <c r="D2385" s="3" t="str" cm="1">
        <f t="array" ref="D2385">_xlfn.IFS(
 ISNUMBER(SEARCH("WHISK",C2385)),"Whiskey",
 ISNUMBER(SEARCH("BOURBON",C2385)),"Whiskey",
 ISNUMBER(SEARCH("SCOTCH",C2385)),"Whiskey",
 ISNUMBER(SEARCH("RYE",C2385)),"Whiskey",
 ISNUMBER(SEARCH("VODKA",C2385)),"Vodka",
 ISNUMBER(SEARCH("TEQUILA",C2385)),"Tequila/Mezcal",
 ISNUMBER(SEARCH("MEZCAL",C2385)),"Tequila/Mezcal",
 ISNUMBER(SEARCH("RUM",C2385)),"Rum",
 ISNUMBER(SEARCH("BRAND",C2385)),"Brandy",
 ISNUMBER(SEARCH("COGNAC",C2385)),"Brandy",
 ISNUMBER(SEARCH("LIQUEUR",C2385)),"Liqueurs",
 ISNUMBER(SEARCH("CORDIAL",C2385)),"Liqueurs",
 ISNUMBER(SEARCH("SCHNAPP",C2385)),"Liqueurs",
 ISNUMBER(SEARCH("GIN",C2385)),"Gin",
 TRUE,"Other")</f>
        <v>Liqueurs</v>
      </c>
      <c r="E2385" s="5">
        <v>21658</v>
      </c>
      <c r="F2385" s="5">
        <v>402968.5699999996</v>
      </c>
      <c r="G2385" s="5"/>
      <c r="H2385" s="5">
        <v>2096</v>
      </c>
    </row>
    <row r="2386" spans="1:8">
      <c r="A2386" s="5">
        <v>2025</v>
      </c>
      <c r="B2386" s="6">
        <v>45689</v>
      </c>
      <c r="C2386" s="5" t="s">
        <v>32</v>
      </c>
      <c r="D2386" s="3" t="str" cm="1">
        <f t="array" ref="D2386">_xlfn.IFS(
 ISNUMBER(SEARCH("WHISK",C2386)),"Whiskey",
 ISNUMBER(SEARCH("BOURBON",C2386)),"Whiskey",
 ISNUMBER(SEARCH("SCOTCH",C2386)),"Whiskey",
 ISNUMBER(SEARCH("RYE",C2386)),"Whiskey",
 ISNUMBER(SEARCH("VODKA",C2386)),"Vodka",
 ISNUMBER(SEARCH("TEQUILA",C2386)),"Tequila/Mezcal",
 ISNUMBER(SEARCH("MEZCAL",C2386)),"Tequila/Mezcal",
 ISNUMBER(SEARCH("RUM",C2386)),"Rum",
 ISNUMBER(SEARCH("BRAND",C2386)),"Brandy",
 ISNUMBER(SEARCH("COGNAC",C2386)),"Brandy",
 ISNUMBER(SEARCH("LIQUEUR",C2386)),"Liqueurs",
 ISNUMBER(SEARCH("CORDIAL",C2386)),"Liqueurs",
 ISNUMBER(SEARCH("SCHNAPP",C2386)),"Liqueurs",
 ISNUMBER(SEARCH("GIN",C2386)),"Gin",
 TRUE,"Other")</f>
        <v>Vodka</v>
      </c>
      <c r="E2386" s="5">
        <v>49558</v>
      </c>
      <c r="F2386" s="5">
        <v>819671.22999998683</v>
      </c>
      <c r="G2386" s="5"/>
      <c r="H2386" s="5">
        <v>3905</v>
      </c>
    </row>
    <row r="2387" spans="1:8">
      <c r="A2387" s="5">
        <v>2025</v>
      </c>
      <c r="B2387" s="6">
        <v>45689</v>
      </c>
      <c r="C2387" s="5" t="s">
        <v>33</v>
      </c>
      <c r="D2387" s="3" t="str" cm="1">
        <f t="array" ref="D2387">_xlfn.IFS(
 ISNUMBER(SEARCH("WHISK",C2387)),"Whiskey",
 ISNUMBER(SEARCH("BOURBON",C2387)),"Whiskey",
 ISNUMBER(SEARCH("SCOTCH",C2387)),"Whiskey",
 ISNUMBER(SEARCH("RYE",C2387)),"Whiskey",
 ISNUMBER(SEARCH("VODKA",C2387)),"Vodka",
 ISNUMBER(SEARCH("TEQUILA",C2387)),"Tequila/Mezcal",
 ISNUMBER(SEARCH("MEZCAL",C2387)),"Tequila/Mezcal",
 ISNUMBER(SEARCH("RUM",C2387)),"Rum",
 ISNUMBER(SEARCH("BRAND",C2387)),"Brandy",
 ISNUMBER(SEARCH("COGNAC",C2387)),"Brandy",
 ISNUMBER(SEARCH("LIQUEUR",C2387)),"Liqueurs",
 ISNUMBER(SEARCH("CORDIAL",C2387)),"Liqueurs",
 ISNUMBER(SEARCH("SCHNAPP",C2387)),"Liqueurs",
 ISNUMBER(SEARCH("GIN",C2387)),"Gin",
 TRUE,"Other")</f>
        <v>Whiskey</v>
      </c>
      <c r="E2387" s="5">
        <v>35287</v>
      </c>
      <c r="F2387" s="5">
        <v>956579.67999998992</v>
      </c>
      <c r="G2387" s="5"/>
      <c r="H2387" s="5">
        <v>2346</v>
      </c>
    </row>
    <row r="2388" spans="1:8">
      <c r="A2388" s="5">
        <v>2025</v>
      </c>
      <c r="B2388" s="6">
        <v>45689</v>
      </c>
      <c r="C2388" s="5" t="s">
        <v>36</v>
      </c>
      <c r="D2388" s="3" t="str" cm="1">
        <f t="array" ref="D2388">_xlfn.IFS(
 ISNUMBER(SEARCH("WHISK",C2388)),"Whiskey",
 ISNUMBER(SEARCH("BOURBON",C2388)),"Whiskey",
 ISNUMBER(SEARCH("SCOTCH",C2388)),"Whiskey",
 ISNUMBER(SEARCH("RYE",C2388)),"Whiskey",
 ISNUMBER(SEARCH("VODKA",C2388)),"Vodka",
 ISNUMBER(SEARCH("TEQUILA",C2388)),"Tequila/Mezcal",
 ISNUMBER(SEARCH("MEZCAL",C2388)),"Tequila/Mezcal",
 ISNUMBER(SEARCH("RUM",C2388)),"Rum",
 ISNUMBER(SEARCH("BRAND",C2388)),"Brandy",
 ISNUMBER(SEARCH("COGNAC",C2388)),"Brandy",
 ISNUMBER(SEARCH("LIQUEUR",C2388)),"Liqueurs",
 ISNUMBER(SEARCH("CORDIAL",C2388)),"Liqueurs",
 ISNUMBER(SEARCH("SCHNAPP",C2388)),"Liqueurs",
 ISNUMBER(SEARCH("GIN",C2388)),"Gin",
 TRUE,"Other")</f>
        <v>Other</v>
      </c>
      <c r="E2388" s="5">
        <v>1901</v>
      </c>
      <c r="F2388" s="5">
        <v>27005.799999999988</v>
      </c>
      <c r="G2388" s="5"/>
      <c r="H2388" s="5">
        <v>245</v>
      </c>
    </row>
    <row r="2389" spans="1:8">
      <c r="A2389" s="5">
        <v>2025</v>
      </c>
      <c r="B2389" s="6">
        <v>45689</v>
      </c>
      <c r="C2389" s="5" t="s">
        <v>37</v>
      </c>
      <c r="D2389" s="3" t="str" cm="1">
        <f t="array" ref="D2389">_xlfn.IFS(
 ISNUMBER(SEARCH("WHISK",C2389)),"Whiskey",
 ISNUMBER(SEARCH("BOURBON",C2389)),"Whiskey",
 ISNUMBER(SEARCH("SCOTCH",C2389)),"Whiskey",
 ISNUMBER(SEARCH("RYE",C2389)),"Whiskey",
 ISNUMBER(SEARCH("VODKA",C2389)),"Vodka",
 ISNUMBER(SEARCH("TEQUILA",C2389)),"Tequila/Mezcal",
 ISNUMBER(SEARCH("MEZCAL",C2389)),"Tequila/Mezcal",
 ISNUMBER(SEARCH("RUM",C2389)),"Rum",
 ISNUMBER(SEARCH("BRAND",C2389)),"Brandy",
 ISNUMBER(SEARCH("COGNAC",C2389)),"Brandy",
 ISNUMBER(SEARCH("LIQUEUR",C2389)),"Liqueurs",
 ISNUMBER(SEARCH("CORDIAL",C2389)),"Liqueurs",
 ISNUMBER(SEARCH("SCHNAPP",C2389)),"Liqueurs",
 ISNUMBER(SEARCH("GIN",C2389)),"Gin",
 TRUE,"Other")</f>
        <v>Other</v>
      </c>
      <c r="E2389" s="5">
        <v>12025</v>
      </c>
      <c r="F2389" s="5">
        <v>201239.7500000016</v>
      </c>
      <c r="G2389" s="5"/>
      <c r="H2389" s="5">
        <v>2303</v>
      </c>
    </row>
    <row r="2390" spans="1:8">
      <c r="A2390" s="5">
        <v>2025</v>
      </c>
      <c r="B2390" s="6">
        <v>45689</v>
      </c>
      <c r="C2390" s="5" t="s">
        <v>38</v>
      </c>
      <c r="D2390" s="3" t="str" cm="1">
        <f t="array" ref="D2390">_xlfn.IFS(
 ISNUMBER(SEARCH("WHISK",C2390)),"Whiskey",
 ISNUMBER(SEARCH("BOURBON",C2390)),"Whiskey",
 ISNUMBER(SEARCH("SCOTCH",C2390)),"Whiskey",
 ISNUMBER(SEARCH("RYE",C2390)),"Whiskey",
 ISNUMBER(SEARCH("VODKA",C2390)),"Vodka",
 ISNUMBER(SEARCH("TEQUILA",C2390)),"Tequila/Mezcal",
 ISNUMBER(SEARCH("MEZCAL",C2390)),"Tequila/Mezcal",
 ISNUMBER(SEARCH("RUM",C2390)),"Rum",
 ISNUMBER(SEARCH("BRAND",C2390)),"Brandy",
 ISNUMBER(SEARCH("COGNAC",C2390)),"Brandy",
 ISNUMBER(SEARCH("LIQUEUR",C2390)),"Liqueurs",
 ISNUMBER(SEARCH("CORDIAL",C2390)),"Liqueurs",
 ISNUMBER(SEARCH("SCHNAPP",C2390)),"Liqueurs",
 ISNUMBER(SEARCH("GIN",C2390)),"Gin",
 TRUE,"Other")</f>
        <v>Whiskey</v>
      </c>
      <c r="E2390" s="5">
        <v>11583</v>
      </c>
      <c r="F2390" s="5">
        <v>319900.87000000029</v>
      </c>
      <c r="G2390" s="5"/>
      <c r="H2390" s="5">
        <v>2040</v>
      </c>
    </row>
    <row r="2391" spans="1:8">
      <c r="A2391" s="5">
        <v>2025</v>
      </c>
      <c r="B2391" s="6">
        <v>45689</v>
      </c>
      <c r="C2391" s="5" t="s">
        <v>40</v>
      </c>
      <c r="D2391" s="3" t="str" cm="1">
        <f t="array" ref="D2391">_xlfn.IFS(
 ISNUMBER(SEARCH("WHISK",C2391)),"Whiskey",
 ISNUMBER(SEARCH("BOURBON",C2391)),"Whiskey",
 ISNUMBER(SEARCH("SCOTCH",C2391)),"Whiskey",
 ISNUMBER(SEARCH("RYE",C2391)),"Whiskey",
 ISNUMBER(SEARCH("VODKA",C2391)),"Vodka",
 ISNUMBER(SEARCH("TEQUILA",C2391)),"Tequila/Mezcal",
 ISNUMBER(SEARCH("MEZCAL",C2391)),"Tequila/Mezcal",
 ISNUMBER(SEARCH("RUM",C2391)),"Rum",
 ISNUMBER(SEARCH("BRAND",C2391)),"Brandy",
 ISNUMBER(SEARCH("COGNAC",C2391)),"Brandy",
 ISNUMBER(SEARCH("LIQUEUR",C2391)),"Liqueurs",
 ISNUMBER(SEARCH("CORDIAL",C2391)),"Liqueurs",
 ISNUMBER(SEARCH("SCHNAPP",C2391)),"Liqueurs",
 ISNUMBER(SEARCH("GIN",C2391)),"Gin",
 TRUE,"Other")</f>
        <v>Whiskey</v>
      </c>
      <c r="E2391" s="5">
        <v>4127</v>
      </c>
      <c r="F2391" s="5">
        <v>231222.43000000058</v>
      </c>
      <c r="G2391" s="5"/>
      <c r="H2391" s="5">
        <v>909</v>
      </c>
    </row>
    <row r="2392" spans="1:8">
      <c r="A2392" s="5">
        <v>2025</v>
      </c>
      <c r="B2392" s="6">
        <v>45689</v>
      </c>
      <c r="C2392" s="5" t="s">
        <v>42</v>
      </c>
      <c r="D2392" s="3" t="str" cm="1">
        <f t="array" ref="D2392">_xlfn.IFS(
 ISNUMBER(SEARCH("WHISK",C2392)),"Whiskey",
 ISNUMBER(SEARCH("BOURBON",C2392)),"Whiskey",
 ISNUMBER(SEARCH("SCOTCH",C2392)),"Whiskey",
 ISNUMBER(SEARCH("RYE",C2392)),"Whiskey",
 ISNUMBER(SEARCH("VODKA",C2392)),"Vodka",
 ISNUMBER(SEARCH("TEQUILA",C2392)),"Tequila/Mezcal",
 ISNUMBER(SEARCH("MEZCAL",C2392)),"Tequila/Mezcal",
 ISNUMBER(SEARCH("RUM",C2392)),"Rum",
 ISNUMBER(SEARCH("BRAND",C2392)),"Brandy",
 ISNUMBER(SEARCH("COGNAC",C2392)),"Brandy",
 ISNUMBER(SEARCH("LIQUEUR",C2392)),"Liqueurs",
 ISNUMBER(SEARCH("CORDIAL",C2392)),"Liqueurs",
 ISNUMBER(SEARCH("SCHNAPP",C2392)),"Liqueurs",
 ISNUMBER(SEARCH("GIN",C2392)),"Gin",
 TRUE,"Other")</f>
        <v>Rum</v>
      </c>
      <c r="E2392" s="5">
        <v>80269</v>
      </c>
      <c r="F2392" s="5">
        <v>1111047.3299999724</v>
      </c>
      <c r="G2392" s="5"/>
      <c r="H2392" s="5">
        <v>6491</v>
      </c>
    </row>
    <row r="2393" spans="1:8">
      <c r="A2393" s="5">
        <v>2025</v>
      </c>
      <c r="B2393" s="6">
        <v>45689</v>
      </c>
      <c r="C2393" s="5" t="s">
        <v>44</v>
      </c>
      <c r="D2393" s="3" t="str" cm="1">
        <f t="array" ref="D2393">_xlfn.IFS(
 ISNUMBER(SEARCH("WHISK",C2393)),"Whiskey",
 ISNUMBER(SEARCH("BOURBON",C2393)),"Whiskey",
 ISNUMBER(SEARCH("SCOTCH",C2393)),"Whiskey",
 ISNUMBER(SEARCH("RYE",C2393)),"Whiskey",
 ISNUMBER(SEARCH("VODKA",C2393)),"Vodka",
 ISNUMBER(SEARCH("TEQUILA",C2393)),"Tequila/Mezcal",
 ISNUMBER(SEARCH("MEZCAL",C2393)),"Tequila/Mezcal",
 ISNUMBER(SEARCH("RUM",C2393)),"Rum",
 ISNUMBER(SEARCH("BRAND",C2393)),"Brandy",
 ISNUMBER(SEARCH("COGNAC",C2393)),"Brandy",
 ISNUMBER(SEARCH("LIQUEUR",C2393)),"Liqueurs",
 ISNUMBER(SEARCH("CORDIAL",C2393)),"Liqueurs",
 ISNUMBER(SEARCH("SCHNAPP",C2393)),"Liqueurs",
 ISNUMBER(SEARCH("GIN",C2393)),"Gin",
 TRUE,"Other")</f>
        <v>Whiskey</v>
      </c>
      <c r="E2393" s="5">
        <v>8788</v>
      </c>
      <c r="F2393" s="5">
        <v>303958.41000000056</v>
      </c>
      <c r="G2393" s="5"/>
      <c r="H2393" s="5">
        <v>1458</v>
      </c>
    </row>
    <row r="2394" spans="1:8">
      <c r="A2394" s="5">
        <v>2025</v>
      </c>
      <c r="B2394" s="6">
        <v>45689</v>
      </c>
      <c r="C2394" s="5" t="s">
        <v>45</v>
      </c>
      <c r="D2394" s="3" t="str" cm="1">
        <f t="array" ref="D2394">_xlfn.IFS(
 ISNUMBER(SEARCH("WHISK",C2394)),"Whiskey",
 ISNUMBER(SEARCH("BOURBON",C2394)),"Whiskey",
 ISNUMBER(SEARCH("SCOTCH",C2394)),"Whiskey",
 ISNUMBER(SEARCH("RYE",C2394)),"Whiskey",
 ISNUMBER(SEARCH("VODKA",C2394)),"Vodka",
 ISNUMBER(SEARCH("TEQUILA",C2394)),"Tequila/Mezcal",
 ISNUMBER(SEARCH("MEZCAL",C2394)),"Tequila/Mezcal",
 ISNUMBER(SEARCH("RUM",C2394)),"Rum",
 ISNUMBER(SEARCH("BRAND",C2394)),"Brandy",
 ISNUMBER(SEARCH("COGNAC",C2394)),"Brandy",
 ISNUMBER(SEARCH("LIQUEUR",C2394)),"Liqueurs",
 ISNUMBER(SEARCH("CORDIAL",C2394)),"Liqueurs",
 ISNUMBER(SEARCH("SCHNAPP",C2394)),"Liqueurs",
 ISNUMBER(SEARCH("GIN",C2394)),"Gin",
 TRUE,"Other")</f>
        <v>Other</v>
      </c>
      <c r="E2394" s="5">
        <v>20663</v>
      </c>
      <c r="F2394" s="5">
        <v>626594.76000000408</v>
      </c>
      <c r="G2394" s="5"/>
      <c r="H2394" s="5">
        <v>2768</v>
      </c>
    </row>
    <row r="2395" spans="1:8">
      <c r="A2395" s="5">
        <v>2025</v>
      </c>
      <c r="B2395" s="6">
        <v>45689</v>
      </c>
      <c r="C2395" s="5" t="s">
        <v>46</v>
      </c>
      <c r="D2395" s="3" t="str" cm="1">
        <f t="array" ref="D2395">_xlfn.IFS(
 ISNUMBER(SEARCH("WHISK",C2395)),"Whiskey",
 ISNUMBER(SEARCH("BOURBON",C2395)),"Whiskey",
 ISNUMBER(SEARCH("SCOTCH",C2395)),"Whiskey",
 ISNUMBER(SEARCH("RYE",C2395)),"Whiskey",
 ISNUMBER(SEARCH("VODKA",C2395)),"Vodka",
 ISNUMBER(SEARCH("TEQUILA",C2395)),"Tequila/Mezcal",
 ISNUMBER(SEARCH("MEZCAL",C2395)),"Tequila/Mezcal",
 ISNUMBER(SEARCH("RUM",C2395)),"Rum",
 ISNUMBER(SEARCH("BRAND",C2395)),"Brandy",
 ISNUMBER(SEARCH("COGNAC",C2395)),"Brandy",
 ISNUMBER(SEARCH("LIQUEUR",C2395)),"Liqueurs",
 ISNUMBER(SEARCH("CORDIAL",C2395)),"Liqueurs",
 ISNUMBER(SEARCH("SCHNAPP",C2395)),"Liqueurs",
 ISNUMBER(SEARCH("GIN",C2395)),"Gin",
 TRUE,"Other")</f>
        <v>Whiskey</v>
      </c>
      <c r="E2395" s="5">
        <v>54394</v>
      </c>
      <c r="F2395" s="5">
        <v>1212897.0899999882</v>
      </c>
      <c r="G2395" s="5"/>
      <c r="H2395" s="5">
        <v>5319</v>
      </c>
    </row>
    <row r="2396" spans="1:8">
      <c r="A2396" s="5">
        <v>2025</v>
      </c>
      <c r="B2396" s="6">
        <v>45689</v>
      </c>
      <c r="C2396" s="5" t="s">
        <v>48</v>
      </c>
      <c r="D2396" s="3" t="str" cm="1">
        <f t="array" ref="D2396">_xlfn.IFS(
 ISNUMBER(SEARCH("WHISK",C2396)),"Whiskey",
 ISNUMBER(SEARCH("BOURBON",C2396)),"Whiskey",
 ISNUMBER(SEARCH("SCOTCH",C2396)),"Whiskey",
 ISNUMBER(SEARCH("RYE",C2396)),"Whiskey",
 ISNUMBER(SEARCH("VODKA",C2396)),"Vodka",
 ISNUMBER(SEARCH("TEQUILA",C2396)),"Tequila/Mezcal",
 ISNUMBER(SEARCH("MEZCAL",C2396)),"Tequila/Mezcal",
 ISNUMBER(SEARCH("RUM",C2396)),"Rum",
 ISNUMBER(SEARCH("BRAND",C2396)),"Brandy",
 ISNUMBER(SEARCH("COGNAC",C2396)),"Brandy",
 ISNUMBER(SEARCH("LIQUEUR",C2396)),"Liqueurs",
 ISNUMBER(SEARCH("CORDIAL",C2396)),"Liqueurs",
 ISNUMBER(SEARCH("SCHNAPP",C2396)),"Liqueurs",
 ISNUMBER(SEARCH("GIN",C2396)),"Gin",
 TRUE,"Other")</f>
        <v>Whiskey</v>
      </c>
      <c r="E2396" s="5">
        <v>325358</v>
      </c>
      <c r="F2396" s="5">
        <v>1774634.9699999616</v>
      </c>
      <c r="G2396" s="5"/>
      <c r="H2396" s="5">
        <v>12191</v>
      </c>
    </row>
    <row r="2397" spans="1:8">
      <c r="A2397" s="5">
        <v>2025</v>
      </c>
      <c r="B2397" s="6">
        <v>45689</v>
      </c>
      <c r="C2397" s="5" t="s">
        <v>49</v>
      </c>
      <c r="D2397" s="3" t="str" cm="1">
        <f t="array" ref="D2397">_xlfn.IFS(
 ISNUMBER(SEARCH("WHISK",C2397)),"Whiskey",
 ISNUMBER(SEARCH("BOURBON",C2397)),"Whiskey",
 ISNUMBER(SEARCH("SCOTCH",C2397)),"Whiskey",
 ISNUMBER(SEARCH("RYE",C2397)),"Whiskey",
 ISNUMBER(SEARCH("VODKA",C2397)),"Vodka",
 ISNUMBER(SEARCH("TEQUILA",C2397)),"Tequila/Mezcal",
 ISNUMBER(SEARCH("MEZCAL",C2397)),"Tequila/Mezcal",
 ISNUMBER(SEARCH("RUM",C2397)),"Rum",
 ISNUMBER(SEARCH("BRAND",C2397)),"Brandy",
 ISNUMBER(SEARCH("COGNAC",C2397)),"Brandy",
 ISNUMBER(SEARCH("LIQUEUR",C2397)),"Liqueurs",
 ISNUMBER(SEARCH("CORDIAL",C2397)),"Liqueurs",
 ISNUMBER(SEARCH("SCHNAPP",C2397)),"Liqueurs",
 ISNUMBER(SEARCH("GIN",C2397)),"Gin",
 TRUE,"Other")</f>
        <v>Rum</v>
      </c>
      <c r="E2397" s="5">
        <v>31399</v>
      </c>
      <c r="F2397" s="5">
        <v>390144.06999999902</v>
      </c>
      <c r="G2397" s="5"/>
      <c r="H2397" s="5">
        <v>2709</v>
      </c>
    </row>
    <row r="2398" spans="1:8">
      <c r="A2398" s="5">
        <v>2025</v>
      </c>
      <c r="B2398" s="6">
        <v>45689</v>
      </c>
      <c r="C2398" s="5" t="s">
        <v>17</v>
      </c>
      <c r="D2398" s="3" t="str" cm="1">
        <f t="array" ref="D2398">_xlfn.IFS(
 ISNUMBER(SEARCH("WHISK",C2398)),"Whiskey",
 ISNUMBER(SEARCH("BOURBON",C2398)),"Whiskey",
 ISNUMBER(SEARCH("SCOTCH",C2398)),"Whiskey",
 ISNUMBER(SEARCH("RYE",C2398)),"Whiskey",
 ISNUMBER(SEARCH("VODKA",C2398)),"Vodka",
 ISNUMBER(SEARCH("TEQUILA",C2398)),"Tequila/Mezcal",
 ISNUMBER(SEARCH("MEZCAL",C2398)),"Tequila/Mezcal",
 ISNUMBER(SEARCH("RUM",C2398)),"Rum",
 ISNUMBER(SEARCH("BRAND",C2398)),"Brandy",
 ISNUMBER(SEARCH("COGNAC",C2398)),"Brandy",
 ISNUMBER(SEARCH("LIQUEUR",C2398)),"Liqueurs",
 ISNUMBER(SEARCH("CORDIAL",C2398)),"Liqueurs",
 ISNUMBER(SEARCH("SCHNAPP",C2398)),"Liqueurs",
 ISNUMBER(SEARCH("GIN",C2398)),"Gin",
 TRUE,"Other")</f>
        <v>Whiskey</v>
      </c>
      <c r="E2398" s="5">
        <v>3933</v>
      </c>
      <c r="F2398" s="5">
        <v>119677.21000000004</v>
      </c>
      <c r="G2398" s="5"/>
      <c r="H2398" s="5">
        <v>766</v>
      </c>
    </row>
    <row r="2399" spans="1:8">
      <c r="A2399" s="5">
        <v>2025</v>
      </c>
      <c r="B2399" s="6">
        <v>45689</v>
      </c>
      <c r="C2399" s="5" t="s">
        <v>7</v>
      </c>
      <c r="D2399" s="3" t="str" cm="1">
        <f t="array" ref="D2399">_xlfn.IFS(
 ISNUMBER(SEARCH("WHISK",C2399)),"Whiskey",
 ISNUMBER(SEARCH("BOURBON",C2399)),"Whiskey",
 ISNUMBER(SEARCH("SCOTCH",C2399)),"Whiskey",
 ISNUMBER(SEARCH("RYE",C2399)),"Whiskey",
 ISNUMBER(SEARCH("VODKA",C2399)),"Vodka",
 ISNUMBER(SEARCH("TEQUILA",C2399)),"Tequila/Mezcal",
 ISNUMBER(SEARCH("MEZCAL",C2399)),"Tequila/Mezcal",
 ISNUMBER(SEARCH("RUM",C2399)),"Rum",
 ISNUMBER(SEARCH("BRAND",C2399)),"Brandy",
 ISNUMBER(SEARCH("COGNAC",C2399)),"Brandy",
 ISNUMBER(SEARCH("LIQUEUR",C2399)),"Liqueurs",
 ISNUMBER(SEARCH("CORDIAL",C2399)),"Liqueurs",
 ISNUMBER(SEARCH("SCHNAPP",C2399)),"Liqueurs",
 ISNUMBER(SEARCH("GIN",C2399)),"Gin",
 TRUE,"Other")</f>
        <v>Rum</v>
      </c>
      <c r="E2399" s="5">
        <v>3136</v>
      </c>
      <c r="F2399" s="5">
        <v>69295.240000000034</v>
      </c>
      <c r="G2399" s="5"/>
      <c r="H2399" s="5">
        <v>532</v>
      </c>
    </row>
    <row r="2400" spans="1:8">
      <c r="A2400" s="5">
        <v>2025</v>
      </c>
      <c r="B2400" s="6">
        <v>45689</v>
      </c>
      <c r="C2400" s="5" t="s">
        <v>10</v>
      </c>
      <c r="D2400" s="3" t="str" cm="1">
        <f t="array" ref="D2400">_xlfn.IFS(
 ISNUMBER(SEARCH("WHISK",C2400)),"Whiskey",
 ISNUMBER(SEARCH("BOURBON",C2400)),"Whiskey",
 ISNUMBER(SEARCH("SCOTCH",C2400)),"Whiskey",
 ISNUMBER(SEARCH("RYE",C2400)),"Whiskey",
 ISNUMBER(SEARCH("VODKA",C2400)),"Vodka",
 ISNUMBER(SEARCH("TEQUILA",C2400)),"Tequila/Mezcal",
 ISNUMBER(SEARCH("MEZCAL",C2400)),"Tequila/Mezcal",
 ISNUMBER(SEARCH("RUM",C2400)),"Rum",
 ISNUMBER(SEARCH("BRAND",C2400)),"Brandy",
 ISNUMBER(SEARCH("COGNAC",C2400)),"Brandy",
 ISNUMBER(SEARCH("LIQUEUR",C2400)),"Liqueurs",
 ISNUMBER(SEARCH("CORDIAL",C2400)),"Liqueurs",
 ISNUMBER(SEARCH("SCHNAPP",C2400)),"Liqueurs",
 ISNUMBER(SEARCH("GIN",C2400)),"Gin",
 TRUE,"Other")</f>
        <v>Other</v>
      </c>
      <c r="E2400" s="5">
        <v>3345</v>
      </c>
      <c r="F2400" s="5">
        <v>47009.319999999949</v>
      </c>
      <c r="G2400" s="5"/>
      <c r="H2400" s="5">
        <v>386</v>
      </c>
    </row>
    <row r="2401" spans="1:8">
      <c r="A2401" s="5">
        <v>2025</v>
      </c>
      <c r="B2401" s="6">
        <v>45689</v>
      </c>
      <c r="C2401" s="5" t="s">
        <v>21</v>
      </c>
      <c r="D2401" s="3" t="str" cm="1">
        <f t="array" ref="D2401">_xlfn.IFS(
 ISNUMBER(SEARCH("WHISK",C2401)),"Whiskey",
 ISNUMBER(SEARCH("BOURBON",C2401)),"Whiskey",
 ISNUMBER(SEARCH("SCOTCH",C2401)),"Whiskey",
 ISNUMBER(SEARCH("RYE",C2401)),"Whiskey",
 ISNUMBER(SEARCH("VODKA",C2401)),"Vodka",
 ISNUMBER(SEARCH("TEQUILA",C2401)),"Tequila/Mezcal",
 ISNUMBER(SEARCH("MEZCAL",C2401)),"Tequila/Mezcal",
 ISNUMBER(SEARCH("RUM",C2401)),"Rum",
 ISNUMBER(SEARCH("BRAND",C2401)),"Brandy",
 ISNUMBER(SEARCH("COGNAC",C2401)),"Brandy",
 ISNUMBER(SEARCH("LIQUEUR",C2401)),"Liqueurs",
 ISNUMBER(SEARCH("CORDIAL",C2401)),"Liqueurs",
 ISNUMBER(SEARCH("SCHNAPP",C2401)),"Liqueurs",
 ISNUMBER(SEARCH("GIN",C2401)),"Gin",
 TRUE,"Other")</f>
        <v>Whiskey</v>
      </c>
      <c r="E2401" s="5">
        <v>299</v>
      </c>
      <c r="F2401" s="5">
        <v>6411.75</v>
      </c>
      <c r="G2401" s="5"/>
      <c r="H2401" s="5">
        <v>45</v>
      </c>
    </row>
    <row r="2402" spans="1:8">
      <c r="A2402" s="5">
        <v>2025</v>
      </c>
      <c r="B2402" s="6">
        <v>45689</v>
      </c>
      <c r="C2402" s="5" t="s">
        <v>47</v>
      </c>
      <c r="D2402" s="3" t="str" cm="1">
        <f t="array" ref="D2402">_xlfn.IFS(
 ISNUMBER(SEARCH("WHISK",C2402)),"Whiskey",
 ISNUMBER(SEARCH("BOURBON",C2402)),"Whiskey",
 ISNUMBER(SEARCH("SCOTCH",C2402)),"Whiskey",
 ISNUMBER(SEARCH("RYE",C2402)),"Whiskey",
 ISNUMBER(SEARCH("VODKA",C2402)),"Vodka",
 ISNUMBER(SEARCH("TEQUILA",C2402)),"Tequila/Mezcal",
 ISNUMBER(SEARCH("MEZCAL",C2402)),"Tequila/Mezcal",
 ISNUMBER(SEARCH("RUM",C2402)),"Rum",
 ISNUMBER(SEARCH("BRAND",C2402)),"Brandy",
 ISNUMBER(SEARCH("COGNAC",C2402)),"Brandy",
 ISNUMBER(SEARCH("LIQUEUR",C2402)),"Liqueurs",
 ISNUMBER(SEARCH("CORDIAL",C2402)),"Liqueurs",
 ISNUMBER(SEARCH("SCHNAPP",C2402)),"Liqueurs",
 ISNUMBER(SEARCH("GIN",C2402)),"Gin",
 TRUE,"Other")</f>
        <v>Other</v>
      </c>
      <c r="E2402" s="5">
        <v>13439</v>
      </c>
      <c r="F2402" s="5">
        <v>55853.860000000037</v>
      </c>
      <c r="G2402" s="5"/>
      <c r="H2402" s="5">
        <v>548</v>
      </c>
    </row>
    <row r="2403" spans="1:8">
      <c r="A2403" s="5">
        <v>2025</v>
      </c>
      <c r="B2403" s="6">
        <v>45689</v>
      </c>
      <c r="C2403" s="5" t="s">
        <v>34</v>
      </c>
      <c r="D2403" s="3" t="str" cm="1">
        <f t="array" ref="D2403">_xlfn.IFS(
 ISNUMBER(SEARCH("WHISK",C2403)),"Whiskey",
 ISNUMBER(SEARCH("BOURBON",C2403)),"Whiskey",
 ISNUMBER(SEARCH("SCOTCH",C2403)),"Whiskey",
 ISNUMBER(SEARCH("RYE",C2403)),"Whiskey",
 ISNUMBER(SEARCH("VODKA",C2403)),"Vodka",
 ISNUMBER(SEARCH("TEQUILA",C2403)),"Tequila/Mezcal",
 ISNUMBER(SEARCH("MEZCAL",C2403)),"Tequila/Mezcal",
 ISNUMBER(SEARCH("RUM",C2403)),"Rum",
 ISNUMBER(SEARCH("BRAND",C2403)),"Brandy",
 ISNUMBER(SEARCH("COGNAC",C2403)),"Brandy",
 ISNUMBER(SEARCH("LIQUEUR",C2403)),"Liqueurs",
 ISNUMBER(SEARCH("CORDIAL",C2403)),"Liqueurs",
 ISNUMBER(SEARCH("SCHNAPP",C2403)),"Liqueurs",
 ISNUMBER(SEARCH("GIN",C2403)),"Gin",
 TRUE,"Other")</f>
        <v>Tequila/Mezcal</v>
      </c>
      <c r="E2403" s="5">
        <v>984</v>
      </c>
      <c r="F2403" s="5">
        <v>30613.209999999981</v>
      </c>
      <c r="G2403" s="5"/>
      <c r="H2403" s="5">
        <v>188</v>
      </c>
    </row>
    <row r="2404" spans="1:8">
      <c r="A2404" s="5">
        <v>2025</v>
      </c>
      <c r="B2404" s="6">
        <v>45689</v>
      </c>
      <c r="C2404" s="5" t="s">
        <v>41</v>
      </c>
      <c r="D2404" s="3" t="str" cm="1">
        <f t="array" ref="D2404">_xlfn.IFS(
 ISNUMBER(SEARCH("WHISK",C2404)),"Whiskey",
 ISNUMBER(SEARCH("BOURBON",C2404)),"Whiskey",
 ISNUMBER(SEARCH("SCOTCH",C2404)),"Whiskey",
 ISNUMBER(SEARCH("RYE",C2404)),"Whiskey",
 ISNUMBER(SEARCH("VODKA",C2404)),"Vodka",
 ISNUMBER(SEARCH("TEQUILA",C2404)),"Tequila/Mezcal",
 ISNUMBER(SEARCH("MEZCAL",C2404)),"Tequila/Mezcal",
 ISNUMBER(SEARCH("RUM",C2404)),"Rum",
 ISNUMBER(SEARCH("BRAND",C2404)),"Brandy",
 ISNUMBER(SEARCH("COGNAC",C2404)),"Brandy",
 ISNUMBER(SEARCH("LIQUEUR",C2404)),"Liqueurs",
 ISNUMBER(SEARCH("CORDIAL",C2404)),"Liqueurs",
 ISNUMBER(SEARCH("SCHNAPP",C2404)),"Liqueurs",
 ISNUMBER(SEARCH("GIN",C2404)),"Gin",
 TRUE,"Other")</f>
        <v>Other</v>
      </c>
      <c r="E2404" s="5">
        <v>7704</v>
      </c>
      <c r="F2404" s="5">
        <v>94100.379999999976</v>
      </c>
      <c r="G2404" s="5"/>
      <c r="H2404" s="5">
        <v>119</v>
      </c>
    </row>
    <row r="2405" spans="1:8">
      <c r="A2405" s="5">
        <v>2025</v>
      </c>
      <c r="B2405" s="6">
        <v>45689</v>
      </c>
      <c r="C2405" s="5" t="s">
        <v>23</v>
      </c>
      <c r="D2405" s="3" t="str" cm="1">
        <f t="array" ref="D2405">_xlfn.IFS(
 ISNUMBER(SEARCH("WHISK",C2405)),"Whiskey",
 ISNUMBER(SEARCH("BOURBON",C2405)),"Whiskey",
 ISNUMBER(SEARCH("SCOTCH",C2405)),"Whiskey",
 ISNUMBER(SEARCH("RYE",C2405)),"Whiskey",
 ISNUMBER(SEARCH("VODKA",C2405)),"Vodka",
 ISNUMBER(SEARCH("TEQUILA",C2405)),"Tequila/Mezcal",
 ISNUMBER(SEARCH("MEZCAL",C2405)),"Tequila/Mezcal",
 ISNUMBER(SEARCH("RUM",C2405)),"Rum",
 ISNUMBER(SEARCH("BRAND",C2405)),"Brandy",
 ISNUMBER(SEARCH("COGNAC",C2405)),"Brandy",
 ISNUMBER(SEARCH("LIQUEUR",C2405)),"Liqueurs",
 ISNUMBER(SEARCH("CORDIAL",C2405)),"Liqueurs",
 ISNUMBER(SEARCH("SCHNAPP",C2405)),"Liqueurs",
 ISNUMBER(SEARCH("GIN",C2405)),"Gin",
 TRUE,"Other")</f>
        <v>Gin</v>
      </c>
      <c r="E2405" s="5">
        <v>3712</v>
      </c>
      <c r="F2405" s="5">
        <v>97353.66</v>
      </c>
      <c r="G2405" s="5"/>
      <c r="H2405" s="5">
        <v>320</v>
      </c>
    </row>
    <row r="2406" spans="1:8">
      <c r="A2406" s="5">
        <v>2025</v>
      </c>
      <c r="B2406" s="6">
        <v>45689</v>
      </c>
      <c r="C2406" s="5" t="s">
        <v>14</v>
      </c>
      <c r="D2406" s="3" t="str" cm="1">
        <f t="array" ref="D2406">_xlfn.IFS(
 ISNUMBER(SEARCH("WHISK",C2406)),"Whiskey",
 ISNUMBER(SEARCH("BOURBON",C2406)),"Whiskey",
 ISNUMBER(SEARCH("SCOTCH",C2406)),"Whiskey",
 ISNUMBER(SEARCH("RYE",C2406)),"Whiskey",
 ISNUMBER(SEARCH("VODKA",C2406)),"Vodka",
 ISNUMBER(SEARCH("TEQUILA",C2406)),"Tequila/Mezcal",
 ISNUMBER(SEARCH("MEZCAL",C2406)),"Tequila/Mezcal",
 ISNUMBER(SEARCH("RUM",C2406)),"Rum",
 ISNUMBER(SEARCH("BRAND",C2406)),"Brandy",
 ISNUMBER(SEARCH("COGNAC",C2406)),"Brandy",
 ISNUMBER(SEARCH("LIQUEUR",C2406)),"Liqueurs",
 ISNUMBER(SEARCH("CORDIAL",C2406)),"Liqueurs",
 ISNUMBER(SEARCH("SCHNAPP",C2406)),"Liqueurs",
 ISNUMBER(SEARCH("GIN",C2406)),"Gin",
 TRUE,"Other")</f>
        <v>Gin</v>
      </c>
      <c r="E2406" s="5">
        <v>225</v>
      </c>
      <c r="F2406" s="5">
        <v>1921.4999999999998</v>
      </c>
      <c r="G2406" s="5"/>
      <c r="H2406" s="5">
        <v>38</v>
      </c>
    </row>
    <row r="2407" spans="1:8">
      <c r="A2407" s="5">
        <v>2025</v>
      </c>
      <c r="B2407" s="6">
        <v>45689</v>
      </c>
      <c r="C2407" s="5" t="s">
        <v>39</v>
      </c>
      <c r="D2407" s="3" t="str" cm="1">
        <f t="array" ref="D2407">_xlfn.IFS(
 ISNUMBER(SEARCH("WHISK",C2407)),"Whiskey",
 ISNUMBER(SEARCH("BOURBON",C2407)),"Whiskey",
 ISNUMBER(SEARCH("SCOTCH",C2407)),"Whiskey",
 ISNUMBER(SEARCH("RYE",C2407)),"Whiskey",
 ISNUMBER(SEARCH("VODKA",C2407)),"Vodka",
 ISNUMBER(SEARCH("TEQUILA",C2407)),"Tequila/Mezcal",
 ISNUMBER(SEARCH("MEZCAL",C2407)),"Tequila/Mezcal",
 ISNUMBER(SEARCH("RUM",C2407)),"Rum",
 ISNUMBER(SEARCH("BRAND",C2407)),"Brandy",
 ISNUMBER(SEARCH("COGNAC",C2407)),"Brandy",
 ISNUMBER(SEARCH("LIQUEUR",C2407)),"Liqueurs",
 ISNUMBER(SEARCH("CORDIAL",C2407)),"Liqueurs",
 ISNUMBER(SEARCH("SCHNAPP",C2407)),"Liqueurs",
 ISNUMBER(SEARCH("GIN",C2407)),"Gin",
 TRUE,"Other")</f>
        <v>Whiskey</v>
      </c>
      <c r="E2407" s="5">
        <v>3480</v>
      </c>
      <c r="F2407" s="5">
        <v>145447.73000000027</v>
      </c>
      <c r="G2407" s="5"/>
      <c r="H2407" s="5">
        <v>636</v>
      </c>
    </row>
    <row r="2408" spans="1:8">
      <c r="A2408" s="5">
        <v>2025</v>
      </c>
      <c r="B2408" s="6">
        <v>45717</v>
      </c>
      <c r="C2408" s="5" t="s">
        <v>19</v>
      </c>
      <c r="D2408" s="3" t="str" cm="1">
        <f t="array" ref="D2408">_xlfn.IFS(
 ISNUMBER(SEARCH("WHISK",C2408)),"Whiskey",
 ISNUMBER(SEARCH("BOURBON",C2408)),"Whiskey",
 ISNUMBER(SEARCH("SCOTCH",C2408)),"Whiskey",
 ISNUMBER(SEARCH("RYE",C2408)),"Whiskey",
 ISNUMBER(SEARCH("VODKA",C2408)),"Vodka",
 ISNUMBER(SEARCH("TEQUILA",C2408)),"Tequila/Mezcal",
 ISNUMBER(SEARCH("MEZCAL",C2408)),"Tequila/Mezcal",
 ISNUMBER(SEARCH("RUM",C2408)),"Rum",
 ISNUMBER(SEARCH("BRAND",C2408)),"Brandy",
 ISNUMBER(SEARCH("COGNAC",C2408)),"Brandy",
 ISNUMBER(SEARCH("LIQUEUR",C2408)),"Liqueurs",
 ISNUMBER(SEARCH("CORDIAL",C2408)),"Liqueurs",
 ISNUMBER(SEARCH("SCHNAPP",C2408)),"Liqueurs",
 ISNUMBER(SEARCH("GIN",C2408)),"Gin",
 TRUE,"Other")</f>
        <v>Other</v>
      </c>
      <c r="E2408" s="5">
        <v>66511</v>
      </c>
      <c r="F2408" s="5">
        <v>784579.63999999384</v>
      </c>
      <c r="G2408" s="5"/>
      <c r="H2408" s="5">
        <v>6413</v>
      </c>
    </row>
    <row r="2409" spans="1:8">
      <c r="A2409" s="5">
        <v>2025</v>
      </c>
      <c r="B2409" s="6">
        <v>45717</v>
      </c>
      <c r="C2409" s="5" t="s">
        <v>15</v>
      </c>
      <c r="D2409" s="3" t="str" cm="1">
        <f t="array" ref="D2409">_xlfn.IFS(
 ISNUMBER(SEARCH("WHISK",C2409)),"Whiskey",
 ISNUMBER(SEARCH("BOURBON",C2409)),"Whiskey",
 ISNUMBER(SEARCH("SCOTCH",C2409)),"Whiskey",
 ISNUMBER(SEARCH("RYE",C2409)),"Whiskey",
 ISNUMBER(SEARCH("VODKA",C2409)),"Vodka",
 ISNUMBER(SEARCH("TEQUILA",C2409)),"Tequila/Mezcal",
 ISNUMBER(SEARCH("MEZCAL",C2409)),"Tequila/Mezcal",
 ISNUMBER(SEARCH("RUM",C2409)),"Rum",
 ISNUMBER(SEARCH("BRAND",C2409)),"Brandy",
 ISNUMBER(SEARCH("COGNAC",C2409)),"Brandy",
 ISNUMBER(SEARCH("LIQUEUR",C2409)),"Liqueurs",
 ISNUMBER(SEARCH("CORDIAL",C2409)),"Liqueurs",
 ISNUMBER(SEARCH("SCHNAPP",C2409)),"Liqueurs",
 ISNUMBER(SEARCH("GIN",C2409)),"Gin",
 TRUE,"Other")</f>
        <v>Vodka</v>
      </c>
      <c r="E2409" s="5">
        <v>496660</v>
      </c>
      <c r="F2409" s="5">
        <v>4832195.2600000901</v>
      </c>
      <c r="G2409" s="5"/>
      <c r="H2409" s="5">
        <v>31137</v>
      </c>
    </row>
    <row r="2410" spans="1:8">
      <c r="A2410" s="5">
        <v>2025</v>
      </c>
      <c r="B2410" s="6">
        <v>45717</v>
      </c>
      <c r="C2410" s="5" t="s">
        <v>16</v>
      </c>
      <c r="D2410" s="3" t="str" cm="1">
        <f t="array" ref="D2410">_xlfn.IFS(
 ISNUMBER(SEARCH("WHISK",C2410)),"Whiskey",
 ISNUMBER(SEARCH("BOURBON",C2410)),"Whiskey",
 ISNUMBER(SEARCH("SCOTCH",C2410)),"Whiskey",
 ISNUMBER(SEARCH("RYE",C2410)),"Whiskey",
 ISNUMBER(SEARCH("VODKA",C2410)),"Vodka",
 ISNUMBER(SEARCH("TEQUILA",C2410)),"Tequila/Mezcal",
 ISNUMBER(SEARCH("MEZCAL",C2410)),"Tequila/Mezcal",
 ISNUMBER(SEARCH("RUM",C2410)),"Rum",
 ISNUMBER(SEARCH("BRAND",C2410)),"Brandy",
 ISNUMBER(SEARCH("COGNAC",C2410)),"Brandy",
 ISNUMBER(SEARCH("LIQUEUR",C2410)),"Liqueurs",
 ISNUMBER(SEARCH("CORDIAL",C2410)),"Liqueurs",
 ISNUMBER(SEARCH("SCHNAPP",C2410)),"Liqueurs",
 ISNUMBER(SEARCH("GIN",C2410)),"Gin",
 TRUE,"Other")</f>
        <v>Whiskey</v>
      </c>
      <c r="E2410" s="5">
        <v>65705</v>
      </c>
      <c r="F2410" s="5">
        <v>826991.28999999585</v>
      </c>
      <c r="G2410" s="5"/>
      <c r="H2410" s="5">
        <v>6670</v>
      </c>
    </row>
    <row r="2411" spans="1:8">
      <c r="A2411" s="5">
        <v>2025</v>
      </c>
      <c r="B2411" s="6">
        <v>45717</v>
      </c>
      <c r="C2411" s="5" t="s">
        <v>18</v>
      </c>
      <c r="D2411" s="3" t="str" cm="1">
        <f t="array" ref="D2411">_xlfn.IFS(
 ISNUMBER(SEARCH("WHISK",C2411)),"Whiskey",
 ISNUMBER(SEARCH("BOURBON",C2411)),"Whiskey",
 ISNUMBER(SEARCH("SCOTCH",C2411)),"Whiskey",
 ISNUMBER(SEARCH("RYE",C2411)),"Whiskey",
 ISNUMBER(SEARCH("VODKA",C2411)),"Vodka",
 ISNUMBER(SEARCH("TEQUILA",C2411)),"Tequila/Mezcal",
 ISNUMBER(SEARCH("MEZCAL",C2411)),"Tequila/Mezcal",
 ISNUMBER(SEARCH("RUM",C2411)),"Rum",
 ISNUMBER(SEARCH("BRAND",C2411)),"Brandy",
 ISNUMBER(SEARCH("COGNAC",C2411)),"Brandy",
 ISNUMBER(SEARCH("LIQUEUR",C2411)),"Liqueurs",
 ISNUMBER(SEARCH("CORDIAL",C2411)),"Liqueurs",
 ISNUMBER(SEARCH("SCHNAPP",C2411)),"Liqueurs",
 ISNUMBER(SEARCH("GIN",C2411)),"Gin",
 TRUE,"Other")</f>
        <v>Whiskey</v>
      </c>
      <c r="E2411" s="5">
        <v>206639</v>
      </c>
      <c r="F2411" s="5">
        <v>3206856.7299998491</v>
      </c>
      <c r="G2411" s="5"/>
      <c r="H2411" s="5">
        <v>18359</v>
      </c>
    </row>
    <row r="2412" spans="1:8">
      <c r="A2412" s="5">
        <v>2025</v>
      </c>
      <c r="B2412" s="6">
        <v>45717</v>
      </c>
      <c r="C2412" s="5" t="s">
        <v>43</v>
      </c>
      <c r="D2412" s="3" t="str" cm="1">
        <f t="array" ref="D2412">_xlfn.IFS(
 ISNUMBER(SEARCH("WHISK",C2412)),"Whiskey",
 ISNUMBER(SEARCH("BOURBON",C2412)),"Whiskey",
 ISNUMBER(SEARCH("SCOTCH",C2412)),"Whiskey",
 ISNUMBER(SEARCH("RYE",C2412)),"Whiskey",
 ISNUMBER(SEARCH("VODKA",C2412)),"Vodka",
 ISNUMBER(SEARCH("TEQUILA",C2412)),"Tequila/Mezcal",
 ISNUMBER(SEARCH("MEZCAL",C2412)),"Tequila/Mezcal",
 ISNUMBER(SEARCH("RUM",C2412)),"Rum",
 ISNUMBER(SEARCH("BRAND",C2412)),"Brandy",
 ISNUMBER(SEARCH("COGNAC",C2412)),"Brandy",
 ISNUMBER(SEARCH("LIQUEUR",C2412)),"Liqueurs",
 ISNUMBER(SEARCH("CORDIAL",C2412)),"Liqueurs",
 ISNUMBER(SEARCH("SCHNAPP",C2412)),"Liqueurs",
 ISNUMBER(SEARCH("GIN",C2412)),"Gin",
 TRUE,"Other")</f>
        <v>Whiskey</v>
      </c>
      <c r="E2412" s="5">
        <v>129776</v>
      </c>
      <c r="F2412" s="5">
        <v>2891156.2100000153</v>
      </c>
      <c r="G2412" s="5"/>
      <c r="H2412" s="5">
        <v>15562</v>
      </c>
    </row>
    <row r="2413" spans="1:8">
      <c r="A2413" s="5">
        <v>2025</v>
      </c>
      <c r="B2413" s="6">
        <v>45717</v>
      </c>
      <c r="C2413" s="5" t="s">
        <v>48</v>
      </c>
      <c r="D2413" s="3" t="str" cm="1">
        <f t="array" ref="D2413">_xlfn.IFS(
 ISNUMBER(SEARCH("WHISK",C2413)),"Whiskey",
 ISNUMBER(SEARCH("BOURBON",C2413)),"Whiskey",
 ISNUMBER(SEARCH("SCOTCH",C2413)),"Whiskey",
 ISNUMBER(SEARCH("RYE",C2413)),"Whiskey",
 ISNUMBER(SEARCH("VODKA",C2413)),"Vodka",
 ISNUMBER(SEARCH("TEQUILA",C2413)),"Tequila/Mezcal",
 ISNUMBER(SEARCH("MEZCAL",C2413)),"Tequila/Mezcal",
 ISNUMBER(SEARCH("RUM",C2413)),"Rum",
 ISNUMBER(SEARCH("BRAND",C2413)),"Brandy",
 ISNUMBER(SEARCH("COGNAC",C2413)),"Brandy",
 ISNUMBER(SEARCH("LIQUEUR",C2413)),"Liqueurs",
 ISNUMBER(SEARCH("CORDIAL",C2413)),"Liqueurs",
 ISNUMBER(SEARCH("SCHNAPP",C2413)),"Liqueurs",
 ISNUMBER(SEARCH("GIN",C2413)),"Gin",
 TRUE,"Other")</f>
        <v>Whiskey</v>
      </c>
      <c r="E2413" s="5">
        <v>355805</v>
      </c>
      <c r="F2413" s="5">
        <v>2065495.9499999513</v>
      </c>
      <c r="G2413" s="5"/>
      <c r="H2413" s="5">
        <v>13493</v>
      </c>
    </row>
    <row r="2414" spans="1:8">
      <c r="A2414" s="5">
        <v>2025</v>
      </c>
      <c r="B2414" s="6">
        <v>45717</v>
      </c>
      <c r="C2414" s="5" t="s">
        <v>50</v>
      </c>
      <c r="D2414" s="3" t="str" cm="1">
        <f t="array" ref="D2414">_xlfn.IFS(
 ISNUMBER(SEARCH("WHISK",C2414)),"Whiskey",
 ISNUMBER(SEARCH("BOURBON",C2414)),"Whiskey",
 ISNUMBER(SEARCH("SCOTCH",C2414)),"Whiskey",
 ISNUMBER(SEARCH("RYE",C2414)),"Whiskey",
 ISNUMBER(SEARCH("VODKA",C2414)),"Vodka",
 ISNUMBER(SEARCH("TEQUILA",C2414)),"Tequila/Mezcal",
 ISNUMBER(SEARCH("MEZCAL",C2414)),"Tequila/Mezcal",
 ISNUMBER(SEARCH("RUM",C2414)),"Rum",
 ISNUMBER(SEARCH("BRAND",C2414)),"Brandy",
 ISNUMBER(SEARCH("COGNAC",C2414)),"Brandy",
 ISNUMBER(SEARCH("LIQUEUR",C2414)),"Liqueurs",
 ISNUMBER(SEARCH("CORDIAL",C2414)),"Liqueurs",
 ISNUMBER(SEARCH("SCHNAPP",C2414)),"Liqueurs",
 ISNUMBER(SEARCH("GIN",C2414)),"Gin",
 TRUE,"Other")</f>
        <v>Tequila/Mezcal</v>
      </c>
      <c r="E2414" s="5">
        <v>93644</v>
      </c>
      <c r="F2414" s="5">
        <v>2619453.6599999345</v>
      </c>
      <c r="G2414" s="5"/>
      <c r="H2414" s="5">
        <v>11159</v>
      </c>
    </row>
    <row r="2415" spans="1:8">
      <c r="A2415" s="5">
        <v>2025</v>
      </c>
      <c r="B2415" s="6">
        <v>45717</v>
      </c>
      <c r="C2415" s="5" t="s">
        <v>7</v>
      </c>
      <c r="D2415" s="3" t="str" cm="1">
        <f t="array" ref="D2415">_xlfn.IFS(
 ISNUMBER(SEARCH("WHISK",C2415)),"Whiskey",
 ISNUMBER(SEARCH("BOURBON",C2415)),"Whiskey",
 ISNUMBER(SEARCH("SCOTCH",C2415)),"Whiskey",
 ISNUMBER(SEARCH("RYE",C2415)),"Whiskey",
 ISNUMBER(SEARCH("VODKA",C2415)),"Vodka",
 ISNUMBER(SEARCH("TEQUILA",C2415)),"Tequila/Mezcal",
 ISNUMBER(SEARCH("MEZCAL",C2415)),"Tequila/Mezcal",
 ISNUMBER(SEARCH("RUM",C2415)),"Rum",
 ISNUMBER(SEARCH("BRAND",C2415)),"Brandy",
 ISNUMBER(SEARCH("COGNAC",C2415)),"Brandy",
 ISNUMBER(SEARCH("LIQUEUR",C2415)),"Liqueurs",
 ISNUMBER(SEARCH("CORDIAL",C2415)),"Liqueurs",
 ISNUMBER(SEARCH("SCHNAPP",C2415)),"Liqueurs",
 ISNUMBER(SEARCH("GIN",C2415)),"Gin",
 TRUE,"Other")</f>
        <v>Rum</v>
      </c>
      <c r="E2415" s="5">
        <v>3480</v>
      </c>
      <c r="F2415" s="5">
        <v>74584.00999999998</v>
      </c>
      <c r="G2415" s="5"/>
      <c r="H2415" s="5">
        <v>595</v>
      </c>
    </row>
    <row r="2416" spans="1:8">
      <c r="A2416" s="5">
        <v>2025</v>
      </c>
      <c r="B2416" s="6">
        <v>45717</v>
      </c>
      <c r="C2416" s="5" t="s">
        <v>8</v>
      </c>
      <c r="D2416" s="3" t="str" cm="1">
        <f t="array" ref="D2416">_xlfn.IFS(
 ISNUMBER(SEARCH("WHISK",C2416)),"Whiskey",
 ISNUMBER(SEARCH("BOURBON",C2416)),"Whiskey",
 ISNUMBER(SEARCH("SCOTCH",C2416)),"Whiskey",
 ISNUMBER(SEARCH("RYE",C2416)),"Whiskey",
 ISNUMBER(SEARCH("VODKA",C2416)),"Vodka",
 ISNUMBER(SEARCH("TEQUILA",C2416)),"Tequila/Mezcal",
 ISNUMBER(SEARCH("MEZCAL",C2416)),"Tequila/Mezcal",
 ISNUMBER(SEARCH("RUM",C2416)),"Rum",
 ISNUMBER(SEARCH("BRAND",C2416)),"Brandy",
 ISNUMBER(SEARCH("COGNAC",C2416)),"Brandy",
 ISNUMBER(SEARCH("LIQUEUR",C2416)),"Liqueurs",
 ISNUMBER(SEARCH("CORDIAL",C2416)),"Liqueurs",
 ISNUMBER(SEARCH("SCHNAPP",C2416)),"Liqueurs",
 ISNUMBER(SEARCH("GIN",C2416)),"Gin",
 TRUE,"Other")</f>
        <v>Brandy</v>
      </c>
      <c r="E2416" s="5">
        <v>52579</v>
      </c>
      <c r="F2416" s="5">
        <v>329391.52000000171</v>
      </c>
      <c r="G2416" s="5"/>
      <c r="H2416" s="5">
        <v>4103</v>
      </c>
    </row>
    <row r="2417" spans="1:8">
      <c r="A2417" s="5">
        <v>2025</v>
      </c>
      <c r="B2417" s="6">
        <v>45717</v>
      </c>
      <c r="C2417" s="5" t="s">
        <v>59</v>
      </c>
      <c r="D2417" s="3" t="str" cm="1">
        <f t="array" ref="D2417">_xlfn.IFS(
 ISNUMBER(SEARCH("WHISK",C2417)),"Whiskey",
 ISNUMBER(SEARCH("BOURBON",C2417)),"Whiskey",
 ISNUMBER(SEARCH("SCOTCH",C2417)),"Whiskey",
 ISNUMBER(SEARCH("RYE",C2417)),"Whiskey",
 ISNUMBER(SEARCH("VODKA",C2417)),"Vodka",
 ISNUMBER(SEARCH("TEQUILA",C2417)),"Tequila/Mezcal",
 ISNUMBER(SEARCH("MEZCAL",C2417)),"Tequila/Mezcal",
 ISNUMBER(SEARCH("RUM",C2417)),"Rum",
 ISNUMBER(SEARCH("BRAND",C2417)),"Brandy",
 ISNUMBER(SEARCH("COGNAC",C2417)),"Brandy",
 ISNUMBER(SEARCH("LIQUEUR",C2417)),"Liqueurs",
 ISNUMBER(SEARCH("CORDIAL",C2417)),"Liqueurs",
 ISNUMBER(SEARCH("SCHNAPP",C2417)),"Liqueurs",
 ISNUMBER(SEARCH("GIN",C2417)),"Gin",
 TRUE,"Other")</f>
        <v>Liqueurs</v>
      </c>
      <c r="E2417" s="5">
        <v>31824</v>
      </c>
      <c r="F2417" s="5">
        <v>360219.53999999713</v>
      </c>
      <c r="G2417" s="5"/>
      <c r="H2417" s="5">
        <v>4690</v>
      </c>
    </row>
    <row r="2418" spans="1:8">
      <c r="A2418" s="5">
        <v>2025</v>
      </c>
      <c r="B2418" s="6">
        <v>45717</v>
      </c>
      <c r="C2418" s="5" t="s">
        <v>11</v>
      </c>
      <c r="D2418" s="3" t="str" cm="1">
        <f t="array" ref="D2418">_xlfn.IFS(
 ISNUMBER(SEARCH("WHISK",C2418)),"Whiskey",
 ISNUMBER(SEARCH("BOURBON",C2418)),"Whiskey",
 ISNUMBER(SEARCH("SCOTCH",C2418)),"Whiskey",
 ISNUMBER(SEARCH("RYE",C2418)),"Whiskey",
 ISNUMBER(SEARCH("VODKA",C2418)),"Vodka",
 ISNUMBER(SEARCH("TEQUILA",C2418)),"Tequila/Mezcal",
 ISNUMBER(SEARCH("MEZCAL",C2418)),"Tequila/Mezcal",
 ISNUMBER(SEARCH("RUM",C2418)),"Rum",
 ISNUMBER(SEARCH("BRAND",C2418)),"Brandy",
 ISNUMBER(SEARCH("COGNAC",C2418)),"Brandy",
 ISNUMBER(SEARCH("LIQUEUR",C2418)),"Liqueurs",
 ISNUMBER(SEARCH("CORDIAL",C2418)),"Liqueurs",
 ISNUMBER(SEARCH("SCHNAPP",C2418)),"Liqueurs",
 ISNUMBER(SEARCH("GIN",C2418)),"Gin",
 TRUE,"Other")</f>
        <v>Gin</v>
      </c>
      <c r="E2418" s="5">
        <v>25126</v>
      </c>
      <c r="F2418" s="5">
        <v>233833.49000000046</v>
      </c>
      <c r="G2418" s="5"/>
      <c r="H2418" s="5">
        <v>2271</v>
      </c>
    </row>
    <row r="2419" spans="1:8">
      <c r="A2419" s="5">
        <v>2025</v>
      </c>
      <c r="B2419" s="6">
        <v>45717</v>
      </c>
      <c r="C2419" s="5" t="s">
        <v>12</v>
      </c>
      <c r="D2419" s="3" t="str" cm="1">
        <f t="array" ref="D2419">_xlfn.IFS(
 ISNUMBER(SEARCH("WHISK",C2419)),"Whiskey",
 ISNUMBER(SEARCH("BOURBON",C2419)),"Whiskey",
 ISNUMBER(SEARCH("SCOTCH",C2419)),"Whiskey",
 ISNUMBER(SEARCH("RYE",C2419)),"Whiskey",
 ISNUMBER(SEARCH("VODKA",C2419)),"Vodka",
 ISNUMBER(SEARCH("TEQUILA",C2419)),"Tequila/Mezcal",
 ISNUMBER(SEARCH("MEZCAL",C2419)),"Tequila/Mezcal",
 ISNUMBER(SEARCH("RUM",C2419)),"Rum",
 ISNUMBER(SEARCH("BRAND",C2419)),"Brandy",
 ISNUMBER(SEARCH("COGNAC",C2419)),"Brandy",
 ISNUMBER(SEARCH("LIQUEUR",C2419)),"Liqueurs",
 ISNUMBER(SEARCH("CORDIAL",C2419)),"Liqueurs",
 ISNUMBER(SEARCH("SCHNAPP",C2419)),"Liqueurs",
 ISNUMBER(SEARCH("GIN",C2419)),"Gin",
 TRUE,"Other")</f>
        <v>Vodka</v>
      </c>
      <c r="E2419" s="5">
        <v>71193</v>
      </c>
      <c r="F2419" s="5">
        <v>819644.55000003357</v>
      </c>
      <c r="G2419" s="5"/>
      <c r="H2419" s="5">
        <v>8340</v>
      </c>
    </row>
    <row r="2420" spans="1:8">
      <c r="A2420" s="5">
        <v>2025</v>
      </c>
      <c r="B2420" s="6">
        <v>45717</v>
      </c>
      <c r="C2420" s="5" t="s">
        <v>13</v>
      </c>
      <c r="D2420" s="3" t="str" cm="1">
        <f t="array" ref="D2420">_xlfn.IFS(
 ISNUMBER(SEARCH("WHISK",C2420)),"Whiskey",
 ISNUMBER(SEARCH("BOURBON",C2420)),"Whiskey",
 ISNUMBER(SEARCH("SCOTCH",C2420)),"Whiskey",
 ISNUMBER(SEARCH("RYE",C2420)),"Whiskey",
 ISNUMBER(SEARCH("VODKA",C2420)),"Vodka",
 ISNUMBER(SEARCH("TEQUILA",C2420)),"Tequila/Mezcal",
 ISNUMBER(SEARCH("MEZCAL",C2420)),"Tequila/Mezcal",
 ISNUMBER(SEARCH("RUM",C2420)),"Rum",
 ISNUMBER(SEARCH("BRAND",C2420)),"Brandy",
 ISNUMBER(SEARCH("COGNAC",C2420)),"Brandy",
 ISNUMBER(SEARCH("LIQUEUR",C2420)),"Liqueurs",
 ISNUMBER(SEARCH("CORDIAL",C2420)),"Liqueurs",
 ISNUMBER(SEARCH("SCHNAPP",C2420)),"Liqueurs",
 ISNUMBER(SEARCH("GIN",C2420)),"Gin",
 TRUE,"Other")</f>
        <v>Liqueurs</v>
      </c>
      <c r="E2420" s="5">
        <v>89095</v>
      </c>
      <c r="F2420" s="5">
        <v>624306.08999996644</v>
      </c>
      <c r="G2420" s="5"/>
      <c r="H2420" s="5">
        <v>7105</v>
      </c>
    </row>
    <row r="2421" spans="1:8">
      <c r="A2421" s="5">
        <v>2025</v>
      </c>
      <c r="B2421" s="6">
        <v>45717</v>
      </c>
      <c r="C2421" s="5" t="s">
        <v>17</v>
      </c>
      <c r="D2421" s="3" t="str" cm="1">
        <f t="array" ref="D2421">_xlfn.IFS(
 ISNUMBER(SEARCH("WHISK",C2421)),"Whiskey",
 ISNUMBER(SEARCH("BOURBON",C2421)),"Whiskey",
 ISNUMBER(SEARCH("SCOTCH",C2421)),"Whiskey",
 ISNUMBER(SEARCH("RYE",C2421)),"Whiskey",
 ISNUMBER(SEARCH("VODKA",C2421)),"Vodka",
 ISNUMBER(SEARCH("TEQUILA",C2421)),"Tequila/Mezcal",
 ISNUMBER(SEARCH("MEZCAL",C2421)),"Tequila/Mezcal",
 ISNUMBER(SEARCH("RUM",C2421)),"Rum",
 ISNUMBER(SEARCH("BRAND",C2421)),"Brandy",
 ISNUMBER(SEARCH("COGNAC",C2421)),"Brandy",
 ISNUMBER(SEARCH("LIQUEUR",C2421)),"Liqueurs",
 ISNUMBER(SEARCH("CORDIAL",C2421)),"Liqueurs",
 ISNUMBER(SEARCH("SCHNAPP",C2421)),"Liqueurs",
 ISNUMBER(SEARCH("GIN",C2421)),"Gin",
 TRUE,"Other")</f>
        <v>Whiskey</v>
      </c>
      <c r="E2421" s="5">
        <v>2987</v>
      </c>
      <c r="F2421" s="5">
        <v>81073.000000000015</v>
      </c>
      <c r="G2421" s="5"/>
      <c r="H2421" s="5">
        <v>1008</v>
      </c>
    </row>
    <row r="2422" spans="1:8">
      <c r="A2422" s="5">
        <v>2025</v>
      </c>
      <c r="B2422" s="6">
        <v>45717</v>
      </c>
      <c r="C2422" s="5" t="s">
        <v>20</v>
      </c>
      <c r="D2422" s="3" t="str" cm="1">
        <f t="array" ref="D2422">_xlfn.IFS(
 ISNUMBER(SEARCH("WHISK",C2422)),"Whiskey",
 ISNUMBER(SEARCH("BOURBON",C2422)),"Whiskey",
 ISNUMBER(SEARCH("SCOTCH",C2422)),"Whiskey",
 ISNUMBER(SEARCH("RYE",C2422)),"Whiskey",
 ISNUMBER(SEARCH("VODKA",C2422)),"Vodka",
 ISNUMBER(SEARCH("TEQUILA",C2422)),"Tequila/Mezcal",
 ISNUMBER(SEARCH("MEZCAL",C2422)),"Tequila/Mezcal",
 ISNUMBER(SEARCH("RUM",C2422)),"Rum",
 ISNUMBER(SEARCH("BRAND",C2422)),"Brandy",
 ISNUMBER(SEARCH("COGNAC",C2422)),"Brandy",
 ISNUMBER(SEARCH("LIQUEUR",C2422)),"Liqueurs",
 ISNUMBER(SEARCH("CORDIAL",C2422)),"Liqueurs",
 ISNUMBER(SEARCH("SCHNAPP",C2422)),"Liqueurs",
 ISNUMBER(SEARCH("GIN",C2422)),"Gin",
 TRUE,"Other")</f>
        <v>Liqueurs</v>
      </c>
      <c r="E2422" s="5">
        <v>6910</v>
      </c>
      <c r="F2422" s="5">
        <v>145761.88000000067</v>
      </c>
      <c r="G2422" s="5"/>
      <c r="H2422" s="5">
        <v>801</v>
      </c>
    </row>
    <row r="2423" spans="1:8">
      <c r="A2423" s="5">
        <v>2025</v>
      </c>
      <c r="B2423" s="6">
        <v>45717</v>
      </c>
      <c r="C2423" s="5" t="s">
        <v>22</v>
      </c>
      <c r="D2423" s="3" t="str" cm="1">
        <f t="array" ref="D2423">_xlfn.IFS(
 ISNUMBER(SEARCH("WHISK",C2423)),"Whiskey",
 ISNUMBER(SEARCH("BOURBON",C2423)),"Whiskey",
 ISNUMBER(SEARCH("SCOTCH",C2423)),"Whiskey",
 ISNUMBER(SEARCH("RYE",C2423)),"Whiskey",
 ISNUMBER(SEARCH("VODKA",C2423)),"Vodka",
 ISNUMBER(SEARCH("TEQUILA",C2423)),"Tequila/Mezcal",
 ISNUMBER(SEARCH("MEZCAL",C2423)),"Tequila/Mezcal",
 ISNUMBER(SEARCH("RUM",C2423)),"Rum",
 ISNUMBER(SEARCH("BRAND",C2423)),"Brandy",
 ISNUMBER(SEARCH("COGNAC",C2423)),"Brandy",
 ISNUMBER(SEARCH("LIQUEUR",C2423)),"Liqueurs",
 ISNUMBER(SEARCH("CORDIAL",C2423)),"Liqueurs",
 ISNUMBER(SEARCH("SCHNAPP",C2423)),"Liqueurs",
 ISNUMBER(SEARCH("GIN",C2423)),"Gin",
 TRUE,"Other")</f>
        <v>Liqueurs</v>
      </c>
      <c r="E2423" s="5">
        <v>24065</v>
      </c>
      <c r="F2423" s="5">
        <v>496850.38999999559</v>
      </c>
      <c r="G2423" s="5"/>
      <c r="H2423" s="5">
        <v>2991</v>
      </c>
    </row>
    <row r="2424" spans="1:8">
      <c r="A2424" s="5">
        <v>2025</v>
      </c>
      <c r="B2424" s="6">
        <v>45717</v>
      </c>
      <c r="C2424" s="5" t="s">
        <v>24</v>
      </c>
      <c r="D2424" s="3" t="str" cm="1">
        <f t="array" ref="D2424">_xlfn.IFS(
 ISNUMBER(SEARCH("WHISK",C2424)),"Whiskey",
 ISNUMBER(SEARCH("BOURBON",C2424)),"Whiskey",
 ISNUMBER(SEARCH("SCOTCH",C2424)),"Whiskey",
 ISNUMBER(SEARCH("RYE",C2424)),"Whiskey",
 ISNUMBER(SEARCH("VODKA",C2424)),"Vodka",
 ISNUMBER(SEARCH("TEQUILA",C2424)),"Tequila/Mezcal",
 ISNUMBER(SEARCH("MEZCAL",C2424)),"Tequila/Mezcal",
 ISNUMBER(SEARCH("RUM",C2424)),"Rum",
 ISNUMBER(SEARCH("BRAND",C2424)),"Brandy",
 ISNUMBER(SEARCH("COGNAC",C2424)),"Brandy",
 ISNUMBER(SEARCH("LIQUEUR",C2424)),"Liqueurs",
 ISNUMBER(SEARCH("CORDIAL",C2424)),"Liqueurs",
 ISNUMBER(SEARCH("SCHNAPP",C2424)),"Liqueurs",
 ISNUMBER(SEARCH("GIN",C2424)),"Gin",
 TRUE,"Other")</f>
        <v>Rum</v>
      </c>
      <c r="E2424" s="5">
        <v>32251</v>
      </c>
      <c r="F2424" s="5">
        <v>480076.48000000068</v>
      </c>
      <c r="G2424" s="5"/>
      <c r="H2424" s="5">
        <v>3279</v>
      </c>
    </row>
    <row r="2425" spans="1:8">
      <c r="A2425" s="5">
        <v>2025</v>
      </c>
      <c r="B2425" s="6">
        <v>45717</v>
      </c>
      <c r="C2425" s="5" t="s">
        <v>25</v>
      </c>
      <c r="D2425" s="3" t="str" cm="1">
        <f t="array" ref="D2425">_xlfn.IFS(
 ISNUMBER(SEARCH("WHISK",C2425)),"Whiskey",
 ISNUMBER(SEARCH("BOURBON",C2425)),"Whiskey",
 ISNUMBER(SEARCH("SCOTCH",C2425)),"Whiskey",
 ISNUMBER(SEARCH("RYE",C2425)),"Whiskey",
 ISNUMBER(SEARCH("VODKA",C2425)),"Vodka",
 ISNUMBER(SEARCH("TEQUILA",C2425)),"Tequila/Mezcal",
 ISNUMBER(SEARCH("MEZCAL",C2425)),"Tequila/Mezcal",
 ISNUMBER(SEARCH("RUM",C2425)),"Rum",
 ISNUMBER(SEARCH("BRAND",C2425)),"Brandy",
 ISNUMBER(SEARCH("COGNAC",C2425)),"Brandy",
 ISNUMBER(SEARCH("LIQUEUR",C2425)),"Liqueurs",
 ISNUMBER(SEARCH("CORDIAL",C2425)),"Liqueurs",
 ISNUMBER(SEARCH("SCHNAPP",C2425)),"Liqueurs",
 ISNUMBER(SEARCH("GIN",C2425)),"Gin",
 TRUE,"Other")</f>
        <v>Rum</v>
      </c>
      <c r="E2425" s="5">
        <v>4517</v>
      </c>
      <c r="F2425" s="5">
        <v>60440.180000000044</v>
      </c>
      <c r="G2425" s="5"/>
      <c r="H2425" s="5">
        <v>688</v>
      </c>
    </row>
    <row r="2426" spans="1:8">
      <c r="A2426" s="5">
        <v>2025</v>
      </c>
      <c r="B2426" s="6">
        <v>45717</v>
      </c>
      <c r="C2426" s="5" t="s">
        <v>26</v>
      </c>
      <c r="D2426" s="3" t="str" cm="1">
        <f t="array" ref="D2426">_xlfn.IFS(
 ISNUMBER(SEARCH("WHISK",C2426)),"Whiskey",
 ISNUMBER(SEARCH("BOURBON",C2426)),"Whiskey",
 ISNUMBER(SEARCH("SCOTCH",C2426)),"Whiskey",
 ISNUMBER(SEARCH("RYE",C2426)),"Whiskey",
 ISNUMBER(SEARCH("VODKA",C2426)),"Vodka",
 ISNUMBER(SEARCH("TEQUILA",C2426)),"Tequila/Mezcal",
 ISNUMBER(SEARCH("MEZCAL",C2426)),"Tequila/Mezcal",
 ISNUMBER(SEARCH("RUM",C2426)),"Rum",
 ISNUMBER(SEARCH("BRAND",C2426)),"Brandy",
 ISNUMBER(SEARCH("COGNAC",C2426)),"Brandy",
 ISNUMBER(SEARCH("LIQUEUR",C2426)),"Liqueurs",
 ISNUMBER(SEARCH("CORDIAL",C2426)),"Liqueurs",
 ISNUMBER(SEARCH("SCHNAPP",C2426)),"Liqueurs",
 ISNUMBER(SEARCH("GIN",C2426)),"Gin",
 TRUE,"Other")</f>
        <v>Brandy</v>
      </c>
      <c r="E2426" s="5">
        <v>34306</v>
      </c>
      <c r="F2426" s="5">
        <v>684613.9700000016</v>
      </c>
      <c r="G2426" s="5"/>
      <c r="H2426" s="5">
        <v>2976</v>
      </c>
    </row>
    <row r="2427" spans="1:8">
      <c r="A2427" s="5">
        <v>2025</v>
      </c>
      <c r="B2427" s="6">
        <v>45717</v>
      </c>
      <c r="C2427" s="5" t="s">
        <v>60</v>
      </c>
      <c r="D2427" s="3" t="str" cm="1">
        <f t="array" ref="D2427">_xlfn.IFS(
 ISNUMBER(SEARCH("WHISK",C2427)),"Whiskey",
 ISNUMBER(SEARCH("BOURBON",C2427)),"Whiskey",
 ISNUMBER(SEARCH("SCOTCH",C2427)),"Whiskey",
 ISNUMBER(SEARCH("RYE",C2427)),"Whiskey",
 ISNUMBER(SEARCH("VODKA",C2427)),"Vodka",
 ISNUMBER(SEARCH("TEQUILA",C2427)),"Tequila/Mezcal",
 ISNUMBER(SEARCH("MEZCAL",C2427)),"Tequila/Mezcal",
 ISNUMBER(SEARCH("RUM",C2427)),"Rum",
 ISNUMBER(SEARCH("BRAND",C2427)),"Brandy",
 ISNUMBER(SEARCH("COGNAC",C2427)),"Brandy",
 ISNUMBER(SEARCH("LIQUEUR",C2427)),"Liqueurs",
 ISNUMBER(SEARCH("CORDIAL",C2427)),"Liqueurs",
 ISNUMBER(SEARCH("SCHNAPP",C2427)),"Liqueurs",
 ISNUMBER(SEARCH("GIN",C2427)),"Gin",
 TRUE,"Other")</f>
        <v>Liqueurs</v>
      </c>
      <c r="E2427" s="5">
        <v>42650</v>
      </c>
      <c r="F2427" s="5">
        <v>979712.37000000011</v>
      </c>
      <c r="G2427" s="5"/>
      <c r="H2427" s="5">
        <v>4573</v>
      </c>
    </row>
    <row r="2428" spans="1:8">
      <c r="A2428" s="5">
        <v>2025</v>
      </c>
      <c r="B2428" s="6">
        <v>45717</v>
      </c>
      <c r="C2428" s="5" t="s">
        <v>28</v>
      </c>
      <c r="D2428" s="3" t="str" cm="1">
        <f t="array" ref="D2428">_xlfn.IFS(
 ISNUMBER(SEARCH("WHISK",C2428)),"Whiskey",
 ISNUMBER(SEARCH("BOURBON",C2428)),"Whiskey",
 ISNUMBER(SEARCH("SCOTCH",C2428)),"Whiskey",
 ISNUMBER(SEARCH("RYE",C2428)),"Whiskey",
 ISNUMBER(SEARCH("VODKA",C2428)),"Vodka",
 ISNUMBER(SEARCH("TEQUILA",C2428)),"Tequila/Mezcal",
 ISNUMBER(SEARCH("MEZCAL",C2428)),"Tequila/Mezcal",
 ISNUMBER(SEARCH("RUM",C2428)),"Rum",
 ISNUMBER(SEARCH("BRAND",C2428)),"Brandy",
 ISNUMBER(SEARCH("COGNAC",C2428)),"Brandy",
 ISNUMBER(SEARCH("LIQUEUR",C2428)),"Liqueurs",
 ISNUMBER(SEARCH("CORDIAL",C2428)),"Liqueurs",
 ISNUMBER(SEARCH("SCHNAPP",C2428)),"Liqueurs",
 ISNUMBER(SEARCH("GIN",C2428)),"Gin",
 TRUE,"Other")</f>
        <v>Other</v>
      </c>
      <c r="E2428" s="5">
        <v>28584</v>
      </c>
      <c r="F2428" s="5">
        <v>200660.09999999998</v>
      </c>
      <c r="G2428" s="5"/>
      <c r="H2428" s="5">
        <v>866</v>
      </c>
    </row>
    <row r="2429" spans="1:8">
      <c r="A2429" s="5">
        <v>2025</v>
      </c>
      <c r="B2429" s="6">
        <v>45717</v>
      </c>
      <c r="C2429" s="5" t="s">
        <v>29</v>
      </c>
      <c r="D2429" s="3" t="str" cm="1">
        <f t="array" ref="D2429">_xlfn.IFS(
 ISNUMBER(SEARCH("WHISK",C2429)),"Whiskey",
 ISNUMBER(SEARCH("BOURBON",C2429)),"Whiskey",
 ISNUMBER(SEARCH("SCOTCH",C2429)),"Whiskey",
 ISNUMBER(SEARCH("RYE",C2429)),"Whiskey",
 ISNUMBER(SEARCH("VODKA",C2429)),"Vodka",
 ISNUMBER(SEARCH("TEQUILA",C2429)),"Tequila/Mezcal",
 ISNUMBER(SEARCH("MEZCAL",C2429)),"Tequila/Mezcal",
 ISNUMBER(SEARCH("RUM",C2429)),"Rum",
 ISNUMBER(SEARCH("BRAND",C2429)),"Brandy",
 ISNUMBER(SEARCH("COGNAC",C2429)),"Brandy",
 ISNUMBER(SEARCH("LIQUEUR",C2429)),"Liqueurs",
 ISNUMBER(SEARCH("CORDIAL",C2429)),"Liqueurs",
 ISNUMBER(SEARCH("SCHNAPP",C2429)),"Liqueurs",
 ISNUMBER(SEARCH("GIN",C2429)),"Gin",
 TRUE,"Other")</f>
        <v>Gin</v>
      </c>
      <c r="E2429" s="5">
        <v>12271</v>
      </c>
      <c r="F2429" s="5">
        <v>311445.27000000095</v>
      </c>
      <c r="G2429" s="5"/>
      <c r="H2429" s="5">
        <v>1657</v>
      </c>
    </row>
    <row r="2430" spans="1:8">
      <c r="A2430" s="5">
        <v>2025</v>
      </c>
      <c r="B2430" s="6">
        <v>45717</v>
      </c>
      <c r="C2430" s="5" t="s">
        <v>30</v>
      </c>
      <c r="D2430" s="3" t="str" cm="1">
        <f t="array" ref="D2430">_xlfn.IFS(
 ISNUMBER(SEARCH("WHISK",C2430)),"Whiskey",
 ISNUMBER(SEARCH("BOURBON",C2430)),"Whiskey",
 ISNUMBER(SEARCH("SCOTCH",C2430)),"Whiskey",
 ISNUMBER(SEARCH("RYE",C2430)),"Whiskey",
 ISNUMBER(SEARCH("VODKA",C2430)),"Vodka",
 ISNUMBER(SEARCH("TEQUILA",C2430)),"Tequila/Mezcal",
 ISNUMBER(SEARCH("MEZCAL",C2430)),"Tequila/Mezcal",
 ISNUMBER(SEARCH("RUM",C2430)),"Rum",
 ISNUMBER(SEARCH("BRAND",C2430)),"Brandy",
 ISNUMBER(SEARCH("COGNAC",C2430)),"Brandy",
 ISNUMBER(SEARCH("LIQUEUR",C2430)),"Liqueurs",
 ISNUMBER(SEARCH("CORDIAL",C2430)),"Liqueurs",
 ISNUMBER(SEARCH("SCHNAPP",C2430)),"Liqueurs",
 ISNUMBER(SEARCH("GIN",C2430)),"Gin",
 TRUE,"Other")</f>
        <v>Vodka</v>
      </c>
      <c r="E2430" s="5">
        <v>16827</v>
      </c>
      <c r="F2430" s="5">
        <v>275318.14000000223</v>
      </c>
      <c r="G2430" s="5"/>
      <c r="H2430" s="5">
        <v>2019</v>
      </c>
    </row>
    <row r="2431" spans="1:8">
      <c r="A2431" s="5">
        <v>2025</v>
      </c>
      <c r="B2431" s="6">
        <v>45717</v>
      </c>
      <c r="C2431" s="5" t="s">
        <v>31</v>
      </c>
      <c r="D2431" s="3" t="str" cm="1">
        <f t="array" ref="D2431">_xlfn.IFS(
 ISNUMBER(SEARCH("WHISK",C2431)),"Whiskey",
 ISNUMBER(SEARCH("BOURBON",C2431)),"Whiskey",
 ISNUMBER(SEARCH("SCOTCH",C2431)),"Whiskey",
 ISNUMBER(SEARCH("RYE",C2431)),"Whiskey",
 ISNUMBER(SEARCH("VODKA",C2431)),"Vodka",
 ISNUMBER(SEARCH("TEQUILA",C2431)),"Tequila/Mezcal",
 ISNUMBER(SEARCH("MEZCAL",C2431)),"Tequila/Mezcal",
 ISNUMBER(SEARCH("RUM",C2431)),"Rum",
 ISNUMBER(SEARCH("BRAND",C2431)),"Brandy",
 ISNUMBER(SEARCH("COGNAC",C2431)),"Brandy",
 ISNUMBER(SEARCH("LIQUEUR",C2431)),"Liqueurs",
 ISNUMBER(SEARCH("CORDIAL",C2431)),"Liqueurs",
 ISNUMBER(SEARCH("SCHNAPP",C2431)),"Liqueurs",
 ISNUMBER(SEARCH("GIN",C2431)),"Gin",
 TRUE,"Other")</f>
        <v>Liqueurs</v>
      </c>
      <c r="E2431" s="5">
        <v>26293</v>
      </c>
      <c r="F2431" s="5">
        <v>479395.33000000141</v>
      </c>
      <c r="G2431" s="5"/>
      <c r="H2431" s="5">
        <v>2363</v>
      </c>
    </row>
    <row r="2432" spans="1:8">
      <c r="A2432" s="5">
        <v>2025</v>
      </c>
      <c r="B2432" s="6">
        <v>45717</v>
      </c>
      <c r="C2432" s="5" t="s">
        <v>32</v>
      </c>
      <c r="D2432" s="3" t="str" cm="1">
        <f t="array" ref="D2432">_xlfn.IFS(
 ISNUMBER(SEARCH("WHISK",C2432)),"Whiskey",
 ISNUMBER(SEARCH("BOURBON",C2432)),"Whiskey",
 ISNUMBER(SEARCH("SCOTCH",C2432)),"Whiskey",
 ISNUMBER(SEARCH("RYE",C2432)),"Whiskey",
 ISNUMBER(SEARCH("VODKA",C2432)),"Vodka",
 ISNUMBER(SEARCH("TEQUILA",C2432)),"Tequila/Mezcal",
 ISNUMBER(SEARCH("MEZCAL",C2432)),"Tequila/Mezcal",
 ISNUMBER(SEARCH("RUM",C2432)),"Rum",
 ISNUMBER(SEARCH("BRAND",C2432)),"Brandy",
 ISNUMBER(SEARCH("COGNAC",C2432)),"Brandy",
 ISNUMBER(SEARCH("LIQUEUR",C2432)),"Liqueurs",
 ISNUMBER(SEARCH("CORDIAL",C2432)),"Liqueurs",
 ISNUMBER(SEARCH("SCHNAPP",C2432)),"Liqueurs",
 ISNUMBER(SEARCH("GIN",C2432)),"Gin",
 TRUE,"Other")</f>
        <v>Vodka</v>
      </c>
      <c r="E2432" s="5">
        <v>64071</v>
      </c>
      <c r="F2432" s="5">
        <v>965960.99999998778</v>
      </c>
      <c r="G2432" s="5"/>
      <c r="H2432" s="5">
        <v>4208</v>
      </c>
    </row>
    <row r="2433" spans="1:8">
      <c r="A2433" s="5">
        <v>2025</v>
      </c>
      <c r="B2433" s="6">
        <v>45717</v>
      </c>
      <c r="C2433" s="5" t="s">
        <v>33</v>
      </c>
      <c r="D2433" s="3" t="str" cm="1">
        <f t="array" ref="D2433">_xlfn.IFS(
 ISNUMBER(SEARCH("WHISK",C2433)),"Whiskey",
 ISNUMBER(SEARCH("BOURBON",C2433)),"Whiskey",
 ISNUMBER(SEARCH("SCOTCH",C2433)),"Whiskey",
 ISNUMBER(SEARCH("RYE",C2433)),"Whiskey",
 ISNUMBER(SEARCH("VODKA",C2433)),"Vodka",
 ISNUMBER(SEARCH("TEQUILA",C2433)),"Tequila/Mezcal",
 ISNUMBER(SEARCH("MEZCAL",C2433)),"Tequila/Mezcal",
 ISNUMBER(SEARCH("RUM",C2433)),"Rum",
 ISNUMBER(SEARCH("BRAND",C2433)),"Brandy",
 ISNUMBER(SEARCH("COGNAC",C2433)),"Brandy",
 ISNUMBER(SEARCH("LIQUEUR",C2433)),"Liqueurs",
 ISNUMBER(SEARCH("CORDIAL",C2433)),"Liqueurs",
 ISNUMBER(SEARCH("SCHNAPP",C2433)),"Liqueurs",
 ISNUMBER(SEARCH("GIN",C2433)),"Gin",
 TRUE,"Other")</f>
        <v>Whiskey</v>
      </c>
      <c r="E2433" s="5">
        <v>33076</v>
      </c>
      <c r="F2433" s="5">
        <v>898778.51999997871</v>
      </c>
      <c r="G2433" s="5"/>
      <c r="H2433" s="5">
        <v>3037</v>
      </c>
    </row>
    <row r="2434" spans="1:8">
      <c r="A2434" s="5">
        <v>2025</v>
      </c>
      <c r="B2434" s="6">
        <v>45717</v>
      </c>
      <c r="C2434" s="5" t="s">
        <v>34</v>
      </c>
      <c r="D2434" s="3" t="str" cm="1">
        <f t="array" ref="D2434">_xlfn.IFS(
 ISNUMBER(SEARCH("WHISK",C2434)),"Whiskey",
 ISNUMBER(SEARCH("BOURBON",C2434)),"Whiskey",
 ISNUMBER(SEARCH("SCOTCH",C2434)),"Whiskey",
 ISNUMBER(SEARCH("RYE",C2434)),"Whiskey",
 ISNUMBER(SEARCH("VODKA",C2434)),"Vodka",
 ISNUMBER(SEARCH("TEQUILA",C2434)),"Tequila/Mezcal",
 ISNUMBER(SEARCH("MEZCAL",C2434)),"Tequila/Mezcal",
 ISNUMBER(SEARCH("RUM",C2434)),"Rum",
 ISNUMBER(SEARCH("BRAND",C2434)),"Brandy",
 ISNUMBER(SEARCH("COGNAC",C2434)),"Brandy",
 ISNUMBER(SEARCH("LIQUEUR",C2434)),"Liqueurs",
 ISNUMBER(SEARCH("CORDIAL",C2434)),"Liqueurs",
 ISNUMBER(SEARCH("SCHNAPP",C2434)),"Liqueurs",
 ISNUMBER(SEARCH("GIN",C2434)),"Gin",
 TRUE,"Other")</f>
        <v>Tequila/Mezcal</v>
      </c>
      <c r="E2434" s="5">
        <v>977</v>
      </c>
      <c r="F2434" s="5">
        <v>31673.919999999976</v>
      </c>
      <c r="G2434" s="5"/>
      <c r="H2434" s="5">
        <v>191</v>
      </c>
    </row>
    <row r="2435" spans="1:8">
      <c r="A2435" s="5">
        <v>2025</v>
      </c>
      <c r="B2435" s="6">
        <v>45717</v>
      </c>
      <c r="C2435" s="5" t="s">
        <v>35</v>
      </c>
      <c r="D2435" s="3" t="str" cm="1">
        <f t="array" ref="D2435">_xlfn.IFS(
 ISNUMBER(SEARCH("WHISK",C2435)),"Whiskey",
 ISNUMBER(SEARCH("BOURBON",C2435)),"Whiskey",
 ISNUMBER(SEARCH("SCOTCH",C2435)),"Whiskey",
 ISNUMBER(SEARCH("RYE",C2435)),"Whiskey",
 ISNUMBER(SEARCH("VODKA",C2435)),"Vodka",
 ISNUMBER(SEARCH("TEQUILA",C2435)),"Tequila/Mezcal",
 ISNUMBER(SEARCH("MEZCAL",C2435)),"Tequila/Mezcal",
 ISNUMBER(SEARCH("RUM",C2435)),"Rum",
 ISNUMBER(SEARCH("BRAND",C2435)),"Brandy",
 ISNUMBER(SEARCH("COGNAC",C2435)),"Brandy",
 ISNUMBER(SEARCH("LIQUEUR",C2435)),"Liqueurs",
 ISNUMBER(SEARCH("CORDIAL",C2435)),"Liqueurs",
 ISNUMBER(SEARCH("SCHNAPP",C2435)),"Liqueurs",
 ISNUMBER(SEARCH("GIN",C2435)),"Gin",
 TRUE,"Other")</f>
        <v>Tequila/Mezcal</v>
      </c>
      <c r="E2435" s="5">
        <v>58173</v>
      </c>
      <c r="F2435" s="5">
        <v>786900.00999999396</v>
      </c>
      <c r="G2435" s="5"/>
      <c r="H2435" s="5">
        <v>4159</v>
      </c>
    </row>
    <row r="2436" spans="1:8">
      <c r="A2436" s="5">
        <v>2025</v>
      </c>
      <c r="B2436" s="6">
        <v>45717</v>
      </c>
      <c r="C2436" s="5" t="s">
        <v>36</v>
      </c>
      <c r="D2436" s="3" t="str" cm="1">
        <f t="array" ref="D2436">_xlfn.IFS(
 ISNUMBER(SEARCH("WHISK",C2436)),"Whiskey",
 ISNUMBER(SEARCH("BOURBON",C2436)),"Whiskey",
 ISNUMBER(SEARCH("SCOTCH",C2436)),"Whiskey",
 ISNUMBER(SEARCH("RYE",C2436)),"Whiskey",
 ISNUMBER(SEARCH("VODKA",C2436)),"Vodka",
 ISNUMBER(SEARCH("TEQUILA",C2436)),"Tequila/Mezcal",
 ISNUMBER(SEARCH("MEZCAL",C2436)),"Tequila/Mezcal",
 ISNUMBER(SEARCH("RUM",C2436)),"Rum",
 ISNUMBER(SEARCH("BRAND",C2436)),"Brandy",
 ISNUMBER(SEARCH("COGNAC",C2436)),"Brandy",
 ISNUMBER(SEARCH("LIQUEUR",C2436)),"Liqueurs",
 ISNUMBER(SEARCH("CORDIAL",C2436)),"Liqueurs",
 ISNUMBER(SEARCH("SCHNAPP",C2436)),"Liqueurs",
 ISNUMBER(SEARCH("GIN",C2436)),"Gin",
 TRUE,"Other")</f>
        <v>Other</v>
      </c>
      <c r="E2436" s="5">
        <v>1934</v>
      </c>
      <c r="F2436" s="5">
        <v>28056.399999999994</v>
      </c>
      <c r="G2436" s="5"/>
      <c r="H2436" s="5">
        <v>274</v>
      </c>
    </row>
    <row r="2437" spans="1:8">
      <c r="A2437" s="5">
        <v>2025</v>
      </c>
      <c r="B2437" s="6">
        <v>45717</v>
      </c>
      <c r="C2437" s="5" t="s">
        <v>37</v>
      </c>
      <c r="D2437" s="3" t="str" cm="1">
        <f t="array" ref="D2437">_xlfn.IFS(
 ISNUMBER(SEARCH("WHISK",C2437)),"Whiskey",
 ISNUMBER(SEARCH("BOURBON",C2437)),"Whiskey",
 ISNUMBER(SEARCH("SCOTCH",C2437)),"Whiskey",
 ISNUMBER(SEARCH("RYE",C2437)),"Whiskey",
 ISNUMBER(SEARCH("VODKA",C2437)),"Vodka",
 ISNUMBER(SEARCH("TEQUILA",C2437)),"Tequila/Mezcal",
 ISNUMBER(SEARCH("MEZCAL",C2437)),"Tequila/Mezcal",
 ISNUMBER(SEARCH("RUM",C2437)),"Rum",
 ISNUMBER(SEARCH("BRAND",C2437)),"Brandy",
 ISNUMBER(SEARCH("COGNAC",C2437)),"Brandy",
 ISNUMBER(SEARCH("LIQUEUR",C2437)),"Liqueurs",
 ISNUMBER(SEARCH("CORDIAL",C2437)),"Liqueurs",
 ISNUMBER(SEARCH("SCHNAPP",C2437)),"Liqueurs",
 ISNUMBER(SEARCH("GIN",C2437)),"Gin",
 TRUE,"Other")</f>
        <v>Other</v>
      </c>
      <c r="E2437" s="5">
        <v>11203</v>
      </c>
      <c r="F2437" s="5">
        <v>186187.90000000133</v>
      </c>
      <c r="G2437" s="5"/>
      <c r="H2437" s="5">
        <v>2437</v>
      </c>
    </row>
    <row r="2438" spans="1:8">
      <c r="A2438" s="5">
        <v>2025</v>
      </c>
      <c r="B2438" s="6">
        <v>45717</v>
      </c>
      <c r="C2438" s="5" t="s">
        <v>38</v>
      </c>
      <c r="D2438" s="3" t="str" cm="1">
        <f t="array" ref="D2438">_xlfn.IFS(
 ISNUMBER(SEARCH("WHISK",C2438)),"Whiskey",
 ISNUMBER(SEARCH("BOURBON",C2438)),"Whiskey",
 ISNUMBER(SEARCH("SCOTCH",C2438)),"Whiskey",
 ISNUMBER(SEARCH("RYE",C2438)),"Whiskey",
 ISNUMBER(SEARCH("VODKA",C2438)),"Vodka",
 ISNUMBER(SEARCH("TEQUILA",C2438)),"Tequila/Mezcal",
 ISNUMBER(SEARCH("MEZCAL",C2438)),"Tequila/Mezcal",
 ISNUMBER(SEARCH("RUM",C2438)),"Rum",
 ISNUMBER(SEARCH("BRAND",C2438)),"Brandy",
 ISNUMBER(SEARCH("COGNAC",C2438)),"Brandy",
 ISNUMBER(SEARCH("LIQUEUR",C2438)),"Liqueurs",
 ISNUMBER(SEARCH("CORDIAL",C2438)),"Liqueurs",
 ISNUMBER(SEARCH("SCHNAPP",C2438)),"Liqueurs",
 ISNUMBER(SEARCH("GIN",C2438)),"Gin",
 TRUE,"Other")</f>
        <v>Whiskey</v>
      </c>
      <c r="E2438" s="5">
        <v>11131</v>
      </c>
      <c r="F2438" s="5">
        <v>298146.40999999992</v>
      </c>
      <c r="G2438" s="5"/>
      <c r="H2438" s="5">
        <v>1987</v>
      </c>
    </row>
    <row r="2439" spans="1:8">
      <c r="A2439" s="5">
        <v>2025</v>
      </c>
      <c r="B2439" s="6">
        <v>45717</v>
      </c>
      <c r="C2439" s="5" t="s">
        <v>39</v>
      </c>
      <c r="D2439" s="3" t="str" cm="1">
        <f t="array" ref="D2439">_xlfn.IFS(
 ISNUMBER(SEARCH("WHISK",C2439)),"Whiskey",
 ISNUMBER(SEARCH("BOURBON",C2439)),"Whiskey",
 ISNUMBER(SEARCH("SCOTCH",C2439)),"Whiskey",
 ISNUMBER(SEARCH("RYE",C2439)),"Whiskey",
 ISNUMBER(SEARCH("VODKA",C2439)),"Vodka",
 ISNUMBER(SEARCH("TEQUILA",C2439)),"Tequila/Mezcal",
 ISNUMBER(SEARCH("MEZCAL",C2439)),"Tequila/Mezcal",
 ISNUMBER(SEARCH("RUM",C2439)),"Rum",
 ISNUMBER(SEARCH("BRAND",C2439)),"Brandy",
 ISNUMBER(SEARCH("COGNAC",C2439)),"Brandy",
 ISNUMBER(SEARCH("LIQUEUR",C2439)),"Liqueurs",
 ISNUMBER(SEARCH("CORDIAL",C2439)),"Liqueurs",
 ISNUMBER(SEARCH("SCHNAPP",C2439)),"Liqueurs",
 ISNUMBER(SEARCH("GIN",C2439)),"Gin",
 TRUE,"Other")</f>
        <v>Whiskey</v>
      </c>
      <c r="E2439" s="5">
        <v>3564</v>
      </c>
      <c r="F2439" s="5">
        <v>147087.60999999999</v>
      </c>
      <c r="G2439" s="5"/>
      <c r="H2439" s="5">
        <v>880</v>
      </c>
    </row>
    <row r="2440" spans="1:8">
      <c r="A2440" s="5">
        <v>2025</v>
      </c>
      <c r="B2440" s="6">
        <v>45717</v>
      </c>
      <c r="C2440" s="5" t="s">
        <v>40</v>
      </c>
      <c r="D2440" s="3" t="str" cm="1">
        <f t="array" ref="D2440">_xlfn.IFS(
 ISNUMBER(SEARCH("WHISK",C2440)),"Whiskey",
 ISNUMBER(SEARCH("BOURBON",C2440)),"Whiskey",
 ISNUMBER(SEARCH("SCOTCH",C2440)),"Whiskey",
 ISNUMBER(SEARCH("RYE",C2440)),"Whiskey",
 ISNUMBER(SEARCH("VODKA",C2440)),"Vodka",
 ISNUMBER(SEARCH("TEQUILA",C2440)),"Tequila/Mezcal",
 ISNUMBER(SEARCH("MEZCAL",C2440)),"Tequila/Mezcal",
 ISNUMBER(SEARCH("RUM",C2440)),"Rum",
 ISNUMBER(SEARCH("BRAND",C2440)),"Brandy",
 ISNUMBER(SEARCH("COGNAC",C2440)),"Brandy",
 ISNUMBER(SEARCH("LIQUEUR",C2440)),"Liqueurs",
 ISNUMBER(SEARCH("CORDIAL",C2440)),"Liqueurs",
 ISNUMBER(SEARCH("SCHNAPP",C2440)),"Liqueurs",
 ISNUMBER(SEARCH("GIN",C2440)),"Gin",
 TRUE,"Other")</f>
        <v>Whiskey</v>
      </c>
      <c r="E2440" s="5">
        <v>3890</v>
      </c>
      <c r="F2440" s="5">
        <v>231040.30000000045</v>
      </c>
      <c r="G2440" s="5"/>
      <c r="H2440" s="5">
        <v>1143</v>
      </c>
    </row>
    <row r="2441" spans="1:8">
      <c r="A2441" s="5">
        <v>2025</v>
      </c>
      <c r="B2441" s="6">
        <v>45717</v>
      </c>
      <c r="C2441" s="5" t="s">
        <v>42</v>
      </c>
      <c r="D2441" s="3" t="str" cm="1">
        <f t="array" ref="D2441">_xlfn.IFS(
 ISNUMBER(SEARCH("WHISK",C2441)),"Whiskey",
 ISNUMBER(SEARCH("BOURBON",C2441)),"Whiskey",
 ISNUMBER(SEARCH("SCOTCH",C2441)),"Whiskey",
 ISNUMBER(SEARCH("RYE",C2441)),"Whiskey",
 ISNUMBER(SEARCH("VODKA",C2441)),"Vodka",
 ISNUMBER(SEARCH("TEQUILA",C2441)),"Tequila/Mezcal",
 ISNUMBER(SEARCH("MEZCAL",C2441)),"Tequila/Mezcal",
 ISNUMBER(SEARCH("RUM",C2441)),"Rum",
 ISNUMBER(SEARCH("BRAND",C2441)),"Brandy",
 ISNUMBER(SEARCH("COGNAC",C2441)),"Brandy",
 ISNUMBER(SEARCH("LIQUEUR",C2441)),"Liqueurs",
 ISNUMBER(SEARCH("CORDIAL",C2441)),"Liqueurs",
 ISNUMBER(SEARCH("SCHNAPP",C2441)),"Liqueurs",
 ISNUMBER(SEARCH("GIN",C2441)),"Gin",
 TRUE,"Other")</f>
        <v>Rum</v>
      </c>
      <c r="E2441" s="5">
        <v>136762</v>
      </c>
      <c r="F2441" s="5">
        <v>2548110.7799998443</v>
      </c>
      <c r="G2441" s="5"/>
      <c r="H2441" s="5">
        <v>7100</v>
      </c>
    </row>
    <row r="2442" spans="1:8">
      <c r="A2442" s="5">
        <v>2025</v>
      </c>
      <c r="B2442" s="6">
        <v>45717</v>
      </c>
      <c r="C2442" s="5" t="s">
        <v>44</v>
      </c>
      <c r="D2442" s="3" t="str" cm="1">
        <f t="array" ref="D2442">_xlfn.IFS(
 ISNUMBER(SEARCH("WHISK",C2442)),"Whiskey",
 ISNUMBER(SEARCH("BOURBON",C2442)),"Whiskey",
 ISNUMBER(SEARCH("SCOTCH",C2442)),"Whiskey",
 ISNUMBER(SEARCH("RYE",C2442)),"Whiskey",
 ISNUMBER(SEARCH("VODKA",C2442)),"Vodka",
 ISNUMBER(SEARCH("TEQUILA",C2442)),"Tequila/Mezcal",
 ISNUMBER(SEARCH("MEZCAL",C2442)),"Tequila/Mezcal",
 ISNUMBER(SEARCH("RUM",C2442)),"Rum",
 ISNUMBER(SEARCH("BRAND",C2442)),"Brandy",
 ISNUMBER(SEARCH("COGNAC",C2442)),"Brandy",
 ISNUMBER(SEARCH("LIQUEUR",C2442)),"Liqueurs",
 ISNUMBER(SEARCH("CORDIAL",C2442)),"Liqueurs",
 ISNUMBER(SEARCH("SCHNAPP",C2442)),"Liqueurs",
 ISNUMBER(SEARCH("GIN",C2442)),"Gin",
 TRUE,"Other")</f>
        <v>Whiskey</v>
      </c>
      <c r="E2442" s="5">
        <v>7556</v>
      </c>
      <c r="F2442" s="5">
        <v>229058.77000000086</v>
      </c>
      <c r="G2442" s="5"/>
      <c r="H2442" s="5">
        <v>1544</v>
      </c>
    </row>
    <row r="2443" spans="1:8">
      <c r="A2443" s="5">
        <v>2025</v>
      </c>
      <c r="B2443" s="6">
        <v>45717</v>
      </c>
      <c r="C2443" s="5" t="s">
        <v>45</v>
      </c>
      <c r="D2443" s="3" t="str" cm="1">
        <f t="array" ref="D2443">_xlfn.IFS(
 ISNUMBER(SEARCH("WHISK",C2443)),"Whiskey",
 ISNUMBER(SEARCH("BOURBON",C2443)),"Whiskey",
 ISNUMBER(SEARCH("SCOTCH",C2443)),"Whiskey",
 ISNUMBER(SEARCH("RYE",C2443)),"Whiskey",
 ISNUMBER(SEARCH("VODKA",C2443)),"Vodka",
 ISNUMBER(SEARCH("TEQUILA",C2443)),"Tequila/Mezcal",
 ISNUMBER(SEARCH("MEZCAL",C2443)),"Tequila/Mezcal",
 ISNUMBER(SEARCH("RUM",C2443)),"Rum",
 ISNUMBER(SEARCH("BRAND",C2443)),"Brandy",
 ISNUMBER(SEARCH("COGNAC",C2443)),"Brandy",
 ISNUMBER(SEARCH("LIQUEUR",C2443)),"Liqueurs",
 ISNUMBER(SEARCH("CORDIAL",C2443)),"Liqueurs",
 ISNUMBER(SEARCH("SCHNAPP",C2443)),"Liqueurs",
 ISNUMBER(SEARCH("GIN",C2443)),"Gin",
 TRUE,"Other")</f>
        <v>Other</v>
      </c>
      <c r="E2443" s="5">
        <v>40202</v>
      </c>
      <c r="F2443" s="5">
        <v>1221911.5499999591</v>
      </c>
      <c r="G2443" s="5"/>
      <c r="H2443" s="5">
        <v>4892</v>
      </c>
    </row>
    <row r="2444" spans="1:8">
      <c r="A2444" s="5">
        <v>2025</v>
      </c>
      <c r="B2444" s="6">
        <v>45717</v>
      </c>
      <c r="C2444" s="5" t="s">
        <v>46</v>
      </c>
      <c r="D2444" s="3" t="str" cm="1">
        <f t="array" ref="D2444">_xlfn.IFS(
 ISNUMBER(SEARCH("WHISK",C2444)),"Whiskey",
 ISNUMBER(SEARCH("BOURBON",C2444)),"Whiskey",
 ISNUMBER(SEARCH("SCOTCH",C2444)),"Whiskey",
 ISNUMBER(SEARCH("RYE",C2444)),"Whiskey",
 ISNUMBER(SEARCH("VODKA",C2444)),"Vodka",
 ISNUMBER(SEARCH("TEQUILA",C2444)),"Tequila/Mezcal",
 ISNUMBER(SEARCH("MEZCAL",C2444)),"Tequila/Mezcal",
 ISNUMBER(SEARCH("RUM",C2444)),"Rum",
 ISNUMBER(SEARCH("BRAND",C2444)),"Brandy",
 ISNUMBER(SEARCH("COGNAC",C2444)),"Brandy",
 ISNUMBER(SEARCH("LIQUEUR",C2444)),"Liqueurs",
 ISNUMBER(SEARCH("CORDIAL",C2444)),"Liqueurs",
 ISNUMBER(SEARCH("SCHNAPP",C2444)),"Liqueurs",
 ISNUMBER(SEARCH("GIN",C2444)),"Gin",
 TRUE,"Other")</f>
        <v>Whiskey</v>
      </c>
      <c r="E2444" s="5">
        <v>60605</v>
      </c>
      <c r="F2444" s="5">
        <v>1388085.209999993</v>
      </c>
      <c r="G2444" s="5"/>
      <c r="H2444" s="5">
        <v>5687</v>
      </c>
    </row>
    <row r="2445" spans="1:8">
      <c r="A2445" s="5">
        <v>2025</v>
      </c>
      <c r="B2445" s="6">
        <v>45717</v>
      </c>
      <c r="C2445" s="5" t="s">
        <v>47</v>
      </c>
      <c r="D2445" s="3" t="str" cm="1">
        <f t="array" ref="D2445">_xlfn.IFS(
 ISNUMBER(SEARCH("WHISK",C2445)),"Whiskey",
 ISNUMBER(SEARCH("BOURBON",C2445)),"Whiskey",
 ISNUMBER(SEARCH("SCOTCH",C2445)),"Whiskey",
 ISNUMBER(SEARCH("RYE",C2445)),"Whiskey",
 ISNUMBER(SEARCH("VODKA",C2445)),"Vodka",
 ISNUMBER(SEARCH("TEQUILA",C2445)),"Tequila/Mezcal",
 ISNUMBER(SEARCH("MEZCAL",C2445)),"Tequila/Mezcal",
 ISNUMBER(SEARCH("RUM",C2445)),"Rum",
 ISNUMBER(SEARCH("BRAND",C2445)),"Brandy",
 ISNUMBER(SEARCH("COGNAC",C2445)),"Brandy",
 ISNUMBER(SEARCH("LIQUEUR",C2445)),"Liqueurs",
 ISNUMBER(SEARCH("CORDIAL",C2445)),"Liqueurs",
 ISNUMBER(SEARCH("SCHNAPP",C2445)),"Liqueurs",
 ISNUMBER(SEARCH("GIN",C2445)),"Gin",
 TRUE,"Other")</f>
        <v>Other</v>
      </c>
      <c r="E2445" s="5">
        <v>15241</v>
      </c>
      <c r="F2445" s="5">
        <v>62777.490000000042</v>
      </c>
      <c r="G2445" s="5"/>
      <c r="H2445" s="5">
        <v>573</v>
      </c>
    </row>
    <row r="2446" spans="1:8">
      <c r="A2446" s="5">
        <v>2025</v>
      </c>
      <c r="B2446" s="6">
        <v>45717</v>
      </c>
      <c r="C2446" s="5" t="s">
        <v>49</v>
      </c>
      <c r="D2446" s="3" t="str" cm="1">
        <f t="array" ref="D2446">_xlfn.IFS(
 ISNUMBER(SEARCH("WHISK",C2446)),"Whiskey",
 ISNUMBER(SEARCH("BOURBON",C2446)),"Whiskey",
 ISNUMBER(SEARCH("SCOTCH",C2446)),"Whiskey",
 ISNUMBER(SEARCH("RYE",C2446)),"Whiskey",
 ISNUMBER(SEARCH("VODKA",C2446)),"Vodka",
 ISNUMBER(SEARCH("TEQUILA",C2446)),"Tequila/Mezcal",
 ISNUMBER(SEARCH("MEZCAL",C2446)),"Tequila/Mezcal",
 ISNUMBER(SEARCH("RUM",C2446)),"Rum",
 ISNUMBER(SEARCH("BRAND",C2446)),"Brandy",
 ISNUMBER(SEARCH("COGNAC",C2446)),"Brandy",
 ISNUMBER(SEARCH("LIQUEUR",C2446)),"Liqueurs",
 ISNUMBER(SEARCH("CORDIAL",C2446)),"Liqueurs",
 ISNUMBER(SEARCH("SCHNAPP",C2446)),"Liqueurs",
 ISNUMBER(SEARCH("GIN",C2446)),"Gin",
 TRUE,"Other")</f>
        <v>Rum</v>
      </c>
      <c r="E2446" s="5">
        <v>30722</v>
      </c>
      <c r="F2446" s="5">
        <v>362505.31999999884</v>
      </c>
      <c r="G2446" s="5"/>
      <c r="H2446" s="5">
        <v>2923</v>
      </c>
    </row>
    <row r="2447" spans="1:8">
      <c r="A2447" s="5">
        <v>2025</v>
      </c>
      <c r="B2447" s="6">
        <v>45717</v>
      </c>
      <c r="C2447" s="5" t="s">
        <v>10</v>
      </c>
      <c r="D2447" s="3" t="str" cm="1">
        <f t="array" ref="D2447">_xlfn.IFS(
 ISNUMBER(SEARCH("WHISK",C2447)),"Whiskey",
 ISNUMBER(SEARCH("BOURBON",C2447)),"Whiskey",
 ISNUMBER(SEARCH("SCOTCH",C2447)),"Whiskey",
 ISNUMBER(SEARCH("RYE",C2447)),"Whiskey",
 ISNUMBER(SEARCH("VODKA",C2447)),"Vodka",
 ISNUMBER(SEARCH("TEQUILA",C2447)),"Tequila/Mezcal",
 ISNUMBER(SEARCH("MEZCAL",C2447)),"Tequila/Mezcal",
 ISNUMBER(SEARCH("RUM",C2447)),"Rum",
 ISNUMBER(SEARCH("BRAND",C2447)),"Brandy",
 ISNUMBER(SEARCH("COGNAC",C2447)),"Brandy",
 ISNUMBER(SEARCH("LIQUEUR",C2447)),"Liqueurs",
 ISNUMBER(SEARCH("CORDIAL",C2447)),"Liqueurs",
 ISNUMBER(SEARCH("SCHNAPP",C2447)),"Liqueurs",
 ISNUMBER(SEARCH("GIN",C2447)),"Gin",
 TRUE,"Other")</f>
        <v>Other</v>
      </c>
      <c r="E2447" s="5">
        <v>4016</v>
      </c>
      <c r="F2447" s="5">
        <v>69966.249999999927</v>
      </c>
      <c r="G2447" s="5"/>
      <c r="H2447" s="5">
        <v>486</v>
      </c>
    </row>
    <row r="2448" spans="1:8">
      <c r="A2448" s="5">
        <v>2025</v>
      </c>
      <c r="B2448" s="6">
        <v>45717</v>
      </c>
      <c r="C2448" s="5" t="s">
        <v>41</v>
      </c>
      <c r="D2448" s="3" t="str" cm="1">
        <f t="array" ref="D2448">_xlfn.IFS(
 ISNUMBER(SEARCH("WHISK",C2448)),"Whiskey",
 ISNUMBER(SEARCH("BOURBON",C2448)),"Whiskey",
 ISNUMBER(SEARCH("SCOTCH",C2448)),"Whiskey",
 ISNUMBER(SEARCH("RYE",C2448)),"Whiskey",
 ISNUMBER(SEARCH("VODKA",C2448)),"Vodka",
 ISNUMBER(SEARCH("TEQUILA",C2448)),"Tequila/Mezcal",
 ISNUMBER(SEARCH("MEZCAL",C2448)),"Tequila/Mezcal",
 ISNUMBER(SEARCH("RUM",C2448)),"Rum",
 ISNUMBER(SEARCH("BRAND",C2448)),"Brandy",
 ISNUMBER(SEARCH("COGNAC",C2448)),"Brandy",
 ISNUMBER(SEARCH("LIQUEUR",C2448)),"Liqueurs",
 ISNUMBER(SEARCH("CORDIAL",C2448)),"Liqueurs",
 ISNUMBER(SEARCH("SCHNAPP",C2448)),"Liqueurs",
 ISNUMBER(SEARCH("GIN",C2448)),"Gin",
 TRUE,"Other")</f>
        <v>Other</v>
      </c>
      <c r="E2448" s="5">
        <v>10571</v>
      </c>
      <c r="F2448" s="5">
        <v>124425.63999999998</v>
      </c>
      <c r="G2448" s="5"/>
      <c r="H2448" s="5">
        <v>116</v>
      </c>
    </row>
    <row r="2449" spans="1:8">
      <c r="A2449" s="5">
        <v>2025</v>
      </c>
      <c r="B2449" s="6">
        <v>45717</v>
      </c>
      <c r="C2449" s="5" t="s">
        <v>23</v>
      </c>
      <c r="D2449" s="3" t="str" cm="1">
        <f t="array" ref="D2449">_xlfn.IFS(
 ISNUMBER(SEARCH("WHISK",C2449)),"Whiskey",
 ISNUMBER(SEARCH("BOURBON",C2449)),"Whiskey",
 ISNUMBER(SEARCH("SCOTCH",C2449)),"Whiskey",
 ISNUMBER(SEARCH("RYE",C2449)),"Whiskey",
 ISNUMBER(SEARCH("VODKA",C2449)),"Vodka",
 ISNUMBER(SEARCH("TEQUILA",C2449)),"Tequila/Mezcal",
 ISNUMBER(SEARCH("MEZCAL",C2449)),"Tequila/Mezcal",
 ISNUMBER(SEARCH("RUM",C2449)),"Rum",
 ISNUMBER(SEARCH("BRAND",C2449)),"Brandy",
 ISNUMBER(SEARCH("COGNAC",C2449)),"Brandy",
 ISNUMBER(SEARCH("LIQUEUR",C2449)),"Liqueurs",
 ISNUMBER(SEARCH("CORDIAL",C2449)),"Liqueurs",
 ISNUMBER(SEARCH("SCHNAPP",C2449)),"Liqueurs",
 ISNUMBER(SEARCH("GIN",C2449)),"Gin",
 TRUE,"Other")</f>
        <v>Gin</v>
      </c>
      <c r="E2449" s="5">
        <v>2555</v>
      </c>
      <c r="F2449" s="5">
        <v>64754.239999999998</v>
      </c>
      <c r="G2449" s="5"/>
      <c r="H2449" s="5">
        <v>301</v>
      </c>
    </row>
    <row r="2450" spans="1:8">
      <c r="A2450" s="5">
        <v>2025</v>
      </c>
      <c r="B2450" s="6">
        <v>45717</v>
      </c>
      <c r="C2450" s="5" t="s">
        <v>21</v>
      </c>
      <c r="D2450" s="3" t="str" cm="1">
        <f t="array" ref="D2450">_xlfn.IFS(
 ISNUMBER(SEARCH("WHISK",C2450)),"Whiskey",
 ISNUMBER(SEARCH("BOURBON",C2450)),"Whiskey",
 ISNUMBER(SEARCH("SCOTCH",C2450)),"Whiskey",
 ISNUMBER(SEARCH("RYE",C2450)),"Whiskey",
 ISNUMBER(SEARCH("VODKA",C2450)),"Vodka",
 ISNUMBER(SEARCH("TEQUILA",C2450)),"Tequila/Mezcal",
 ISNUMBER(SEARCH("MEZCAL",C2450)),"Tequila/Mezcal",
 ISNUMBER(SEARCH("RUM",C2450)),"Rum",
 ISNUMBER(SEARCH("BRAND",C2450)),"Brandy",
 ISNUMBER(SEARCH("COGNAC",C2450)),"Brandy",
 ISNUMBER(SEARCH("LIQUEUR",C2450)),"Liqueurs",
 ISNUMBER(SEARCH("CORDIAL",C2450)),"Liqueurs",
 ISNUMBER(SEARCH("SCHNAPP",C2450)),"Liqueurs",
 ISNUMBER(SEARCH("GIN",C2450)),"Gin",
 TRUE,"Other")</f>
        <v>Whiskey</v>
      </c>
      <c r="E2450" s="5">
        <v>409</v>
      </c>
      <c r="F2450" s="5">
        <v>8120.6399999999985</v>
      </c>
      <c r="G2450" s="5"/>
      <c r="H2450" s="5">
        <v>47</v>
      </c>
    </row>
    <row r="2451" spans="1:8">
      <c r="A2451" s="5">
        <v>2025</v>
      </c>
      <c r="B2451" s="6">
        <v>45717</v>
      </c>
      <c r="C2451" s="5" t="s">
        <v>14</v>
      </c>
      <c r="D2451" s="3" t="str" cm="1">
        <f t="array" ref="D2451">_xlfn.IFS(
 ISNUMBER(SEARCH("WHISK",C2451)),"Whiskey",
 ISNUMBER(SEARCH("BOURBON",C2451)),"Whiskey",
 ISNUMBER(SEARCH("SCOTCH",C2451)),"Whiskey",
 ISNUMBER(SEARCH("RYE",C2451)),"Whiskey",
 ISNUMBER(SEARCH("VODKA",C2451)),"Vodka",
 ISNUMBER(SEARCH("TEQUILA",C2451)),"Tequila/Mezcal",
 ISNUMBER(SEARCH("MEZCAL",C2451)),"Tequila/Mezcal",
 ISNUMBER(SEARCH("RUM",C2451)),"Rum",
 ISNUMBER(SEARCH("BRAND",C2451)),"Brandy",
 ISNUMBER(SEARCH("COGNAC",C2451)),"Brandy",
 ISNUMBER(SEARCH("LIQUEUR",C2451)),"Liqueurs",
 ISNUMBER(SEARCH("CORDIAL",C2451)),"Liqueurs",
 ISNUMBER(SEARCH("SCHNAPP",C2451)),"Liqueurs",
 ISNUMBER(SEARCH("GIN",C2451)),"Gin",
 TRUE,"Other")</f>
        <v>Gin</v>
      </c>
      <c r="E2451" s="5">
        <v>140</v>
      </c>
      <c r="F2451" s="5">
        <v>1195.5999999999999</v>
      </c>
      <c r="G2451" s="5"/>
      <c r="H2451" s="5">
        <v>30</v>
      </c>
    </row>
    <row r="2452" spans="1:8">
      <c r="A2452" s="5">
        <v>2025</v>
      </c>
      <c r="B2452" s="6">
        <v>45748</v>
      </c>
      <c r="C2452" s="5" t="s">
        <v>8</v>
      </c>
      <c r="D2452" s="3" t="str" cm="1">
        <f t="array" ref="D2452">_xlfn.IFS(
 ISNUMBER(SEARCH("WHISK",C2452)),"Whiskey",
 ISNUMBER(SEARCH("BOURBON",C2452)),"Whiskey",
 ISNUMBER(SEARCH("SCOTCH",C2452)),"Whiskey",
 ISNUMBER(SEARCH("RYE",C2452)),"Whiskey",
 ISNUMBER(SEARCH("VODKA",C2452)),"Vodka",
 ISNUMBER(SEARCH("TEQUILA",C2452)),"Tequila/Mezcal",
 ISNUMBER(SEARCH("MEZCAL",C2452)),"Tequila/Mezcal",
 ISNUMBER(SEARCH("RUM",C2452)),"Rum",
 ISNUMBER(SEARCH("BRAND",C2452)),"Brandy",
 ISNUMBER(SEARCH("COGNAC",C2452)),"Brandy",
 ISNUMBER(SEARCH("LIQUEUR",C2452)),"Liqueurs",
 ISNUMBER(SEARCH("CORDIAL",C2452)),"Liqueurs",
 ISNUMBER(SEARCH("SCHNAPP",C2452)),"Liqueurs",
 ISNUMBER(SEARCH("GIN",C2452)),"Gin",
 TRUE,"Other")</f>
        <v>Brandy</v>
      </c>
      <c r="E2452" s="5">
        <v>52966</v>
      </c>
      <c r="F2452" s="5">
        <v>334514.77000000182</v>
      </c>
      <c r="G2452" s="5"/>
      <c r="H2452" s="5">
        <v>4144</v>
      </c>
    </row>
    <row r="2453" spans="1:8">
      <c r="A2453" s="5">
        <v>2025</v>
      </c>
      <c r="B2453" s="6">
        <v>45748</v>
      </c>
      <c r="C2453" s="5" t="s">
        <v>59</v>
      </c>
      <c r="D2453" s="3" t="str" cm="1">
        <f t="array" ref="D2453">_xlfn.IFS(
 ISNUMBER(SEARCH("WHISK",C2453)),"Whiskey",
 ISNUMBER(SEARCH("BOURBON",C2453)),"Whiskey",
 ISNUMBER(SEARCH("SCOTCH",C2453)),"Whiskey",
 ISNUMBER(SEARCH("RYE",C2453)),"Whiskey",
 ISNUMBER(SEARCH("VODKA",C2453)),"Vodka",
 ISNUMBER(SEARCH("TEQUILA",C2453)),"Tequila/Mezcal",
 ISNUMBER(SEARCH("MEZCAL",C2453)),"Tequila/Mezcal",
 ISNUMBER(SEARCH("RUM",C2453)),"Rum",
 ISNUMBER(SEARCH("BRAND",C2453)),"Brandy",
 ISNUMBER(SEARCH("COGNAC",C2453)),"Brandy",
 ISNUMBER(SEARCH("LIQUEUR",C2453)),"Liqueurs",
 ISNUMBER(SEARCH("CORDIAL",C2453)),"Liqueurs",
 ISNUMBER(SEARCH("SCHNAPP",C2453)),"Liqueurs",
 ISNUMBER(SEARCH("GIN",C2453)),"Gin",
 TRUE,"Other")</f>
        <v>Liqueurs</v>
      </c>
      <c r="E2453" s="5">
        <v>32857</v>
      </c>
      <c r="F2453" s="5">
        <v>381403.95999999589</v>
      </c>
      <c r="G2453" s="5"/>
      <c r="H2453" s="5">
        <v>5174</v>
      </c>
    </row>
    <row r="2454" spans="1:8">
      <c r="A2454" s="5">
        <v>2025</v>
      </c>
      <c r="B2454" s="6">
        <v>45748</v>
      </c>
      <c r="C2454" s="5" t="s">
        <v>12</v>
      </c>
      <c r="D2454" s="3" t="str" cm="1">
        <f t="array" ref="D2454">_xlfn.IFS(
 ISNUMBER(SEARCH("WHISK",C2454)),"Whiskey",
 ISNUMBER(SEARCH("BOURBON",C2454)),"Whiskey",
 ISNUMBER(SEARCH("SCOTCH",C2454)),"Whiskey",
 ISNUMBER(SEARCH("RYE",C2454)),"Whiskey",
 ISNUMBER(SEARCH("VODKA",C2454)),"Vodka",
 ISNUMBER(SEARCH("TEQUILA",C2454)),"Tequila/Mezcal",
 ISNUMBER(SEARCH("MEZCAL",C2454)),"Tequila/Mezcal",
 ISNUMBER(SEARCH("RUM",C2454)),"Rum",
 ISNUMBER(SEARCH("BRAND",C2454)),"Brandy",
 ISNUMBER(SEARCH("COGNAC",C2454)),"Brandy",
 ISNUMBER(SEARCH("LIQUEUR",C2454)),"Liqueurs",
 ISNUMBER(SEARCH("CORDIAL",C2454)),"Liqueurs",
 ISNUMBER(SEARCH("SCHNAPP",C2454)),"Liqueurs",
 ISNUMBER(SEARCH("GIN",C2454)),"Gin",
 TRUE,"Other")</f>
        <v>Vodka</v>
      </c>
      <c r="E2454" s="5">
        <v>79002</v>
      </c>
      <c r="F2454" s="5">
        <v>896126.76000003959</v>
      </c>
      <c r="G2454" s="5"/>
      <c r="H2454" s="5">
        <v>9313</v>
      </c>
    </row>
    <row r="2455" spans="1:8">
      <c r="A2455" s="5">
        <v>2025</v>
      </c>
      <c r="B2455" s="6">
        <v>45748</v>
      </c>
      <c r="C2455" s="5" t="s">
        <v>13</v>
      </c>
      <c r="D2455" s="3" t="str" cm="1">
        <f t="array" ref="D2455">_xlfn.IFS(
 ISNUMBER(SEARCH("WHISK",C2455)),"Whiskey",
 ISNUMBER(SEARCH("BOURBON",C2455)),"Whiskey",
 ISNUMBER(SEARCH("SCOTCH",C2455)),"Whiskey",
 ISNUMBER(SEARCH("RYE",C2455)),"Whiskey",
 ISNUMBER(SEARCH("VODKA",C2455)),"Vodka",
 ISNUMBER(SEARCH("TEQUILA",C2455)),"Tequila/Mezcal",
 ISNUMBER(SEARCH("MEZCAL",C2455)),"Tequila/Mezcal",
 ISNUMBER(SEARCH("RUM",C2455)),"Rum",
 ISNUMBER(SEARCH("BRAND",C2455)),"Brandy",
 ISNUMBER(SEARCH("COGNAC",C2455)),"Brandy",
 ISNUMBER(SEARCH("LIQUEUR",C2455)),"Liqueurs",
 ISNUMBER(SEARCH("CORDIAL",C2455)),"Liqueurs",
 ISNUMBER(SEARCH("SCHNAPP",C2455)),"Liqueurs",
 ISNUMBER(SEARCH("GIN",C2455)),"Gin",
 TRUE,"Other")</f>
        <v>Liqueurs</v>
      </c>
      <c r="E2455" s="5">
        <v>96601</v>
      </c>
      <c r="F2455" s="5">
        <v>705803.23999996379</v>
      </c>
      <c r="G2455" s="5"/>
      <c r="H2455" s="5">
        <v>7863</v>
      </c>
    </row>
    <row r="2456" spans="1:8">
      <c r="A2456" s="5">
        <v>2025</v>
      </c>
      <c r="B2456" s="6">
        <v>45748</v>
      </c>
      <c r="C2456" s="5" t="s">
        <v>15</v>
      </c>
      <c r="D2456" s="3" t="str" cm="1">
        <f t="array" ref="D2456">_xlfn.IFS(
 ISNUMBER(SEARCH("WHISK",C2456)),"Whiskey",
 ISNUMBER(SEARCH("BOURBON",C2456)),"Whiskey",
 ISNUMBER(SEARCH("SCOTCH",C2456)),"Whiskey",
 ISNUMBER(SEARCH("RYE",C2456)),"Whiskey",
 ISNUMBER(SEARCH("VODKA",C2456)),"Vodka",
 ISNUMBER(SEARCH("TEQUILA",C2456)),"Tequila/Mezcal",
 ISNUMBER(SEARCH("MEZCAL",C2456)),"Tequila/Mezcal",
 ISNUMBER(SEARCH("RUM",C2456)),"Rum",
 ISNUMBER(SEARCH("BRAND",C2456)),"Brandy",
 ISNUMBER(SEARCH("COGNAC",C2456)),"Brandy",
 ISNUMBER(SEARCH("LIQUEUR",C2456)),"Liqueurs",
 ISNUMBER(SEARCH("CORDIAL",C2456)),"Liqueurs",
 ISNUMBER(SEARCH("SCHNAPP",C2456)),"Liqueurs",
 ISNUMBER(SEARCH("GIN",C2456)),"Gin",
 TRUE,"Other")</f>
        <v>Vodka</v>
      </c>
      <c r="E2456" s="5">
        <v>529807</v>
      </c>
      <c r="F2456" s="5">
        <v>5065855.0200000731</v>
      </c>
      <c r="G2456" s="5"/>
      <c r="H2456" s="5">
        <v>33401</v>
      </c>
    </row>
    <row r="2457" spans="1:8">
      <c r="A2457" s="5">
        <v>2025</v>
      </c>
      <c r="B2457" s="6">
        <v>45748</v>
      </c>
      <c r="C2457" s="5" t="s">
        <v>16</v>
      </c>
      <c r="D2457" s="3" t="str" cm="1">
        <f t="array" ref="D2457">_xlfn.IFS(
 ISNUMBER(SEARCH("WHISK",C2457)),"Whiskey",
 ISNUMBER(SEARCH("BOURBON",C2457)),"Whiskey",
 ISNUMBER(SEARCH("SCOTCH",C2457)),"Whiskey",
 ISNUMBER(SEARCH("RYE",C2457)),"Whiskey",
 ISNUMBER(SEARCH("VODKA",C2457)),"Vodka",
 ISNUMBER(SEARCH("TEQUILA",C2457)),"Tequila/Mezcal",
 ISNUMBER(SEARCH("MEZCAL",C2457)),"Tequila/Mezcal",
 ISNUMBER(SEARCH("RUM",C2457)),"Rum",
 ISNUMBER(SEARCH("BRAND",C2457)),"Brandy",
 ISNUMBER(SEARCH("COGNAC",C2457)),"Brandy",
 ISNUMBER(SEARCH("LIQUEUR",C2457)),"Liqueurs",
 ISNUMBER(SEARCH("CORDIAL",C2457)),"Liqueurs",
 ISNUMBER(SEARCH("SCHNAPP",C2457)),"Liqueurs",
 ISNUMBER(SEARCH("GIN",C2457)),"Gin",
 TRUE,"Other")</f>
        <v>Whiskey</v>
      </c>
      <c r="E2457" s="5">
        <v>64376</v>
      </c>
      <c r="F2457" s="5">
        <v>842760.54999998561</v>
      </c>
      <c r="G2457" s="5"/>
      <c r="H2457" s="5">
        <v>6959</v>
      </c>
    </row>
    <row r="2458" spans="1:8">
      <c r="A2458" s="5">
        <v>2025</v>
      </c>
      <c r="B2458" s="6">
        <v>45748</v>
      </c>
      <c r="C2458" s="5" t="s">
        <v>18</v>
      </c>
      <c r="D2458" s="3" t="str" cm="1">
        <f t="array" ref="D2458">_xlfn.IFS(
 ISNUMBER(SEARCH("WHISK",C2458)),"Whiskey",
 ISNUMBER(SEARCH("BOURBON",C2458)),"Whiskey",
 ISNUMBER(SEARCH("SCOTCH",C2458)),"Whiskey",
 ISNUMBER(SEARCH("RYE",C2458)),"Whiskey",
 ISNUMBER(SEARCH("VODKA",C2458)),"Vodka",
 ISNUMBER(SEARCH("TEQUILA",C2458)),"Tequila/Mezcal",
 ISNUMBER(SEARCH("MEZCAL",C2458)),"Tequila/Mezcal",
 ISNUMBER(SEARCH("RUM",C2458)),"Rum",
 ISNUMBER(SEARCH("BRAND",C2458)),"Brandy",
 ISNUMBER(SEARCH("COGNAC",C2458)),"Brandy",
 ISNUMBER(SEARCH("LIQUEUR",C2458)),"Liqueurs",
 ISNUMBER(SEARCH("CORDIAL",C2458)),"Liqueurs",
 ISNUMBER(SEARCH("SCHNAPP",C2458)),"Liqueurs",
 ISNUMBER(SEARCH("GIN",C2458)),"Gin",
 TRUE,"Other")</f>
        <v>Whiskey</v>
      </c>
      <c r="E2458" s="5">
        <v>252918</v>
      </c>
      <c r="F2458" s="5">
        <v>4286941.0399998575</v>
      </c>
      <c r="G2458" s="5"/>
      <c r="H2458" s="5">
        <v>19221</v>
      </c>
    </row>
    <row r="2459" spans="1:8">
      <c r="A2459" s="5">
        <v>2025</v>
      </c>
      <c r="B2459" s="6">
        <v>45748</v>
      </c>
      <c r="C2459" s="5" t="s">
        <v>19</v>
      </c>
      <c r="D2459" s="3" t="str" cm="1">
        <f t="array" ref="D2459">_xlfn.IFS(
 ISNUMBER(SEARCH("WHISK",C2459)),"Whiskey",
 ISNUMBER(SEARCH("BOURBON",C2459)),"Whiskey",
 ISNUMBER(SEARCH("SCOTCH",C2459)),"Whiskey",
 ISNUMBER(SEARCH("RYE",C2459)),"Whiskey",
 ISNUMBER(SEARCH("VODKA",C2459)),"Vodka",
 ISNUMBER(SEARCH("TEQUILA",C2459)),"Tequila/Mezcal",
 ISNUMBER(SEARCH("MEZCAL",C2459)),"Tequila/Mezcal",
 ISNUMBER(SEARCH("RUM",C2459)),"Rum",
 ISNUMBER(SEARCH("BRAND",C2459)),"Brandy",
 ISNUMBER(SEARCH("COGNAC",C2459)),"Brandy",
 ISNUMBER(SEARCH("LIQUEUR",C2459)),"Liqueurs",
 ISNUMBER(SEARCH("CORDIAL",C2459)),"Liqueurs",
 ISNUMBER(SEARCH("SCHNAPP",C2459)),"Liqueurs",
 ISNUMBER(SEARCH("GIN",C2459)),"Gin",
 TRUE,"Other")</f>
        <v>Other</v>
      </c>
      <c r="E2459" s="5">
        <v>79735</v>
      </c>
      <c r="F2459" s="5">
        <v>968593.95000000263</v>
      </c>
      <c r="G2459" s="5"/>
      <c r="H2459" s="5">
        <v>7779</v>
      </c>
    </row>
    <row r="2460" spans="1:8">
      <c r="A2460" s="5">
        <v>2025</v>
      </c>
      <c r="B2460" s="6">
        <v>45748</v>
      </c>
      <c r="C2460" s="5" t="s">
        <v>24</v>
      </c>
      <c r="D2460" s="3" t="str" cm="1">
        <f t="array" ref="D2460">_xlfn.IFS(
 ISNUMBER(SEARCH("WHISK",C2460)),"Whiskey",
 ISNUMBER(SEARCH("BOURBON",C2460)),"Whiskey",
 ISNUMBER(SEARCH("SCOTCH",C2460)),"Whiskey",
 ISNUMBER(SEARCH("RYE",C2460)),"Whiskey",
 ISNUMBER(SEARCH("VODKA",C2460)),"Vodka",
 ISNUMBER(SEARCH("TEQUILA",C2460)),"Tequila/Mezcal",
 ISNUMBER(SEARCH("MEZCAL",C2460)),"Tequila/Mezcal",
 ISNUMBER(SEARCH("RUM",C2460)),"Rum",
 ISNUMBER(SEARCH("BRAND",C2460)),"Brandy",
 ISNUMBER(SEARCH("COGNAC",C2460)),"Brandy",
 ISNUMBER(SEARCH("LIQUEUR",C2460)),"Liqueurs",
 ISNUMBER(SEARCH("CORDIAL",C2460)),"Liqueurs",
 ISNUMBER(SEARCH("SCHNAPP",C2460)),"Liqueurs",
 ISNUMBER(SEARCH("GIN",C2460)),"Gin",
 TRUE,"Other")</f>
        <v>Rum</v>
      </c>
      <c r="E2460" s="5">
        <v>43112</v>
      </c>
      <c r="F2460" s="5">
        <v>679526.97999998846</v>
      </c>
      <c r="G2460" s="5"/>
      <c r="H2460" s="5">
        <v>3816</v>
      </c>
    </row>
    <row r="2461" spans="1:8">
      <c r="A2461" s="5">
        <v>2025</v>
      </c>
      <c r="B2461" s="6">
        <v>45748</v>
      </c>
      <c r="C2461" s="5" t="s">
        <v>25</v>
      </c>
      <c r="D2461" s="3" t="str" cm="1">
        <f t="array" ref="D2461">_xlfn.IFS(
 ISNUMBER(SEARCH("WHISK",C2461)),"Whiskey",
 ISNUMBER(SEARCH("BOURBON",C2461)),"Whiskey",
 ISNUMBER(SEARCH("SCOTCH",C2461)),"Whiskey",
 ISNUMBER(SEARCH("RYE",C2461)),"Whiskey",
 ISNUMBER(SEARCH("VODKA",C2461)),"Vodka",
 ISNUMBER(SEARCH("TEQUILA",C2461)),"Tequila/Mezcal",
 ISNUMBER(SEARCH("MEZCAL",C2461)),"Tequila/Mezcal",
 ISNUMBER(SEARCH("RUM",C2461)),"Rum",
 ISNUMBER(SEARCH("BRAND",C2461)),"Brandy",
 ISNUMBER(SEARCH("COGNAC",C2461)),"Brandy",
 ISNUMBER(SEARCH("LIQUEUR",C2461)),"Liqueurs",
 ISNUMBER(SEARCH("CORDIAL",C2461)),"Liqueurs",
 ISNUMBER(SEARCH("SCHNAPP",C2461)),"Liqueurs",
 ISNUMBER(SEARCH("GIN",C2461)),"Gin",
 TRUE,"Other")</f>
        <v>Rum</v>
      </c>
      <c r="E2461" s="5">
        <v>5280</v>
      </c>
      <c r="F2461" s="5">
        <v>76333.890000000014</v>
      </c>
      <c r="G2461" s="5"/>
      <c r="H2461" s="5">
        <v>804</v>
      </c>
    </row>
    <row r="2462" spans="1:8">
      <c r="A2462" s="5">
        <v>2025</v>
      </c>
      <c r="B2462" s="6">
        <v>45748</v>
      </c>
      <c r="C2462" s="5" t="s">
        <v>60</v>
      </c>
      <c r="D2462" s="3" t="str" cm="1">
        <f t="array" ref="D2462">_xlfn.IFS(
 ISNUMBER(SEARCH("WHISK",C2462)),"Whiskey",
 ISNUMBER(SEARCH("BOURBON",C2462)),"Whiskey",
 ISNUMBER(SEARCH("SCOTCH",C2462)),"Whiskey",
 ISNUMBER(SEARCH("RYE",C2462)),"Whiskey",
 ISNUMBER(SEARCH("VODKA",C2462)),"Vodka",
 ISNUMBER(SEARCH("TEQUILA",C2462)),"Tequila/Mezcal",
 ISNUMBER(SEARCH("MEZCAL",C2462)),"Tequila/Mezcal",
 ISNUMBER(SEARCH("RUM",C2462)),"Rum",
 ISNUMBER(SEARCH("BRAND",C2462)),"Brandy",
 ISNUMBER(SEARCH("COGNAC",C2462)),"Brandy",
 ISNUMBER(SEARCH("LIQUEUR",C2462)),"Liqueurs",
 ISNUMBER(SEARCH("CORDIAL",C2462)),"Liqueurs",
 ISNUMBER(SEARCH("SCHNAPP",C2462)),"Liqueurs",
 ISNUMBER(SEARCH("GIN",C2462)),"Gin",
 TRUE,"Other")</f>
        <v>Liqueurs</v>
      </c>
      <c r="E2462" s="5">
        <v>40919</v>
      </c>
      <c r="F2462" s="5">
        <v>969205.13000000443</v>
      </c>
      <c r="G2462" s="5"/>
      <c r="H2462" s="5">
        <v>4877</v>
      </c>
    </row>
    <row r="2463" spans="1:8">
      <c r="A2463" s="5">
        <v>2025</v>
      </c>
      <c r="B2463" s="6">
        <v>45748</v>
      </c>
      <c r="C2463" s="5" t="s">
        <v>29</v>
      </c>
      <c r="D2463" s="3" t="str" cm="1">
        <f t="array" ref="D2463">_xlfn.IFS(
 ISNUMBER(SEARCH("WHISK",C2463)),"Whiskey",
 ISNUMBER(SEARCH("BOURBON",C2463)),"Whiskey",
 ISNUMBER(SEARCH("SCOTCH",C2463)),"Whiskey",
 ISNUMBER(SEARCH("RYE",C2463)),"Whiskey",
 ISNUMBER(SEARCH("VODKA",C2463)),"Vodka",
 ISNUMBER(SEARCH("TEQUILA",C2463)),"Tequila/Mezcal",
 ISNUMBER(SEARCH("MEZCAL",C2463)),"Tequila/Mezcal",
 ISNUMBER(SEARCH("RUM",C2463)),"Rum",
 ISNUMBER(SEARCH("BRAND",C2463)),"Brandy",
 ISNUMBER(SEARCH("COGNAC",C2463)),"Brandy",
 ISNUMBER(SEARCH("LIQUEUR",C2463)),"Liqueurs",
 ISNUMBER(SEARCH("CORDIAL",C2463)),"Liqueurs",
 ISNUMBER(SEARCH("SCHNAPP",C2463)),"Liqueurs",
 ISNUMBER(SEARCH("GIN",C2463)),"Gin",
 TRUE,"Other")</f>
        <v>Gin</v>
      </c>
      <c r="E2463" s="5">
        <v>16409</v>
      </c>
      <c r="F2463" s="5">
        <v>426005.7799999998</v>
      </c>
      <c r="G2463" s="5"/>
      <c r="H2463" s="5">
        <v>2011</v>
      </c>
    </row>
    <row r="2464" spans="1:8">
      <c r="A2464" s="5">
        <v>2025</v>
      </c>
      <c r="B2464" s="6">
        <v>45748</v>
      </c>
      <c r="C2464" s="5" t="s">
        <v>30</v>
      </c>
      <c r="D2464" s="3" t="str" cm="1">
        <f t="array" ref="D2464">_xlfn.IFS(
 ISNUMBER(SEARCH("WHISK",C2464)),"Whiskey",
 ISNUMBER(SEARCH("BOURBON",C2464)),"Whiskey",
 ISNUMBER(SEARCH("SCOTCH",C2464)),"Whiskey",
 ISNUMBER(SEARCH("RYE",C2464)),"Whiskey",
 ISNUMBER(SEARCH("VODKA",C2464)),"Vodka",
 ISNUMBER(SEARCH("TEQUILA",C2464)),"Tequila/Mezcal",
 ISNUMBER(SEARCH("MEZCAL",C2464)),"Tequila/Mezcal",
 ISNUMBER(SEARCH("RUM",C2464)),"Rum",
 ISNUMBER(SEARCH("BRAND",C2464)),"Brandy",
 ISNUMBER(SEARCH("COGNAC",C2464)),"Brandy",
 ISNUMBER(SEARCH("LIQUEUR",C2464)),"Liqueurs",
 ISNUMBER(SEARCH("CORDIAL",C2464)),"Liqueurs",
 ISNUMBER(SEARCH("SCHNAPP",C2464)),"Liqueurs",
 ISNUMBER(SEARCH("GIN",C2464)),"Gin",
 TRUE,"Other")</f>
        <v>Vodka</v>
      </c>
      <c r="E2464" s="5">
        <v>19165</v>
      </c>
      <c r="F2464" s="5">
        <v>307776.0500000022</v>
      </c>
      <c r="G2464" s="5"/>
      <c r="H2464" s="5">
        <v>2375</v>
      </c>
    </row>
    <row r="2465" spans="1:8">
      <c r="A2465" s="5">
        <v>2025</v>
      </c>
      <c r="B2465" s="6">
        <v>45748</v>
      </c>
      <c r="C2465" s="5" t="s">
        <v>32</v>
      </c>
      <c r="D2465" s="3" t="str" cm="1">
        <f t="array" ref="D2465">_xlfn.IFS(
 ISNUMBER(SEARCH("WHISK",C2465)),"Whiskey",
 ISNUMBER(SEARCH("BOURBON",C2465)),"Whiskey",
 ISNUMBER(SEARCH("SCOTCH",C2465)),"Whiskey",
 ISNUMBER(SEARCH("RYE",C2465)),"Whiskey",
 ISNUMBER(SEARCH("VODKA",C2465)),"Vodka",
 ISNUMBER(SEARCH("TEQUILA",C2465)),"Tequila/Mezcal",
 ISNUMBER(SEARCH("MEZCAL",C2465)),"Tequila/Mezcal",
 ISNUMBER(SEARCH("RUM",C2465)),"Rum",
 ISNUMBER(SEARCH("BRAND",C2465)),"Brandy",
 ISNUMBER(SEARCH("COGNAC",C2465)),"Brandy",
 ISNUMBER(SEARCH("LIQUEUR",C2465)),"Liqueurs",
 ISNUMBER(SEARCH("CORDIAL",C2465)),"Liqueurs",
 ISNUMBER(SEARCH("SCHNAPP",C2465)),"Liqueurs",
 ISNUMBER(SEARCH("GIN",C2465)),"Gin",
 TRUE,"Other")</f>
        <v>Vodka</v>
      </c>
      <c r="E2465" s="5">
        <v>76095</v>
      </c>
      <c r="F2465" s="5">
        <v>1176019.5299999567</v>
      </c>
      <c r="G2465" s="5"/>
      <c r="H2465" s="5">
        <v>4721</v>
      </c>
    </row>
    <row r="2466" spans="1:8">
      <c r="A2466" s="5">
        <v>2025</v>
      </c>
      <c r="B2466" s="6">
        <v>45748</v>
      </c>
      <c r="C2466" s="5" t="s">
        <v>38</v>
      </c>
      <c r="D2466" s="3" t="str" cm="1">
        <f t="array" ref="D2466">_xlfn.IFS(
 ISNUMBER(SEARCH("WHISK",C2466)),"Whiskey",
 ISNUMBER(SEARCH("BOURBON",C2466)),"Whiskey",
 ISNUMBER(SEARCH("SCOTCH",C2466)),"Whiskey",
 ISNUMBER(SEARCH("RYE",C2466)),"Whiskey",
 ISNUMBER(SEARCH("VODKA",C2466)),"Vodka",
 ISNUMBER(SEARCH("TEQUILA",C2466)),"Tequila/Mezcal",
 ISNUMBER(SEARCH("MEZCAL",C2466)),"Tequila/Mezcal",
 ISNUMBER(SEARCH("RUM",C2466)),"Rum",
 ISNUMBER(SEARCH("BRAND",C2466)),"Brandy",
 ISNUMBER(SEARCH("COGNAC",C2466)),"Brandy",
 ISNUMBER(SEARCH("LIQUEUR",C2466)),"Liqueurs",
 ISNUMBER(SEARCH("CORDIAL",C2466)),"Liqueurs",
 ISNUMBER(SEARCH("SCHNAPP",C2466)),"Liqueurs",
 ISNUMBER(SEARCH("GIN",C2466)),"Gin",
 TRUE,"Other")</f>
        <v>Whiskey</v>
      </c>
      <c r="E2466" s="5">
        <v>13687</v>
      </c>
      <c r="F2466" s="5">
        <v>394780.28999999963</v>
      </c>
      <c r="G2466" s="5"/>
      <c r="H2466" s="5">
        <v>2440</v>
      </c>
    </row>
    <row r="2467" spans="1:8">
      <c r="A2467" s="5">
        <v>2025</v>
      </c>
      <c r="B2467" s="6">
        <v>45748</v>
      </c>
      <c r="C2467" s="5" t="s">
        <v>42</v>
      </c>
      <c r="D2467" s="3" t="str" cm="1">
        <f t="array" ref="D2467">_xlfn.IFS(
 ISNUMBER(SEARCH("WHISK",C2467)),"Whiskey",
 ISNUMBER(SEARCH("BOURBON",C2467)),"Whiskey",
 ISNUMBER(SEARCH("SCOTCH",C2467)),"Whiskey",
 ISNUMBER(SEARCH("RYE",C2467)),"Whiskey",
 ISNUMBER(SEARCH("VODKA",C2467)),"Vodka",
 ISNUMBER(SEARCH("TEQUILA",C2467)),"Tequila/Mezcal",
 ISNUMBER(SEARCH("MEZCAL",C2467)),"Tequila/Mezcal",
 ISNUMBER(SEARCH("RUM",C2467)),"Rum",
 ISNUMBER(SEARCH("BRAND",C2467)),"Brandy",
 ISNUMBER(SEARCH("COGNAC",C2467)),"Brandy",
 ISNUMBER(SEARCH("LIQUEUR",C2467)),"Liqueurs",
 ISNUMBER(SEARCH("CORDIAL",C2467)),"Liqueurs",
 ISNUMBER(SEARCH("SCHNAPP",C2467)),"Liqueurs",
 ISNUMBER(SEARCH("GIN",C2467)),"Gin",
 TRUE,"Other")</f>
        <v>Rum</v>
      </c>
      <c r="E2467" s="5">
        <v>96791</v>
      </c>
      <c r="F2467" s="5">
        <v>1349458.0699999288</v>
      </c>
      <c r="G2467" s="5"/>
      <c r="H2467" s="5">
        <v>7391</v>
      </c>
    </row>
    <row r="2468" spans="1:8">
      <c r="A2468" s="5">
        <v>2025</v>
      </c>
      <c r="B2468" s="6">
        <v>45748</v>
      </c>
      <c r="C2468" s="5" t="s">
        <v>43</v>
      </c>
      <c r="D2468" s="3" t="str" cm="1">
        <f t="array" ref="D2468">_xlfn.IFS(
 ISNUMBER(SEARCH("WHISK",C2468)),"Whiskey",
 ISNUMBER(SEARCH("BOURBON",C2468)),"Whiskey",
 ISNUMBER(SEARCH("SCOTCH",C2468)),"Whiskey",
 ISNUMBER(SEARCH("RYE",C2468)),"Whiskey",
 ISNUMBER(SEARCH("VODKA",C2468)),"Vodka",
 ISNUMBER(SEARCH("TEQUILA",C2468)),"Tequila/Mezcal",
 ISNUMBER(SEARCH("MEZCAL",C2468)),"Tequila/Mezcal",
 ISNUMBER(SEARCH("RUM",C2468)),"Rum",
 ISNUMBER(SEARCH("BRAND",C2468)),"Brandy",
 ISNUMBER(SEARCH("COGNAC",C2468)),"Brandy",
 ISNUMBER(SEARCH("LIQUEUR",C2468)),"Liqueurs",
 ISNUMBER(SEARCH("CORDIAL",C2468)),"Liqueurs",
 ISNUMBER(SEARCH("SCHNAPP",C2468)),"Liqueurs",
 ISNUMBER(SEARCH("GIN",C2468)),"Gin",
 TRUE,"Other")</f>
        <v>Whiskey</v>
      </c>
      <c r="E2468" s="5">
        <v>141868</v>
      </c>
      <c r="F2468" s="5">
        <v>3306784.8700000439</v>
      </c>
      <c r="G2468" s="5"/>
      <c r="H2468" s="5">
        <v>17630</v>
      </c>
    </row>
    <row r="2469" spans="1:8">
      <c r="A2469" s="5">
        <v>2025</v>
      </c>
      <c r="B2469" s="6">
        <v>45748</v>
      </c>
      <c r="C2469" s="5" t="s">
        <v>48</v>
      </c>
      <c r="D2469" s="3" t="str" cm="1">
        <f t="array" ref="D2469">_xlfn.IFS(
 ISNUMBER(SEARCH("WHISK",C2469)),"Whiskey",
 ISNUMBER(SEARCH("BOURBON",C2469)),"Whiskey",
 ISNUMBER(SEARCH("SCOTCH",C2469)),"Whiskey",
 ISNUMBER(SEARCH("RYE",C2469)),"Whiskey",
 ISNUMBER(SEARCH("VODKA",C2469)),"Vodka",
 ISNUMBER(SEARCH("TEQUILA",C2469)),"Tequila/Mezcal",
 ISNUMBER(SEARCH("MEZCAL",C2469)),"Tequila/Mezcal",
 ISNUMBER(SEARCH("RUM",C2469)),"Rum",
 ISNUMBER(SEARCH("BRAND",C2469)),"Brandy",
 ISNUMBER(SEARCH("COGNAC",C2469)),"Brandy",
 ISNUMBER(SEARCH("LIQUEUR",C2469)),"Liqueurs",
 ISNUMBER(SEARCH("CORDIAL",C2469)),"Liqueurs",
 ISNUMBER(SEARCH("SCHNAPP",C2469)),"Liqueurs",
 ISNUMBER(SEARCH("GIN",C2469)),"Gin",
 TRUE,"Other")</f>
        <v>Whiskey</v>
      </c>
      <c r="E2469" s="5">
        <v>408872</v>
      </c>
      <c r="F2469" s="5">
        <v>2306181.6499999929</v>
      </c>
      <c r="G2469" s="5"/>
      <c r="H2469" s="5">
        <v>14900</v>
      </c>
    </row>
    <row r="2470" spans="1:8">
      <c r="A2470" s="5">
        <v>2025</v>
      </c>
      <c r="B2470" s="6">
        <v>45748</v>
      </c>
      <c r="C2470" s="5" t="s">
        <v>49</v>
      </c>
      <c r="D2470" s="3" t="str" cm="1">
        <f t="array" ref="D2470">_xlfn.IFS(
 ISNUMBER(SEARCH("WHISK",C2470)),"Whiskey",
 ISNUMBER(SEARCH("BOURBON",C2470)),"Whiskey",
 ISNUMBER(SEARCH("SCOTCH",C2470)),"Whiskey",
 ISNUMBER(SEARCH("RYE",C2470)),"Whiskey",
 ISNUMBER(SEARCH("VODKA",C2470)),"Vodka",
 ISNUMBER(SEARCH("TEQUILA",C2470)),"Tequila/Mezcal",
 ISNUMBER(SEARCH("MEZCAL",C2470)),"Tequila/Mezcal",
 ISNUMBER(SEARCH("RUM",C2470)),"Rum",
 ISNUMBER(SEARCH("BRAND",C2470)),"Brandy",
 ISNUMBER(SEARCH("COGNAC",C2470)),"Brandy",
 ISNUMBER(SEARCH("LIQUEUR",C2470)),"Liqueurs",
 ISNUMBER(SEARCH("CORDIAL",C2470)),"Liqueurs",
 ISNUMBER(SEARCH("SCHNAPP",C2470)),"Liqueurs",
 ISNUMBER(SEARCH("GIN",C2470)),"Gin",
 TRUE,"Other")</f>
        <v>Rum</v>
      </c>
      <c r="E2470" s="5">
        <v>35605</v>
      </c>
      <c r="F2470" s="5">
        <v>435193.7599999985</v>
      </c>
      <c r="G2470" s="5"/>
      <c r="H2470" s="5">
        <v>3252</v>
      </c>
    </row>
    <row r="2471" spans="1:8">
      <c r="A2471" s="5">
        <v>2025</v>
      </c>
      <c r="B2471" s="6">
        <v>45748</v>
      </c>
      <c r="C2471" s="5" t="s">
        <v>50</v>
      </c>
      <c r="D2471" s="3" t="str" cm="1">
        <f t="array" ref="D2471">_xlfn.IFS(
 ISNUMBER(SEARCH("WHISK",C2471)),"Whiskey",
 ISNUMBER(SEARCH("BOURBON",C2471)),"Whiskey",
 ISNUMBER(SEARCH("SCOTCH",C2471)),"Whiskey",
 ISNUMBER(SEARCH("RYE",C2471)),"Whiskey",
 ISNUMBER(SEARCH("VODKA",C2471)),"Vodka",
 ISNUMBER(SEARCH("TEQUILA",C2471)),"Tequila/Mezcal",
 ISNUMBER(SEARCH("MEZCAL",C2471)),"Tequila/Mezcal",
 ISNUMBER(SEARCH("RUM",C2471)),"Rum",
 ISNUMBER(SEARCH("BRAND",C2471)),"Brandy",
 ISNUMBER(SEARCH("COGNAC",C2471)),"Brandy",
 ISNUMBER(SEARCH("LIQUEUR",C2471)),"Liqueurs",
 ISNUMBER(SEARCH("CORDIAL",C2471)),"Liqueurs",
 ISNUMBER(SEARCH("SCHNAPP",C2471)),"Liqueurs",
 ISNUMBER(SEARCH("GIN",C2471)),"Gin",
 TRUE,"Other")</f>
        <v>Tequila/Mezcal</v>
      </c>
      <c r="E2471" s="5">
        <v>112255</v>
      </c>
      <c r="F2471" s="5">
        <v>3225682.8299999479</v>
      </c>
      <c r="G2471" s="5"/>
      <c r="H2471" s="5">
        <v>12921</v>
      </c>
    </row>
    <row r="2472" spans="1:8">
      <c r="A2472" s="5">
        <v>2025</v>
      </c>
      <c r="B2472" s="6">
        <v>45748</v>
      </c>
      <c r="C2472" s="5" t="s">
        <v>17</v>
      </c>
      <c r="D2472" s="3" t="str" cm="1">
        <f t="array" ref="D2472">_xlfn.IFS(
 ISNUMBER(SEARCH("WHISK",C2472)),"Whiskey",
 ISNUMBER(SEARCH("BOURBON",C2472)),"Whiskey",
 ISNUMBER(SEARCH("SCOTCH",C2472)),"Whiskey",
 ISNUMBER(SEARCH("RYE",C2472)),"Whiskey",
 ISNUMBER(SEARCH("VODKA",C2472)),"Vodka",
 ISNUMBER(SEARCH("TEQUILA",C2472)),"Tequila/Mezcal",
 ISNUMBER(SEARCH("MEZCAL",C2472)),"Tequila/Mezcal",
 ISNUMBER(SEARCH("RUM",C2472)),"Rum",
 ISNUMBER(SEARCH("BRAND",C2472)),"Brandy",
 ISNUMBER(SEARCH("COGNAC",C2472)),"Brandy",
 ISNUMBER(SEARCH("LIQUEUR",C2472)),"Liqueurs",
 ISNUMBER(SEARCH("CORDIAL",C2472)),"Liqueurs",
 ISNUMBER(SEARCH("SCHNAPP",C2472)),"Liqueurs",
 ISNUMBER(SEARCH("GIN",C2472)),"Gin",
 TRUE,"Other")</f>
        <v>Whiskey</v>
      </c>
      <c r="E2472" s="5">
        <v>3332</v>
      </c>
      <c r="F2472" s="5">
        <v>100057.94000000008</v>
      </c>
      <c r="G2472" s="5"/>
      <c r="H2472" s="5">
        <v>706</v>
      </c>
    </row>
    <row r="2473" spans="1:8">
      <c r="A2473" s="5">
        <v>2025</v>
      </c>
      <c r="B2473" s="6">
        <v>45748</v>
      </c>
      <c r="C2473" s="5" t="s">
        <v>22</v>
      </c>
      <c r="D2473" s="3" t="str" cm="1">
        <f t="array" ref="D2473">_xlfn.IFS(
 ISNUMBER(SEARCH("WHISK",C2473)),"Whiskey",
 ISNUMBER(SEARCH("BOURBON",C2473)),"Whiskey",
 ISNUMBER(SEARCH("SCOTCH",C2473)),"Whiskey",
 ISNUMBER(SEARCH("RYE",C2473)),"Whiskey",
 ISNUMBER(SEARCH("VODKA",C2473)),"Vodka",
 ISNUMBER(SEARCH("TEQUILA",C2473)),"Tequila/Mezcal",
 ISNUMBER(SEARCH("MEZCAL",C2473)),"Tequila/Mezcal",
 ISNUMBER(SEARCH("RUM",C2473)),"Rum",
 ISNUMBER(SEARCH("BRAND",C2473)),"Brandy",
 ISNUMBER(SEARCH("COGNAC",C2473)),"Brandy",
 ISNUMBER(SEARCH("LIQUEUR",C2473)),"Liqueurs",
 ISNUMBER(SEARCH("CORDIAL",C2473)),"Liqueurs",
 ISNUMBER(SEARCH("SCHNAPP",C2473)),"Liqueurs",
 ISNUMBER(SEARCH("GIN",C2473)),"Gin",
 TRUE,"Other")</f>
        <v>Liqueurs</v>
      </c>
      <c r="E2473" s="5">
        <v>19108</v>
      </c>
      <c r="F2473" s="5">
        <v>381975.7699999967</v>
      </c>
      <c r="G2473" s="5"/>
      <c r="H2473" s="5">
        <v>2950</v>
      </c>
    </row>
    <row r="2474" spans="1:8">
      <c r="A2474" s="5">
        <v>2025</v>
      </c>
      <c r="B2474" s="6">
        <v>45748</v>
      </c>
      <c r="C2474" s="5" t="s">
        <v>26</v>
      </c>
      <c r="D2474" s="3" t="str" cm="1">
        <f t="array" ref="D2474">_xlfn.IFS(
 ISNUMBER(SEARCH("WHISK",C2474)),"Whiskey",
 ISNUMBER(SEARCH("BOURBON",C2474)),"Whiskey",
 ISNUMBER(SEARCH("SCOTCH",C2474)),"Whiskey",
 ISNUMBER(SEARCH("RYE",C2474)),"Whiskey",
 ISNUMBER(SEARCH("VODKA",C2474)),"Vodka",
 ISNUMBER(SEARCH("TEQUILA",C2474)),"Tequila/Mezcal",
 ISNUMBER(SEARCH("MEZCAL",C2474)),"Tequila/Mezcal",
 ISNUMBER(SEARCH("RUM",C2474)),"Rum",
 ISNUMBER(SEARCH("BRAND",C2474)),"Brandy",
 ISNUMBER(SEARCH("COGNAC",C2474)),"Brandy",
 ISNUMBER(SEARCH("LIQUEUR",C2474)),"Liqueurs",
 ISNUMBER(SEARCH("CORDIAL",C2474)),"Liqueurs",
 ISNUMBER(SEARCH("SCHNAPP",C2474)),"Liqueurs",
 ISNUMBER(SEARCH("GIN",C2474)),"Gin",
 TRUE,"Other")</f>
        <v>Brandy</v>
      </c>
      <c r="E2474" s="5">
        <v>33114</v>
      </c>
      <c r="F2474" s="5">
        <v>755531.36999999569</v>
      </c>
      <c r="G2474" s="5"/>
      <c r="H2474" s="5">
        <v>3106</v>
      </c>
    </row>
    <row r="2475" spans="1:8">
      <c r="A2475" s="5">
        <v>2025</v>
      </c>
      <c r="B2475" s="6">
        <v>45748</v>
      </c>
      <c r="C2475" s="5" t="s">
        <v>33</v>
      </c>
      <c r="D2475" s="3" t="str" cm="1">
        <f t="array" ref="D2475">_xlfn.IFS(
 ISNUMBER(SEARCH("WHISK",C2475)),"Whiskey",
 ISNUMBER(SEARCH("BOURBON",C2475)),"Whiskey",
 ISNUMBER(SEARCH("SCOTCH",C2475)),"Whiskey",
 ISNUMBER(SEARCH("RYE",C2475)),"Whiskey",
 ISNUMBER(SEARCH("VODKA",C2475)),"Vodka",
 ISNUMBER(SEARCH("TEQUILA",C2475)),"Tequila/Mezcal",
 ISNUMBER(SEARCH("MEZCAL",C2475)),"Tequila/Mezcal",
 ISNUMBER(SEARCH("RUM",C2475)),"Rum",
 ISNUMBER(SEARCH("BRAND",C2475)),"Brandy",
 ISNUMBER(SEARCH("COGNAC",C2475)),"Brandy",
 ISNUMBER(SEARCH("LIQUEUR",C2475)),"Liqueurs",
 ISNUMBER(SEARCH("CORDIAL",C2475)),"Liqueurs",
 ISNUMBER(SEARCH("SCHNAPP",C2475)),"Liqueurs",
 ISNUMBER(SEARCH("GIN",C2475)),"Gin",
 TRUE,"Other")</f>
        <v>Whiskey</v>
      </c>
      <c r="E2475" s="5">
        <v>21802</v>
      </c>
      <c r="F2475" s="5">
        <v>606948.22999999521</v>
      </c>
      <c r="G2475" s="5"/>
      <c r="H2475" s="5">
        <v>2272</v>
      </c>
    </row>
    <row r="2476" spans="1:8">
      <c r="A2476" s="5">
        <v>2025</v>
      </c>
      <c r="B2476" s="6">
        <v>45748</v>
      </c>
      <c r="C2476" s="5" t="s">
        <v>35</v>
      </c>
      <c r="D2476" s="3" t="str" cm="1">
        <f t="array" ref="D2476">_xlfn.IFS(
 ISNUMBER(SEARCH("WHISK",C2476)),"Whiskey",
 ISNUMBER(SEARCH("BOURBON",C2476)),"Whiskey",
 ISNUMBER(SEARCH("SCOTCH",C2476)),"Whiskey",
 ISNUMBER(SEARCH("RYE",C2476)),"Whiskey",
 ISNUMBER(SEARCH("VODKA",C2476)),"Vodka",
 ISNUMBER(SEARCH("TEQUILA",C2476)),"Tequila/Mezcal",
 ISNUMBER(SEARCH("MEZCAL",C2476)),"Tequila/Mezcal",
 ISNUMBER(SEARCH("RUM",C2476)),"Rum",
 ISNUMBER(SEARCH("BRAND",C2476)),"Brandy",
 ISNUMBER(SEARCH("COGNAC",C2476)),"Brandy",
 ISNUMBER(SEARCH("LIQUEUR",C2476)),"Liqueurs",
 ISNUMBER(SEARCH("CORDIAL",C2476)),"Liqueurs",
 ISNUMBER(SEARCH("SCHNAPP",C2476)),"Liqueurs",
 ISNUMBER(SEARCH("GIN",C2476)),"Gin",
 TRUE,"Other")</f>
        <v>Tequila/Mezcal</v>
      </c>
      <c r="E2476" s="5">
        <v>71189</v>
      </c>
      <c r="F2476" s="5">
        <v>1013450.4399999924</v>
      </c>
      <c r="G2476" s="5"/>
      <c r="H2476" s="5">
        <v>4843</v>
      </c>
    </row>
    <row r="2477" spans="1:8">
      <c r="A2477" s="5">
        <v>2025</v>
      </c>
      <c r="B2477" s="6">
        <v>45748</v>
      </c>
      <c r="C2477" s="5" t="s">
        <v>37</v>
      </c>
      <c r="D2477" s="3" t="str" cm="1">
        <f t="array" ref="D2477">_xlfn.IFS(
 ISNUMBER(SEARCH("WHISK",C2477)),"Whiskey",
 ISNUMBER(SEARCH("BOURBON",C2477)),"Whiskey",
 ISNUMBER(SEARCH("SCOTCH",C2477)),"Whiskey",
 ISNUMBER(SEARCH("RYE",C2477)),"Whiskey",
 ISNUMBER(SEARCH("VODKA",C2477)),"Vodka",
 ISNUMBER(SEARCH("TEQUILA",C2477)),"Tequila/Mezcal",
 ISNUMBER(SEARCH("MEZCAL",C2477)),"Tequila/Mezcal",
 ISNUMBER(SEARCH("RUM",C2477)),"Rum",
 ISNUMBER(SEARCH("BRAND",C2477)),"Brandy",
 ISNUMBER(SEARCH("COGNAC",C2477)),"Brandy",
 ISNUMBER(SEARCH("LIQUEUR",C2477)),"Liqueurs",
 ISNUMBER(SEARCH("CORDIAL",C2477)),"Liqueurs",
 ISNUMBER(SEARCH("SCHNAPP",C2477)),"Liqueurs",
 ISNUMBER(SEARCH("GIN",C2477)),"Gin",
 TRUE,"Other")</f>
        <v>Other</v>
      </c>
      <c r="E2477" s="5">
        <v>12561</v>
      </c>
      <c r="F2477" s="5">
        <v>207921.65000000253</v>
      </c>
      <c r="G2477" s="5"/>
      <c r="H2477" s="5">
        <v>2565</v>
      </c>
    </row>
    <row r="2478" spans="1:8">
      <c r="A2478" s="5">
        <v>2025</v>
      </c>
      <c r="B2478" s="6">
        <v>45748</v>
      </c>
      <c r="C2478" s="5" t="s">
        <v>44</v>
      </c>
      <c r="D2478" s="3" t="str" cm="1">
        <f t="array" ref="D2478">_xlfn.IFS(
 ISNUMBER(SEARCH("WHISK",C2478)),"Whiskey",
 ISNUMBER(SEARCH("BOURBON",C2478)),"Whiskey",
 ISNUMBER(SEARCH("SCOTCH",C2478)),"Whiskey",
 ISNUMBER(SEARCH("RYE",C2478)),"Whiskey",
 ISNUMBER(SEARCH("VODKA",C2478)),"Vodka",
 ISNUMBER(SEARCH("TEQUILA",C2478)),"Tequila/Mezcal",
 ISNUMBER(SEARCH("MEZCAL",C2478)),"Tequila/Mezcal",
 ISNUMBER(SEARCH("RUM",C2478)),"Rum",
 ISNUMBER(SEARCH("BRAND",C2478)),"Brandy",
 ISNUMBER(SEARCH("COGNAC",C2478)),"Brandy",
 ISNUMBER(SEARCH("LIQUEUR",C2478)),"Liqueurs",
 ISNUMBER(SEARCH("CORDIAL",C2478)),"Liqueurs",
 ISNUMBER(SEARCH("SCHNAPP",C2478)),"Liqueurs",
 ISNUMBER(SEARCH("GIN",C2478)),"Gin",
 TRUE,"Other")</f>
        <v>Whiskey</v>
      </c>
      <c r="E2478" s="5">
        <v>9429</v>
      </c>
      <c r="F2478" s="5">
        <v>287920.16000000079</v>
      </c>
      <c r="G2478" s="5"/>
      <c r="H2478" s="5">
        <v>1678</v>
      </c>
    </row>
    <row r="2479" spans="1:8">
      <c r="A2479" s="5">
        <v>2025</v>
      </c>
      <c r="B2479" s="6">
        <v>45748</v>
      </c>
      <c r="C2479" s="5" t="s">
        <v>45</v>
      </c>
      <c r="D2479" s="3" t="str" cm="1">
        <f t="array" ref="D2479">_xlfn.IFS(
 ISNUMBER(SEARCH("WHISK",C2479)),"Whiskey",
 ISNUMBER(SEARCH("BOURBON",C2479)),"Whiskey",
 ISNUMBER(SEARCH("SCOTCH",C2479)),"Whiskey",
 ISNUMBER(SEARCH("RYE",C2479)),"Whiskey",
 ISNUMBER(SEARCH("VODKA",C2479)),"Vodka",
 ISNUMBER(SEARCH("TEQUILA",C2479)),"Tequila/Mezcal",
 ISNUMBER(SEARCH("MEZCAL",C2479)),"Tequila/Mezcal",
 ISNUMBER(SEARCH("RUM",C2479)),"Rum",
 ISNUMBER(SEARCH("BRAND",C2479)),"Brandy",
 ISNUMBER(SEARCH("COGNAC",C2479)),"Brandy",
 ISNUMBER(SEARCH("LIQUEUR",C2479)),"Liqueurs",
 ISNUMBER(SEARCH("CORDIAL",C2479)),"Liqueurs",
 ISNUMBER(SEARCH("SCHNAPP",C2479)),"Liqueurs",
 ISNUMBER(SEARCH("GIN",C2479)),"Gin",
 TRUE,"Other")</f>
        <v>Other</v>
      </c>
      <c r="E2479" s="5">
        <v>22581</v>
      </c>
      <c r="F2479" s="5">
        <v>778364.13000000338</v>
      </c>
      <c r="G2479" s="5"/>
      <c r="H2479" s="5">
        <v>4118</v>
      </c>
    </row>
    <row r="2480" spans="1:8">
      <c r="A2480" s="5">
        <v>2025</v>
      </c>
      <c r="B2480" s="6">
        <v>45748</v>
      </c>
      <c r="C2480" s="5" t="s">
        <v>46</v>
      </c>
      <c r="D2480" s="3" t="str" cm="1">
        <f t="array" ref="D2480">_xlfn.IFS(
 ISNUMBER(SEARCH("WHISK",C2480)),"Whiskey",
 ISNUMBER(SEARCH("BOURBON",C2480)),"Whiskey",
 ISNUMBER(SEARCH("SCOTCH",C2480)),"Whiskey",
 ISNUMBER(SEARCH("RYE",C2480)),"Whiskey",
 ISNUMBER(SEARCH("VODKA",C2480)),"Vodka",
 ISNUMBER(SEARCH("TEQUILA",C2480)),"Tequila/Mezcal",
 ISNUMBER(SEARCH("MEZCAL",C2480)),"Tequila/Mezcal",
 ISNUMBER(SEARCH("RUM",C2480)),"Rum",
 ISNUMBER(SEARCH("BRAND",C2480)),"Brandy",
 ISNUMBER(SEARCH("COGNAC",C2480)),"Brandy",
 ISNUMBER(SEARCH("LIQUEUR",C2480)),"Liqueurs",
 ISNUMBER(SEARCH("CORDIAL",C2480)),"Liqueurs",
 ISNUMBER(SEARCH("SCHNAPP",C2480)),"Liqueurs",
 ISNUMBER(SEARCH("GIN",C2480)),"Gin",
 TRUE,"Other")</f>
        <v>Whiskey</v>
      </c>
      <c r="E2480" s="5">
        <v>53240</v>
      </c>
      <c r="F2480" s="5">
        <v>1167581.4899999951</v>
      </c>
      <c r="G2480" s="5"/>
      <c r="H2480" s="5">
        <v>5863</v>
      </c>
    </row>
    <row r="2481" spans="1:8">
      <c r="A2481" s="5">
        <v>2025</v>
      </c>
      <c r="B2481" s="6">
        <v>45748</v>
      </c>
      <c r="C2481" s="5" t="s">
        <v>31</v>
      </c>
      <c r="D2481" s="3" t="str" cm="1">
        <f t="array" ref="D2481">_xlfn.IFS(
 ISNUMBER(SEARCH("WHISK",C2481)),"Whiskey",
 ISNUMBER(SEARCH("BOURBON",C2481)),"Whiskey",
 ISNUMBER(SEARCH("SCOTCH",C2481)),"Whiskey",
 ISNUMBER(SEARCH("RYE",C2481)),"Whiskey",
 ISNUMBER(SEARCH("VODKA",C2481)),"Vodka",
 ISNUMBER(SEARCH("TEQUILA",C2481)),"Tequila/Mezcal",
 ISNUMBER(SEARCH("MEZCAL",C2481)),"Tequila/Mezcal",
 ISNUMBER(SEARCH("RUM",C2481)),"Rum",
 ISNUMBER(SEARCH("BRAND",C2481)),"Brandy",
 ISNUMBER(SEARCH("COGNAC",C2481)),"Brandy",
 ISNUMBER(SEARCH("LIQUEUR",C2481)),"Liqueurs",
 ISNUMBER(SEARCH("CORDIAL",C2481)),"Liqueurs",
 ISNUMBER(SEARCH("SCHNAPP",C2481)),"Liqueurs",
 ISNUMBER(SEARCH("GIN",C2481)),"Gin",
 TRUE,"Other")</f>
        <v>Liqueurs</v>
      </c>
      <c r="E2481" s="5">
        <v>25026</v>
      </c>
      <c r="F2481" s="5">
        <v>449006.85000000126</v>
      </c>
      <c r="G2481" s="5"/>
      <c r="H2481" s="5">
        <v>2579</v>
      </c>
    </row>
    <row r="2482" spans="1:8">
      <c r="A2482" s="5">
        <v>2025</v>
      </c>
      <c r="B2482" s="6">
        <v>45748</v>
      </c>
      <c r="C2482" s="5" t="s">
        <v>34</v>
      </c>
      <c r="D2482" s="3" t="str" cm="1">
        <f t="array" ref="D2482">_xlfn.IFS(
 ISNUMBER(SEARCH("WHISK",C2482)),"Whiskey",
 ISNUMBER(SEARCH("BOURBON",C2482)),"Whiskey",
 ISNUMBER(SEARCH("SCOTCH",C2482)),"Whiskey",
 ISNUMBER(SEARCH("RYE",C2482)),"Whiskey",
 ISNUMBER(SEARCH("VODKA",C2482)),"Vodka",
 ISNUMBER(SEARCH("TEQUILA",C2482)),"Tequila/Mezcal",
 ISNUMBER(SEARCH("MEZCAL",C2482)),"Tequila/Mezcal",
 ISNUMBER(SEARCH("RUM",C2482)),"Rum",
 ISNUMBER(SEARCH("BRAND",C2482)),"Brandy",
 ISNUMBER(SEARCH("COGNAC",C2482)),"Brandy",
 ISNUMBER(SEARCH("LIQUEUR",C2482)),"Liqueurs",
 ISNUMBER(SEARCH("CORDIAL",C2482)),"Liqueurs",
 ISNUMBER(SEARCH("SCHNAPP",C2482)),"Liqueurs",
 ISNUMBER(SEARCH("GIN",C2482)),"Gin",
 TRUE,"Other")</f>
        <v>Tequila/Mezcal</v>
      </c>
      <c r="E2482" s="5">
        <v>1771</v>
      </c>
      <c r="F2482" s="5">
        <v>50893.830000000009</v>
      </c>
      <c r="G2482" s="5"/>
      <c r="H2482" s="5">
        <v>272</v>
      </c>
    </row>
    <row r="2483" spans="1:8">
      <c r="A2483" s="5">
        <v>2025</v>
      </c>
      <c r="B2483" s="6">
        <v>45748</v>
      </c>
      <c r="C2483" s="5" t="s">
        <v>7</v>
      </c>
      <c r="D2483" s="3" t="str" cm="1">
        <f t="array" ref="D2483">_xlfn.IFS(
 ISNUMBER(SEARCH("WHISK",C2483)),"Whiskey",
 ISNUMBER(SEARCH("BOURBON",C2483)),"Whiskey",
 ISNUMBER(SEARCH("SCOTCH",C2483)),"Whiskey",
 ISNUMBER(SEARCH("RYE",C2483)),"Whiskey",
 ISNUMBER(SEARCH("VODKA",C2483)),"Vodka",
 ISNUMBER(SEARCH("TEQUILA",C2483)),"Tequila/Mezcal",
 ISNUMBER(SEARCH("MEZCAL",C2483)),"Tequila/Mezcal",
 ISNUMBER(SEARCH("RUM",C2483)),"Rum",
 ISNUMBER(SEARCH("BRAND",C2483)),"Brandy",
 ISNUMBER(SEARCH("COGNAC",C2483)),"Brandy",
 ISNUMBER(SEARCH("LIQUEUR",C2483)),"Liqueurs",
 ISNUMBER(SEARCH("CORDIAL",C2483)),"Liqueurs",
 ISNUMBER(SEARCH("SCHNAPP",C2483)),"Liqueurs",
 ISNUMBER(SEARCH("GIN",C2483)),"Gin",
 TRUE,"Other")</f>
        <v>Rum</v>
      </c>
      <c r="E2483" s="5">
        <v>3455</v>
      </c>
      <c r="F2483" s="5">
        <v>74027.44000000009</v>
      </c>
      <c r="G2483" s="5"/>
      <c r="H2483" s="5">
        <v>614</v>
      </c>
    </row>
    <row r="2484" spans="1:8">
      <c r="A2484" s="5">
        <v>2025</v>
      </c>
      <c r="B2484" s="6">
        <v>45748</v>
      </c>
      <c r="C2484" s="5" t="s">
        <v>10</v>
      </c>
      <c r="D2484" s="3" t="str" cm="1">
        <f t="array" ref="D2484">_xlfn.IFS(
 ISNUMBER(SEARCH("WHISK",C2484)),"Whiskey",
 ISNUMBER(SEARCH("BOURBON",C2484)),"Whiskey",
 ISNUMBER(SEARCH("SCOTCH",C2484)),"Whiskey",
 ISNUMBER(SEARCH("RYE",C2484)),"Whiskey",
 ISNUMBER(SEARCH("VODKA",C2484)),"Vodka",
 ISNUMBER(SEARCH("TEQUILA",C2484)),"Tequila/Mezcal",
 ISNUMBER(SEARCH("MEZCAL",C2484)),"Tequila/Mezcal",
 ISNUMBER(SEARCH("RUM",C2484)),"Rum",
 ISNUMBER(SEARCH("BRAND",C2484)),"Brandy",
 ISNUMBER(SEARCH("COGNAC",C2484)),"Brandy",
 ISNUMBER(SEARCH("LIQUEUR",C2484)),"Liqueurs",
 ISNUMBER(SEARCH("CORDIAL",C2484)),"Liqueurs",
 ISNUMBER(SEARCH("SCHNAPP",C2484)),"Liqueurs",
 ISNUMBER(SEARCH("GIN",C2484)),"Gin",
 TRUE,"Other")</f>
        <v>Other</v>
      </c>
      <c r="E2484" s="5">
        <v>5097</v>
      </c>
      <c r="F2484" s="5">
        <v>122804.16999999966</v>
      </c>
      <c r="G2484" s="5"/>
      <c r="H2484" s="5">
        <v>951</v>
      </c>
    </row>
    <row r="2485" spans="1:8">
      <c r="A2485" s="5">
        <v>2025</v>
      </c>
      <c r="B2485" s="6">
        <v>45748</v>
      </c>
      <c r="C2485" s="5" t="s">
        <v>11</v>
      </c>
      <c r="D2485" s="3" t="str" cm="1">
        <f t="array" ref="D2485">_xlfn.IFS(
 ISNUMBER(SEARCH("WHISK",C2485)),"Whiskey",
 ISNUMBER(SEARCH("BOURBON",C2485)),"Whiskey",
 ISNUMBER(SEARCH("SCOTCH",C2485)),"Whiskey",
 ISNUMBER(SEARCH("RYE",C2485)),"Whiskey",
 ISNUMBER(SEARCH("VODKA",C2485)),"Vodka",
 ISNUMBER(SEARCH("TEQUILA",C2485)),"Tequila/Mezcal",
 ISNUMBER(SEARCH("MEZCAL",C2485)),"Tequila/Mezcal",
 ISNUMBER(SEARCH("RUM",C2485)),"Rum",
 ISNUMBER(SEARCH("BRAND",C2485)),"Brandy",
 ISNUMBER(SEARCH("COGNAC",C2485)),"Brandy",
 ISNUMBER(SEARCH("LIQUEUR",C2485)),"Liqueurs",
 ISNUMBER(SEARCH("CORDIAL",C2485)),"Liqueurs",
 ISNUMBER(SEARCH("SCHNAPP",C2485)),"Liqueurs",
 ISNUMBER(SEARCH("GIN",C2485)),"Gin",
 TRUE,"Other")</f>
        <v>Gin</v>
      </c>
      <c r="E2485" s="5">
        <v>26636</v>
      </c>
      <c r="F2485" s="5">
        <v>249278.19000000111</v>
      </c>
      <c r="G2485" s="5"/>
      <c r="H2485" s="5">
        <v>2534</v>
      </c>
    </row>
    <row r="2486" spans="1:8">
      <c r="A2486" s="5">
        <v>2025</v>
      </c>
      <c r="B2486" s="6">
        <v>45748</v>
      </c>
      <c r="C2486" s="5" t="s">
        <v>14</v>
      </c>
      <c r="D2486" s="3" t="str" cm="1">
        <f t="array" ref="D2486">_xlfn.IFS(
 ISNUMBER(SEARCH("WHISK",C2486)),"Whiskey",
 ISNUMBER(SEARCH("BOURBON",C2486)),"Whiskey",
 ISNUMBER(SEARCH("SCOTCH",C2486)),"Whiskey",
 ISNUMBER(SEARCH("RYE",C2486)),"Whiskey",
 ISNUMBER(SEARCH("VODKA",C2486)),"Vodka",
 ISNUMBER(SEARCH("TEQUILA",C2486)),"Tequila/Mezcal",
 ISNUMBER(SEARCH("MEZCAL",C2486)),"Tequila/Mezcal",
 ISNUMBER(SEARCH("RUM",C2486)),"Rum",
 ISNUMBER(SEARCH("BRAND",C2486)),"Brandy",
 ISNUMBER(SEARCH("COGNAC",C2486)),"Brandy",
 ISNUMBER(SEARCH("LIQUEUR",C2486)),"Liqueurs",
 ISNUMBER(SEARCH("CORDIAL",C2486)),"Liqueurs",
 ISNUMBER(SEARCH("SCHNAPP",C2486)),"Liqueurs",
 ISNUMBER(SEARCH("GIN",C2486)),"Gin",
 TRUE,"Other")</f>
        <v>Gin</v>
      </c>
      <c r="E2486" s="5">
        <v>201</v>
      </c>
      <c r="F2486" s="5">
        <v>1716.5399999999997</v>
      </c>
      <c r="G2486" s="5"/>
      <c r="H2486" s="5">
        <v>37</v>
      </c>
    </row>
    <row r="2487" spans="1:8">
      <c r="A2487" s="5">
        <v>2025</v>
      </c>
      <c r="B2487" s="6">
        <v>45748</v>
      </c>
      <c r="C2487" s="5" t="s">
        <v>20</v>
      </c>
      <c r="D2487" s="3" t="str" cm="1">
        <f t="array" ref="D2487">_xlfn.IFS(
 ISNUMBER(SEARCH("WHISK",C2487)),"Whiskey",
 ISNUMBER(SEARCH("BOURBON",C2487)),"Whiskey",
 ISNUMBER(SEARCH("SCOTCH",C2487)),"Whiskey",
 ISNUMBER(SEARCH("RYE",C2487)),"Whiskey",
 ISNUMBER(SEARCH("VODKA",C2487)),"Vodka",
 ISNUMBER(SEARCH("TEQUILA",C2487)),"Tequila/Mezcal",
 ISNUMBER(SEARCH("MEZCAL",C2487)),"Tequila/Mezcal",
 ISNUMBER(SEARCH("RUM",C2487)),"Rum",
 ISNUMBER(SEARCH("BRAND",C2487)),"Brandy",
 ISNUMBER(SEARCH("COGNAC",C2487)),"Brandy",
 ISNUMBER(SEARCH("LIQUEUR",C2487)),"Liqueurs",
 ISNUMBER(SEARCH("CORDIAL",C2487)),"Liqueurs",
 ISNUMBER(SEARCH("SCHNAPP",C2487)),"Liqueurs",
 ISNUMBER(SEARCH("GIN",C2487)),"Gin",
 TRUE,"Other")</f>
        <v>Liqueurs</v>
      </c>
      <c r="E2487" s="5">
        <v>7035</v>
      </c>
      <c r="F2487" s="5">
        <v>145469.22000000067</v>
      </c>
      <c r="G2487" s="5"/>
      <c r="H2487" s="5">
        <v>826</v>
      </c>
    </row>
    <row r="2488" spans="1:8">
      <c r="A2488" s="5">
        <v>2025</v>
      </c>
      <c r="B2488" s="6">
        <v>45748</v>
      </c>
      <c r="C2488" s="5" t="s">
        <v>36</v>
      </c>
      <c r="D2488" s="3" t="str" cm="1">
        <f t="array" ref="D2488">_xlfn.IFS(
 ISNUMBER(SEARCH("WHISK",C2488)),"Whiskey",
 ISNUMBER(SEARCH("BOURBON",C2488)),"Whiskey",
 ISNUMBER(SEARCH("SCOTCH",C2488)),"Whiskey",
 ISNUMBER(SEARCH("RYE",C2488)),"Whiskey",
 ISNUMBER(SEARCH("VODKA",C2488)),"Vodka",
 ISNUMBER(SEARCH("TEQUILA",C2488)),"Tequila/Mezcal",
 ISNUMBER(SEARCH("MEZCAL",C2488)),"Tequila/Mezcal",
 ISNUMBER(SEARCH("RUM",C2488)),"Rum",
 ISNUMBER(SEARCH("BRAND",C2488)),"Brandy",
 ISNUMBER(SEARCH("COGNAC",C2488)),"Brandy",
 ISNUMBER(SEARCH("LIQUEUR",C2488)),"Liqueurs",
 ISNUMBER(SEARCH("CORDIAL",C2488)),"Liqueurs",
 ISNUMBER(SEARCH("SCHNAPP",C2488)),"Liqueurs",
 ISNUMBER(SEARCH("GIN",C2488)),"Gin",
 TRUE,"Other")</f>
        <v>Other</v>
      </c>
      <c r="E2488" s="5">
        <v>2108</v>
      </c>
      <c r="F2488" s="5">
        <v>29949.609999999993</v>
      </c>
      <c r="G2488" s="5"/>
      <c r="H2488" s="5">
        <v>283</v>
      </c>
    </row>
    <row r="2489" spans="1:8">
      <c r="A2489" s="5">
        <v>2025</v>
      </c>
      <c r="B2489" s="6">
        <v>45748</v>
      </c>
      <c r="C2489" s="5" t="s">
        <v>41</v>
      </c>
      <c r="D2489" s="3" t="str" cm="1">
        <f t="array" ref="D2489">_xlfn.IFS(
 ISNUMBER(SEARCH("WHISK",C2489)),"Whiskey",
 ISNUMBER(SEARCH("BOURBON",C2489)),"Whiskey",
 ISNUMBER(SEARCH("SCOTCH",C2489)),"Whiskey",
 ISNUMBER(SEARCH("RYE",C2489)),"Whiskey",
 ISNUMBER(SEARCH("VODKA",C2489)),"Vodka",
 ISNUMBER(SEARCH("TEQUILA",C2489)),"Tequila/Mezcal",
 ISNUMBER(SEARCH("MEZCAL",C2489)),"Tequila/Mezcal",
 ISNUMBER(SEARCH("RUM",C2489)),"Rum",
 ISNUMBER(SEARCH("BRAND",C2489)),"Brandy",
 ISNUMBER(SEARCH("COGNAC",C2489)),"Brandy",
 ISNUMBER(SEARCH("LIQUEUR",C2489)),"Liqueurs",
 ISNUMBER(SEARCH("CORDIAL",C2489)),"Liqueurs",
 ISNUMBER(SEARCH("SCHNAPP",C2489)),"Liqueurs",
 ISNUMBER(SEARCH("GIN",C2489)),"Gin",
 TRUE,"Other")</f>
        <v>Other</v>
      </c>
      <c r="E2489" s="5">
        <v>10809</v>
      </c>
      <c r="F2489" s="5">
        <v>125494.93000000002</v>
      </c>
      <c r="G2489" s="5"/>
      <c r="H2489" s="5">
        <v>115</v>
      </c>
    </row>
    <row r="2490" spans="1:8">
      <c r="A2490" s="5">
        <v>2025</v>
      </c>
      <c r="B2490" s="6">
        <v>45748</v>
      </c>
      <c r="C2490" s="5" t="s">
        <v>47</v>
      </c>
      <c r="D2490" s="3" t="str" cm="1">
        <f t="array" ref="D2490">_xlfn.IFS(
 ISNUMBER(SEARCH("WHISK",C2490)),"Whiskey",
 ISNUMBER(SEARCH("BOURBON",C2490)),"Whiskey",
 ISNUMBER(SEARCH("SCOTCH",C2490)),"Whiskey",
 ISNUMBER(SEARCH("RYE",C2490)),"Whiskey",
 ISNUMBER(SEARCH("VODKA",C2490)),"Vodka",
 ISNUMBER(SEARCH("TEQUILA",C2490)),"Tequila/Mezcal",
 ISNUMBER(SEARCH("MEZCAL",C2490)),"Tequila/Mezcal",
 ISNUMBER(SEARCH("RUM",C2490)),"Rum",
 ISNUMBER(SEARCH("BRAND",C2490)),"Brandy",
 ISNUMBER(SEARCH("COGNAC",C2490)),"Brandy",
 ISNUMBER(SEARCH("LIQUEUR",C2490)),"Liqueurs",
 ISNUMBER(SEARCH("CORDIAL",C2490)),"Liqueurs",
 ISNUMBER(SEARCH("SCHNAPP",C2490)),"Liqueurs",
 ISNUMBER(SEARCH("GIN",C2490)),"Gin",
 TRUE,"Other")</f>
        <v>Other</v>
      </c>
      <c r="E2490" s="5">
        <v>17500</v>
      </c>
      <c r="F2490" s="5">
        <v>73395.9399999999</v>
      </c>
      <c r="G2490" s="5"/>
      <c r="H2490" s="5">
        <v>685</v>
      </c>
    </row>
    <row r="2491" spans="1:8">
      <c r="A2491" s="5">
        <v>2025</v>
      </c>
      <c r="B2491" s="6">
        <v>45748</v>
      </c>
      <c r="C2491" s="5" t="s">
        <v>39</v>
      </c>
      <c r="D2491" s="3" t="str" cm="1">
        <f t="array" ref="D2491">_xlfn.IFS(
 ISNUMBER(SEARCH("WHISK",C2491)),"Whiskey",
 ISNUMBER(SEARCH("BOURBON",C2491)),"Whiskey",
 ISNUMBER(SEARCH("SCOTCH",C2491)),"Whiskey",
 ISNUMBER(SEARCH("RYE",C2491)),"Whiskey",
 ISNUMBER(SEARCH("VODKA",C2491)),"Vodka",
 ISNUMBER(SEARCH("TEQUILA",C2491)),"Tequila/Mezcal",
 ISNUMBER(SEARCH("MEZCAL",C2491)),"Tequila/Mezcal",
 ISNUMBER(SEARCH("RUM",C2491)),"Rum",
 ISNUMBER(SEARCH("BRAND",C2491)),"Brandy",
 ISNUMBER(SEARCH("COGNAC",C2491)),"Brandy",
 ISNUMBER(SEARCH("LIQUEUR",C2491)),"Liqueurs",
 ISNUMBER(SEARCH("CORDIAL",C2491)),"Liqueurs",
 ISNUMBER(SEARCH("SCHNAPP",C2491)),"Liqueurs",
 ISNUMBER(SEARCH("GIN",C2491)),"Gin",
 TRUE,"Other")</f>
        <v>Whiskey</v>
      </c>
      <c r="E2491" s="5">
        <v>3180</v>
      </c>
      <c r="F2491" s="5">
        <v>135052.82000000009</v>
      </c>
      <c r="G2491" s="5"/>
      <c r="H2491" s="5">
        <v>757</v>
      </c>
    </row>
    <row r="2492" spans="1:8">
      <c r="A2492" s="5">
        <v>2025</v>
      </c>
      <c r="B2492" s="6">
        <v>45748</v>
      </c>
      <c r="C2492" s="5" t="s">
        <v>40</v>
      </c>
      <c r="D2492" s="3" t="str" cm="1">
        <f t="array" ref="D2492">_xlfn.IFS(
 ISNUMBER(SEARCH("WHISK",C2492)),"Whiskey",
 ISNUMBER(SEARCH("BOURBON",C2492)),"Whiskey",
 ISNUMBER(SEARCH("SCOTCH",C2492)),"Whiskey",
 ISNUMBER(SEARCH("RYE",C2492)),"Whiskey",
 ISNUMBER(SEARCH("VODKA",C2492)),"Vodka",
 ISNUMBER(SEARCH("TEQUILA",C2492)),"Tequila/Mezcal",
 ISNUMBER(SEARCH("MEZCAL",C2492)),"Tequila/Mezcal",
 ISNUMBER(SEARCH("RUM",C2492)),"Rum",
 ISNUMBER(SEARCH("BRAND",C2492)),"Brandy",
 ISNUMBER(SEARCH("COGNAC",C2492)),"Brandy",
 ISNUMBER(SEARCH("LIQUEUR",C2492)),"Liqueurs",
 ISNUMBER(SEARCH("CORDIAL",C2492)),"Liqueurs",
 ISNUMBER(SEARCH("SCHNAPP",C2492)),"Liqueurs",
 ISNUMBER(SEARCH("GIN",C2492)),"Gin",
 TRUE,"Other")</f>
        <v>Whiskey</v>
      </c>
      <c r="E2492" s="5">
        <v>3878</v>
      </c>
      <c r="F2492" s="5">
        <v>225128.55000000086</v>
      </c>
      <c r="G2492" s="5"/>
      <c r="H2492" s="5">
        <v>1065</v>
      </c>
    </row>
    <row r="2493" spans="1:8">
      <c r="A2493" s="5">
        <v>2025</v>
      </c>
      <c r="B2493" s="6">
        <v>45748</v>
      </c>
      <c r="C2493" s="5" t="s">
        <v>28</v>
      </c>
      <c r="D2493" s="3" t="str" cm="1">
        <f t="array" ref="D2493">_xlfn.IFS(
 ISNUMBER(SEARCH("WHISK",C2493)),"Whiskey",
 ISNUMBER(SEARCH("BOURBON",C2493)),"Whiskey",
 ISNUMBER(SEARCH("SCOTCH",C2493)),"Whiskey",
 ISNUMBER(SEARCH("RYE",C2493)),"Whiskey",
 ISNUMBER(SEARCH("VODKA",C2493)),"Vodka",
 ISNUMBER(SEARCH("TEQUILA",C2493)),"Tequila/Mezcal",
 ISNUMBER(SEARCH("MEZCAL",C2493)),"Tequila/Mezcal",
 ISNUMBER(SEARCH("RUM",C2493)),"Rum",
 ISNUMBER(SEARCH("BRAND",C2493)),"Brandy",
 ISNUMBER(SEARCH("COGNAC",C2493)),"Brandy",
 ISNUMBER(SEARCH("LIQUEUR",C2493)),"Liqueurs",
 ISNUMBER(SEARCH("CORDIAL",C2493)),"Liqueurs",
 ISNUMBER(SEARCH("SCHNAPP",C2493)),"Liqueurs",
 ISNUMBER(SEARCH("GIN",C2493)),"Gin",
 TRUE,"Other")</f>
        <v>Other</v>
      </c>
      <c r="E2493" s="5">
        <v>40284</v>
      </c>
      <c r="F2493" s="5">
        <v>287611.78999999986</v>
      </c>
      <c r="G2493" s="5"/>
      <c r="H2493" s="5">
        <v>976</v>
      </c>
    </row>
    <row r="2494" spans="1:8">
      <c r="A2494" s="5">
        <v>2025</v>
      </c>
      <c r="B2494" s="6">
        <v>45748</v>
      </c>
      <c r="C2494" s="5" t="s">
        <v>23</v>
      </c>
      <c r="D2494" s="3" t="str" cm="1">
        <f t="array" ref="D2494">_xlfn.IFS(
 ISNUMBER(SEARCH("WHISK",C2494)),"Whiskey",
 ISNUMBER(SEARCH("BOURBON",C2494)),"Whiskey",
 ISNUMBER(SEARCH("SCOTCH",C2494)),"Whiskey",
 ISNUMBER(SEARCH("RYE",C2494)),"Whiskey",
 ISNUMBER(SEARCH("VODKA",C2494)),"Vodka",
 ISNUMBER(SEARCH("TEQUILA",C2494)),"Tequila/Mezcal",
 ISNUMBER(SEARCH("MEZCAL",C2494)),"Tequila/Mezcal",
 ISNUMBER(SEARCH("RUM",C2494)),"Rum",
 ISNUMBER(SEARCH("BRAND",C2494)),"Brandy",
 ISNUMBER(SEARCH("COGNAC",C2494)),"Brandy",
 ISNUMBER(SEARCH("LIQUEUR",C2494)),"Liqueurs",
 ISNUMBER(SEARCH("CORDIAL",C2494)),"Liqueurs",
 ISNUMBER(SEARCH("SCHNAPP",C2494)),"Liqueurs",
 ISNUMBER(SEARCH("GIN",C2494)),"Gin",
 TRUE,"Other")</f>
        <v>Gin</v>
      </c>
      <c r="E2494" s="5">
        <v>3348</v>
      </c>
      <c r="F2494" s="5">
        <v>85547.870000000039</v>
      </c>
      <c r="G2494" s="5"/>
      <c r="H2494" s="5">
        <v>428</v>
      </c>
    </row>
    <row r="2495" spans="1:8">
      <c r="A2495" s="5">
        <v>2025</v>
      </c>
      <c r="B2495" s="6">
        <v>45748</v>
      </c>
      <c r="C2495" s="5" t="s">
        <v>21</v>
      </c>
      <c r="D2495" s="3" t="str" cm="1">
        <f t="array" ref="D2495">_xlfn.IFS(
 ISNUMBER(SEARCH("WHISK",C2495)),"Whiskey",
 ISNUMBER(SEARCH("BOURBON",C2495)),"Whiskey",
 ISNUMBER(SEARCH("SCOTCH",C2495)),"Whiskey",
 ISNUMBER(SEARCH("RYE",C2495)),"Whiskey",
 ISNUMBER(SEARCH("VODKA",C2495)),"Vodka",
 ISNUMBER(SEARCH("TEQUILA",C2495)),"Tequila/Mezcal",
 ISNUMBER(SEARCH("MEZCAL",C2495)),"Tequila/Mezcal",
 ISNUMBER(SEARCH("RUM",C2495)),"Rum",
 ISNUMBER(SEARCH("BRAND",C2495)),"Brandy",
 ISNUMBER(SEARCH("COGNAC",C2495)),"Brandy",
 ISNUMBER(SEARCH("LIQUEUR",C2495)),"Liqueurs",
 ISNUMBER(SEARCH("CORDIAL",C2495)),"Liqueurs",
 ISNUMBER(SEARCH("SCHNAPP",C2495)),"Liqueurs",
 ISNUMBER(SEARCH("GIN",C2495)),"Gin",
 TRUE,"Other")</f>
        <v>Whiskey</v>
      </c>
      <c r="E2495" s="5">
        <v>428</v>
      </c>
      <c r="F2495" s="5">
        <v>9909.2999999999993</v>
      </c>
      <c r="G2495" s="5"/>
      <c r="H2495" s="5">
        <v>65</v>
      </c>
    </row>
    <row r="2496" spans="1:8">
      <c r="A2496" s="5">
        <v>2025</v>
      </c>
      <c r="B2496" s="6">
        <v>45778</v>
      </c>
      <c r="C2496" s="5" t="s">
        <v>50</v>
      </c>
      <c r="D2496" s="3" t="str" cm="1">
        <f t="array" ref="D2496">_xlfn.IFS(
 ISNUMBER(SEARCH("WHISK",C2496)),"Whiskey",
 ISNUMBER(SEARCH("BOURBON",C2496)),"Whiskey",
 ISNUMBER(SEARCH("SCOTCH",C2496)),"Whiskey",
 ISNUMBER(SEARCH("RYE",C2496)),"Whiskey",
 ISNUMBER(SEARCH("VODKA",C2496)),"Vodka",
 ISNUMBER(SEARCH("TEQUILA",C2496)),"Tequila/Mezcal",
 ISNUMBER(SEARCH("MEZCAL",C2496)),"Tequila/Mezcal",
 ISNUMBER(SEARCH("RUM",C2496)),"Rum",
 ISNUMBER(SEARCH("BRAND",C2496)),"Brandy",
 ISNUMBER(SEARCH("COGNAC",C2496)),"Brandy",
 ISNUMBER(SEARCH("LIQUEUR",C2496)),"Liqueurs",
 ISNUMBER(SEARCH("CORDIAL",C2496)),"Liqueurs",
 ISNUMBER(SEARCH("SCHNAPP",C2496)),"Liqueurs",
 ISNUMBER(SEARCH("GIN",C2496)),"Gin",
 TRUE,"Other")</f>
        <v>Tequila/Mezcal</v>
      </c>
      <c r="E2496" s="5">
        <v>109858</v>
      </c>
      <c r="F2496" s="5">
        <v>3043508.0999999517</v>
      </c>
      <c r="G2496" s="5"/>
      <c r="H2496" s="5">
        <v>12997</v>
      </c>
    </row>
    <row r="2497" spans="1:8">
      <c r="A2497" s="5">
        <v>2025</v>
      </c>
      <c r="B2497" s="6">
        <v>45778</v>
      </c>
      <c r="C2497" s="5" t="s">
        <v>7</v>
      </c>
      <c r="D2497" s="3" t="str" cm="1">
        <f t="array" ref="D2497">_xlfn.IFS(
 ISNUMBER(SEARCH("WHISK",C2497)),"Whiskey",
 ISNUMBER(SEARCH("BOURBON",C2497)),"Whiskey",
 ISNUMBER(SEARCH("SCOTCH",C2497)),"Whiskey",
 ISNUMBER(SEARCH("RYE",C2497)),"Whiskey",
 ISNUMBER(SEARCH("VODKA",C2497)),"Vodka",
 ISNUMBER(SEARCH("TEQUILA",C2497)),"Tequila/Mezcal",
 ISNUMBER(SEARCH("MEZCAL",C2497)),"Tequila/Mezcal",
 ISNUMBER(SEARCH("RUM",C2497)),"Rum",
 ISNUMBER(SEARCH("BRAND",C2497)),"Brandy",
 ISNUMBER(SEARCH("COGNAC",C2497)),"Brandy",
 ISNUMBER(SEARCH("LIQUEUR",C2497)),"Liqueurs",
 ISNUMBER(SEARCH("CORDIAL",C2497)),"Liqueurs",
 ISNUMBER(SEARCH("SCHNAPP",C2497)),"Liqueurs",
 ISNUMBER(SEARCH("GIN",C2497)),"Gin",
 TRUE,"Other")</f>
        <v>Rum</v>
      </c>
      <c r="E2497" s="5">
        <v>3421</v>
      </c>
      <c r="F2497" s="5">
        <v>74130.690000000061</v>
      </c>
      <c r="G2497" s="5"/>
      <c r="H2497" s="5">
        <v>617</v>
      </c>
    </row>
    <row r="2498" spans="1:8">
      <c r="A2498" s="5">
        <v>2025</v>
      </c>
      <c r="B2498" s="6">
        <v>45778</v>
      </c>
      <c r="C2498" s="5" t="s">
        <v>8</v>
      </c>
      <c r="D2498" s="3" t="str" cm="1">
        <f t="array" ref="D2498">_xlfn.IFS(
 ISNUMBER(SEARCH("WHISK",C2498)),"Whiskey",
 ISNUMBER(SEARCH("BOURBON",C2498)),"Whiskey",
 ISNUMBER(SEARCH("SCOTCH",C2498)),"Whiskey",
 ISNUMBER(SEARCH("RYE",C2498)),"Whiskey",
 ISNUMBER(SEARCH("VODKA",C2498)),"Vodka",
 ISNUMBER(SEARCH("TEQUILA",C2498)),"Tequila/Mezcal",
 ISNUMBER(SEARCH("MEZCAL",C2498)),"Tequila/Mezcal",
 ISNUMBER(SEARCH("RUM",C2498)),"Rum",
 ISNUMBER(SEARCH("BRAND",C2498)),"Brandy",
 ISNUMBER(SEARCH("COGNAC",C2498)),"Brandy",
 ISNUMBER(SEARCH("LIQUEUR",C2498)),"Liqueurs",
 ISNUMBER(SEARCH("CORDIAL",C2498)),"Liqueurs",
 ISNUMBER(SEARCH("SCHNAPP",C2498)),"Liqueurs",
 ISNUMBER(SEARCH("GIN",C2498)),"Gin",
 TRUE,"Other")</f>
        <v>Brandy</v>
      </c>
      <c r="E2498" s="5">
        <v>51151</v>
      </c>
      <c r="F2498" s="5">
        <v>328762.34000000125</v>
      </c>
      <c r="G2498" s="5"/>
      <c r="H2498" s="5">
        <v>4034</v>
      </c>
    </row>
    <row r="2499" spans="1:8">
      <c r="A2499" s="5">
        <v>2025</v>
      </c>
      <c r="B2499" s="6">
        <v>45778</v>
      </c>
      <c r="C2499" s="5" t="s">
        <v>59</v>
      </c>
      <c r="D2499" s="3" t="str" cm="1">
        <f t="array" ref="D2499">_xlfn.IFS(
 ISNUMBER(SEARCH("WHISK",C2499)),"Whiskey",
 ISNUMBER(SEARCH("BOURBON",C2499)),"Whiskey",
 ISNUMBER(SEARCH("SCOTCH",C2499)),"Whiskey",
 ISNUMBER(SEARCH("RYE",C2499)),"Whiskey",
 ISNUMBER(SEARCH("VODKA",C2499)),"Vodka",
 ISNUMBER(SEARCH("TEQUILA",C2499)),"Tequila/Mezcal",
 ISNUMBER(SEARCH("MEZCAL",C2499)),"Tequila/Mezcal",
 ISNUMBER(SEARCH("RUM",C2499)),"Rum",
 ISNUMBER(SEARCH("BRAND",C2499)),"Brandy",
 ISNUMBER(SEARCH("COGNAC",C2499)),"Brandy",
 ISNUMBER(SEARCH("LIQUEUR",C2499)),"Liqueurs",
 ISNUMBER(SEARCH("CORDIAL",C2499)),"Liqueurs",
 ISNUMBER(SEARCH("SCHNAPP",C2499)),"Liqueurs",
 ISNUMBER(SEARCH("GIN",C2499)),"Gin",
 TRUE,"Other")</f>
        <v>Liqueurs</v>
      </c>
      <c r="E2499" s="5">
        <v>31068</v>
      </c>
      <c r="F2499" s="5">
        <v>372587.27999999753</v>
      </c>
      <c r="G2499" s="5"/>
      <c r="H2499" s="5">
        <v>5064</v>
      </c>
    </row>
    <row r="2500" spans="1:8">
      <c r="A2500" s="5">
        <v>2025</v>
      </c>
      <c r="B2500" s="6">
        <v>45778</v>
      </c>
      <c r="C2500" s="5" t="s">
        <v>10</v>
      </c>
      <c r="D2500" s="3" t="str" cm="1">
        <f t="array" ref="D2500">_xlfn.IFS(
 ISNUMBER(SEARCH("WHISK",C2500)),"Whiskey",
 ISNUMBER(SEARCH("BOURBON",C2500)),"Whiskey",
 ISNUMBER(SEARCH("SCOTCH",C2500)),"Whiskey",
 ISNUMBER(SEARCH("RYE",C2500)),"Whiskey",
 ISNUMBER(SEARCH("VODKA",C2500)),"Vodka",
 ISNUMBER(SEARCH("TEQUILA",C2500)),"Tequila/Mezcal",
 ISNUMBER(SEARCH("MEZCAL",C2500)),"Tequila/Mezcal",
 ISNUMBER(SEARCH("RUM",C2500)),"Rum",
 ISNUMBER(SEARCH("BRAND",C2500)),"Brandy",
 ISNUMBER(SEARCH("COGNAC",C2500)),"Brandy",
 ISNUMBER(SEARCH("LIQUEUR",C2500)),"Liqueurs",
 ISNUMBER(SEARCH("CORDIAL",C2500)),"Liqueurs",
 ISNUMBER(SEARCH("SCHNAPP",C2500)),"Liqueurs",
 ISNUMBER(SEARCH("GIN",C2500)),"Gin",
 TRUE,"Other")</f>
        <v>Other</v>
      </c>
      <c r="E2500" s="5">
        <v>4615</v>
      </c>
      <c r="F2500" s="5">
        <v>111352.03999999998</v>
      </c>
      <c r="G2500" s="5"/>
      <c r="H2500" s="5">
        <v>539</v>
      </c>
    </row>
    <row r="2501" spans="1:8">
      <c r="A2501" s="5">
        <v>2025</v>
      </c>
      <c r="B2501" s="6">
        <v>45778</v>
      </c>
      <c r="C2501" s="5" t="s">
        <v>11</v>
      </c>
      <c r="D2501" s="3" t="str" cm="1">
        <f t="array" ref="D2501">_xlfn.IFS(
 ISNUMBER(SEARCH("WHISK",C2501)),"Whiskey",
 ISNUMBER(SEARCH("BOURBON",C2501)),"Whiskey",
 ISNUMBER(SEARCH("SCOTCH",C2501)),"Whiskey",
 ISNUMBER(SEARCH("RYE",C2501)),"Whiskey",
 ISNUMBER(SEARCH("VODKA",C2501)),"Vodka",
 ISNUMBER(SEARCH("TEQUILA",C2501)),"Tequila/Mezcal",
 ISNUMBER(SEARCH("MEZCAL",C2501)),"Tequila/Mezcal",
 ISNUMBER(SEARCH("RUM",C2501)),"Rum",
 ISNUMBER(SEARCH("BRAND",C2501)),"Brandy",
 ISNUMBER(SEARCH("COGNAC",C2501)),"Brandy",
 ISNUMBER(SEARCH("LIQUEUR",C2501)),"Liqueurs",
 ISNUMBER(SEARCH("CORDIAL",C2501)),"Liqueurs",
 ISNUMBER(SEARCH("SCHNAPP",C2501)),"Liqueurs",
 ISNUMBER(SEARCH("GIN",C2501)),"Gin",
 TRUE,"Other")</f>
        <v>Gin</v>
      </c>
      <c r="E2501" s="5">
        <v>26512</v>
      </c>
      <c r="F2501" s="5">
        <v>262006.80000000104</v>
      </c>
      <c r="G2501" s="5"/>
      <c r="H2501" s="5">
        <v>2542</v>
      </c>
    </row>
    <row r="2502" spans="1:8">
      <c r="A2502" s="5">
        <v>2025</v>
      </c>
      <c r="B2502" s="6">
        <v>45778</v>
      </c>
      <c r="C2502" s="5" t="s">
        <v>12</v>
      </c>
      <c r="D2502" s="3" t="str" cm="1">
        <f t="array" ref="D2502">_xlfn.IFS(
 ISNUMBER(SEARCH("WHISK",C2502)),"Whiskey",
 ISNUMBER(SEARCH("BOURBON",C2502)),"Whiskey",
 ISNUMBER(SEARCH("SCOTCH",C2502)),"Whiskey",
 ISNUMBER(SEARCH("RYE",C2502)),"Whiskey",
 ISNUMBER(SEARCH("VODKA",C2502)),"Vodka",
 ISNUMBER(SEARCH("TEQUILA",C2502)),"Tequila/Mezcal",
 ISNUMBER(SEARCH("MEZCAL",C2502)),"Tequila/Mezcal",
 ISNUMBER(SEARCH("RUM",C2502)),"Rum",
 ISNUMBER(SEARCH("BRAND",C2502)),"Brandy",
 ISNUMBER(SEARCH("COGNAC",C2502)),"Brandy",
 ISNUMBER(SEARCH("LIQUEUR",C2502)),"Liqueurs",
 ISNUMBER(SEARCH("CORDIAL",C2502)),"Liqueurs",
 ISNUMBER(SEARCH("SCHNAPP",C2502)),"Liqueurs",
 ISNUMBER(SEARCH("GIN",C2502)),"Gin",
 TRUE,"Other")</f>
        <v>Vodka</v>
      </c>
      <c r="E2502" s="5">
        <v>83014</v>
      </c>
      <c r="F2502" s="5">
        <v>948374.40000005416</v>
      </c>
      <c r="G2502" s="5"/>
      <c r="H2502" s="5">
        <v>10183</v>
      </c>
    </row>
    <row r="2503" spans="1:8">
      <c r="A2503" s="5">
        <v>2025</v>
      </c>
      <c r="B2503" s="6">
        <v>45778</v>
      </c>
      <c r="C2503" s="5" t="s">
        <v>13</v>
      </c>
      <c r="D2503" s="3" t="str" cm="1">
        <f t="array" ref="D2503">_xlfn.IFS(
 ISNUMBER(SEARCH("WHISK",C2503)),"Whiskey",
 ISNUMBER(SEARCH("BOURBON",C2503)),"Whiskey",
 ISNUMBER(SEARCH("SCOTCH",C2503)),"Whiskey",
 ISNUMBER(SEARCH("RYE",C2503)),"Whiskey",
 ISNUMBER(SEARCH("VODKA",C2503)),"Vodka",
 ISNUMBER(SEARCH("TEQUILA",C2503)),"Tequila/Mezcal",
 ISNUMBER(SEARCH("MEZCAL",C2503)),"Tequila/Mezcal",
 ISNUMBER(SEARCH("RUM",C2503)),"Rum",
 ISNUMBER(SEARCH("BRAND",C2503)),"Brandy",
 ISNUMBER(SEARCH("COGNAC",C2503)),"Brandy",
 ISNUMBER(SEARCH("LIQUEUR",C2503)),"Liqueurs",
 ISNUMBER(SEARCH("CORDIAL",C2503)),"Liqueurs",
 ISNUMBER(SEARCH("SCHNAPP",C2503)),"Liqueurs",
 ISNUMBER(SEARCH("GIN",C2503)),"Gin",
 TRUE,"Other")</f>
        <v>Liqueurs</v>
      </c>
      <c r="E2503" s="5">
        <v>96726</v>
      </c>
      <c r="F2503" s="5">
        <v>688447.98999996553</v>
      </c>
      <c r="G2503" s="5"/>
      <c r="H2503" s="5">
        <v>7728</v>
      </c>
    </row>
    <row r="2504" spans="1:8">
      <c r="A2504" s="5">
        <v>2025</v>
      </c>
      <c r="B2504" s="6">
        <v>45778</v>
      </c>
      <c r="C2504" s="5" t="s">
        <v>15</v>
      </c>
      <c r="D2504" s="3" t="str" cm="1">
        <f t="array" ref="D2504">_xlfn.IFS(
 ISNUMBER(SEARCH("WHISK",C2504)),"Whiskey",
 ISNUMBER(SEARCH("BOURBON",C2504)),"Whiskey",
 ISNUMBER(SEARCH("SCOTCH",C2504)),"Whiskey",
 ISNUMBER(SEARCH("RYE",C2504)),"Whiskey",
 ISNUMBER(SEARCH("VODKA",C2504)),"Vodka",
 ISNUMBER(SEARCH("TEQUILA",C2504)),"Tequila/Mezcal",
 ISNUMBER(SEARCH("MEZCAL",C2504)),"Tequila/Mezcal",
 ISNUMBER(SEARCH("RUM",C2504)),"Rum",
 ISNUMBER(SEARCH("BRAND",C2504)),"Brandy",
 ISNUMBER(SEARCH("COGNAC",C2504)),"Brandy",
 ISNUMBER(SEARCH("LIQUEUR",C2504)),"Liqueurs",
 ISNUMBER(SEARCH("CORDIAL",C2504)),"Liqueurs",
 ISNUMBER(SEARCH("SCHNAPP",C2504)),"Liqueurs",
 ISNUMBER(SEARCH("GIN",C2504)),"Gin",
 TRUE,"Other")</f>
        <v>Vodka</v>
      </c>
      <c r="E2504" s="5">
        <v>563358</v>
      </c>
      <c r="F2504" s="5">
        <v>6101558.6400000192</v>
      </c>
      <c r="G2504" s="5"/>
      <c r="H2504" s="5">
        <v>33739</v>
      </c>
    </row>
    <row r="2505" spans="1:8">
      <c r="A2505" s="5">
        <v>2025</v>
      </c>
      <c r="B2505" s="6">
        <v>45778</v>
      </c>
      <c r="C2505" s="5" t="s">
        <v>16</v>
      </c>
      <c r="D2505" s="3" t="str" cm="1">
        <f t="array" ref="D2505">_xlfn.IFS(
 ISNUMBER(SEARCH("WHISK",C2505)),"Whiskey",
 ISNUMBER(SEARCH("BOURBON",C2505)),"Whiskey",
 ISNUMBER(SEARCH("SCOTCH",C2505)),"Whiskey",
 ISNUMBER(SEARCH("RYE",C2505)),"Whiskey",
 ISNUMBER(SEARCH("VODKA",C2505)),"Vodka",
 ISNUMBER(SEARCH("TEQUILA",C2505)),"Tequila/Mezcal",
 ISNUMBER(SEARCH("MEZCAL",C2505)),"Tequila/Mezcal",
 ISNUMBER(SEARCH("RUM",C2505)),"Rum",
 ISNUMBER(SEARCH("BRAND",C2505)),"Brandy",
 ISNUMBER(SEARCH("COGNAC",C2505)),"Brandy",
 ISNUMBER(SEARCH("LIQUEUR",C2505)),"Liqueurs",
 ISNUMBER(SEARCH("CORDIAL",C2505)),"Liqueurs",
 ISNUMBER(SEARCH("SCHNAPP",C2505)),"Liqueurs",
 ISNUMBER(SEARCH("GIN",C2505)),"Gin",
 TRUE,"Other")</f>
        <v>Whiskey</v>
      </c>
      <c r="E2505" s="5">
        <v>63757</v>
      </c>
      <c r="F2505" s="5">
        <v>835563.62999998371</v>
      </c>
      <c r="G2505" s="5"/>
      <c r="H2505" s="5">
        <v>6880</v>
      </c>
    </row>
    <row r="2506" spans="1:8">
      <c r="A2506" s="5">
        <v>2025</v>
      </c>
      <c r="B2506" s="6">
        <v>45778</v>
      </c>
      <c r="C2506" s="5" t="s">
        <v>17</v>
      </c>
      <c r="D2506" s="3" t="str" cm="1">
        <f t="array" ref="D2506">_xlfn.IFS(
 ISNUMBER(SEARCH("WHISK",C2506)),"Whiskey",
 ISNUMBER(SEARCH("BOURBON",C2506)),"Whiskey",
 ISNUMBER(SEARCH("SCOTCH",C2506)),"Whiskey",
 ISNUMBER(SEARCH("RYE",C2506)),"Whiskey",
 ISNUMBER(SEARCH("VODKA",C2506)),"Vodka",
 ISNUMBER(SEARCH("TEQUILA",C2506)),"Tequila/Mezcal",
 ISNUMBER(SEARCH("MEZCAL",C2506)),"Tequila/Mezcal",
 ISNUMBER(SEARCH("RUM",C2506)),"Rum",
 ISNUMBER(SEARCH("BRAND",C2506)),"Brandy",
 ISNUMBER(SEARCH("COGNAC",C2506)),"Brandy",
 ISNUMBER(SEARCH("LIQUEUR",C2506)),"Liqueurs",
 ISNUMBER(SEARCH("CORDIAL",C2506)),"Liqueurs",
 ISNUMBER(SEARCH("SCHNAPP",C2506)),"Liqueurs",
 ISNUMBER(SEARCH("GIN",C2506)),"Gin",
 TRUE,"Other")</f>
        <v>Whiskey</v>
      </c>
      <c r="E2506" s="5">
        <v>3195</v>
      </c>
      <c r="F2506" s="5">
        <v>92120.170000000013</v>
      </c>
      <c r="G2506" s="5"/>
      <c r="H2506" s="5">
        <v>574</v>
      </c>
    </row>
    <row r="2507" spans="1:8">
      <c r="A2507" s="5">
        <v>2025</v>
      </c>
      <c r="B2507" s="6">
        <v>45778</v>
      </c>
      <c r="C2507" s="5" t="s">
        <v>18</v>
      </c>
      <c r="D2507" s="3" t="str" cm="1">
        <f t="array" ref="D2507">_xlfn.IFS(
 ISNUMBER(SEARCH("WHISK",C2507)),"Whiskey",
 ISNUMBER(SEARCH("BOURBON",C2507)),"Whiskey",
 ISNUMBER(SEARCH("SCOTCH",C2507)),"Whiskey",
 ISNUMBER(SEARCH("RYE",C2507)),"Whiskey",
 ISNUMBER(SEARCH("VODKA",C2507)),"Vodka",
 ISNUMBER(SEARCH("TEQUILA",C2507)),"Tequila/Mezcal",
 ISNUMBER(SEARCH("MEZCAL",C2507)),"Tequila/Mezcal",
 ISNUMBER(SEARCH("RUM",C2507)),"Rum",
 ISNUMBER(SEARCH("BRAND",C2507)),"Brandy",
 ISNUMBER(SEARCH("COGNAC",C2507)),"Brandy",
 ISNUMBER(SEARCH("LIQUEUR",C2507)),"Liqueurs",
 ISNUMBER(SEARCH("CORDIAL",C2507)),"Liqueurs",
 ISNUMBER(SEARCH("SCHNAPP",C2507)),"Liqueurs",
 ISNUMBER(SEARCH("GIN",C2507)),"Gin",
 TRUE,"Other")</f>
        <v>Whiskey</v>
      </c>
      <c r="E2507" s="5">
        <v>209162</v>
      </c>
      <c r="F2507" s="5">
        <v>3334364.8199998392</v>
      </c>
      <c r="G2507" s="5"/>
      <c r="H2507" s="5">
        <v>18865</v>
      </c>
    </row>
    <row r="2508" spans="1:8">
      <c r="A2508" s="5">
        <v>2025</v>
      </c>
      <c r="B2508" s="6">
        <v>45778</v>
      </c>
      <c r="C2508" s="5" t="s">
        <v>19</v>
      </c>
      <c r="D2508" s="3" t="str" cm="1">
        <f t="array" ref="D2508">_xlfn.IFS(
 ISNUMBER(SEARCH("WHISK",C2508)),"Whiskey",
 ISNUMBER(SEARCH("BOURBON",C2508)),"Whiskey",
 ISNUMBER(SEARCH("SCOTCH",C2508)),"Whiskey",
 ISNUMBER(SEARCH("RYE",C2508)),"Whiskey",
 ISNUMBER(SEARCH("VODKA",C2508)),"Vodka",
 ISNUMBER(SEARCH("TEQUILA",C2508)),"Tequila/Mezcal",
 ISNUMBER(SEARCH("MEZCAL",C2508)),"Tequila/Mezcal",
 ISNUMBER(SEARCH("RUM",C2508)),"Rum",
 ISNUMBER(SEARCH("BRAND",C2508)),"Brandy",
 ISNUMBER(SEARCH("COGNAC",C2508)),"Brandy",
 ISNUMBER(SEARCH("LIQUEUR",C2508)),"Liqueurs",
 ISNUMBER(SEARCH("CORDIAL",C2508)),"Liqueurs",
 ISNUMBER(SEARCH("SCHNAPP",C2508)),"Liqueurs",
 ISNUMBER(SEARCH("GIN",C2508)),"Gin",
 TRUE,"Other")</f>
        <v>Other</v>
      </c>
      <c r="E2508" s="5">
        <v>77559</v>
      </c>
      <c r="F2508" s="5">
        <v>908969.3300000017</v>
      </c>
      <c r="G2508" s="5"/>
      <c r="H2508" s="5">
        <v>8042</v>
      </c>
    </row>
    <row r="2509" spans="1:8">
      <c r="A2509" s="5">
        <v>2025</v>
      </c>
      <c r="B2509" s="6">
        <v>45778</v>
      </c>
      <c r="C2509" s="5" t="s">
        <v>20</v>
      </c>
      <c r="D2509" s="3" t="str" cm="1">
        <f t="array" ref="D2509">_xlfn.IFS(
 ISNUMBER(SEARCH("WHISK",C2509)),"Whiskey",
 ISNUMBER(SEARCH("BOURBON",C2509)),"Whiskey",
 ISNUMBER(SEARCH("SCOTCH",C2509)),"Whiskey",
 ISNUMBER(SEARCH("RYE",C2509)),"Whiskey",
 ISNUMBER(SEARCH("VODKA",C2509)),"Vodka",
 ISNUMBER(SEARCH("TEQUILA",C2509)),"Tequila/Mezcal",
 ISNUMBER(SEARCH("MEZCAL",C2509)),"Tequila/Mezcal",
 ISNUMBER(SEARCH("RUM",C2509)),"Rum",
 ISNUMBER(SEARCH("BRAND",C2509)),"Brandy",
 ISNUMBER(SEARCH("COGNAC",C2509)),"Brandy",
 ISNUMBER(SEARCH("LIQUEUR",C2509)),"Liqueurs",
 ISNUMBER(SEARCH("CORDIAL",C2509)),"Liqueurs",
 ISNUMBER(SEARCH("SCHNAPP",C2509)),"Liqueurs",
 ISNUMBER(SEARCH("GIN",C2509)),"Gin",
 TRUE,"Other")</f>
        <v>Liqueurs</v>
      </c>
      <c r="E2509" s="5">
        <v>7464</v>
      </c>
      <c r="F2509" s="5">
        <v>161101.57000000094</v>
      </c>
      <c r="G2509" s="5"/>
      <c r="H2509" s="5">
        <v>845</v>
      </c>
    </row>
    <row r="2510" spans="1:8">
      <c r="A2510" s="5">
        <v>2025</v>
      </c>
      <c r="B2510" s="6">
        <v>45778</v>
      </c>
      <c r="C2510" s="5" t="s">
        <v>22</v>
      </c>
      <c r="D2510" s="3" t="str" cm="1">
        <f t="array" ref="D2510">_xlfn.IFS(
 ISNUMBER(SEARCH("WHISK",C2510)),"Whiskey",
 ISNUMBER(SEARCH("BOURBON",C2510)),"Whiskey",
 ISNUMBER(SEARCH("SCOTCH",C2510)),"Whiskey",
 ISNUMBER(SEARCH("RYE",C2510)),"Whiskey",
 ISNUMBER(SEARCH("VODKA",C2510)),"Vodka",
 ISNUMBER(SEARCH("TEQUILA",C2510)),"Tequila/Mezcal",
 ISNUMBER(SEARCH("MEZCAL",C2510)),"Tequila/Mezcal",
 ISNUMBER(SEARCH("RUM",C2510)),"Rum",
 ISNUMBER(SEARCH("BRAND",C2510)),"Brandy",
 ISNUMBER(SEARCH("COGNAC",C2510)),"Brandy",
 ISNUMBER(SEARCH("LIQUEUR",C2510)),"Liqueurs",
 ISNUMBER(SEARCH("CORDIAL",C2510)),"Liqueurs",
 ISNUMBER(SEARCH("SCHNAPP",C2510)),"Liqueurs",
 ISNUMBER(SEARCH("GIN",C2510)),"Gin",
 TRUE,"Other")</f>
        <v>Liqueurs</v>
      </c>
      <c r="E2510" s="5">
        <v>18992</v>
      </c>
      <c r="F2510" s="5">
        <v>377577.78999999765</v>
      </c>
      <c r="G2510" s="5"/>
      <c r="H2510" s="5">
        <v>2871</v>
      </c>
    </row>
    <row r="2511" spans="1:8">
      <c r="A2511" s="5">
        <v>2025</v>
      </c>
      <c r="B2511" s="6">
        <v>45778</v>
      </c>
      <c r="C2511" s="5" t="s">
        <v>23</v>
      </c>
      <c r="D2511" s="3" t="str" cm="1">
        <f t="array" ref="D2511">_xlfn.IFS(
 ISNUMBER(SEARCH("WHISK",C2511)),"Whiskey",
 ISNUMBER(SEARCH("BOURBON",C2511)),"Whiskey",
 ISNUMBER(SEARCH("SCOTCH",C2511)),"Whiskey",
 ISNUMBER(SEARCH("RYE",C2511)),"Whiskey",
 ISNUMBER(SEARCH("VODKA",C2511)),"Vodka",
 ISNUMBER(SEARCH("TEQUILA",C2511)),"Tequila/Mezcal",
 ISNUMBER(SEARCH("MEZCAL",C2511)),"Tequila/Mezcal",
 ISNUMBER(SEARCH("RUM",C2511)),"Rum",
 ISNUMBER(SEARCH("BRAND",C2511)),"Brandy",
 ISNUMBER(SEARCH("COGNAC",C2511)),"Brandy",
 ISNUMBER(SEARCH("LIQUEUR",C2511)),"Liqueurs",
 ISNUMBER(SEARCH("CORDIAL",C2511)),"Liqueurs",
 ISNUMBER(SEARCH("SCHNAPP",C2511)),"Liqueurs",
 ISNUMBER(SEARCH("GIN",C2511)),"Gin",
 TRUE,"Other")</f>
        <v>Gin</v>
      </c>
      <c r="E2511" s="5">
        <v>4712</v>
      </c>
      <c r="F2511" s="5">
        <v>121373.77000000003</v>
      </c>
      <c r="G2511" s="5"/>
      <c r="H2511" s="5">
        <v>484</v>
      </c>
    </row>
    <row r="2512" spans="1:8">
      <c r="A2512" s="5">
        <v>2025</v>
      </c>
      <c r="B2512" s="6">
        <v>45778</v>
      </c>
      <c r="C2512" s="5" t="s">
        <v>24</v>
      </c>
      <c r="D2512" s="3" t="str" cm="1">
        <f t="array" ref="D2512">_xlfn.IFS(
 ISNUMBER(SEARCH("WHISK",C2512)),"Whiskey",
 ISNUMBER(SEARCH("BOURBON",C2512)),"Whiskey",
 ISNUMBER(SEARCH("SCOTCH",C2512)),"Whiskey",
 ISNUMBER(SEARCH("RYE",C2512)),"Whiskey",
 ISNUMBER(SEARCH("VODKA",C2512)),"Vodka",
 ISNUMBER(SEARCH("TEQUILA",C2512)),"Tequila/Mezcal",
 ISNUMBER(SEARCH("MEZCAL",C2512)),"Tequila/Mezcal",
 ISNUMBER(SEARCH("RUM",C2512)),"Rum",
 ISNUMBER(SEARCH("BRAND",C2512)),"Brandy",
 ISNUMBER(SEARCH("COGNAC",C2512)),"Brandy",
 ISNUMBER(SEARCH("LIQUEUR",C2512)),"Liqueurs",
 ISNUMBER(SEARCH("CORDIAL",C2512)),"Liqueurs",
 ISNUMBER(SEARCH("SCHNAPP",C2512)),"Liqueurs",
 ISNUMBER(SEARCH("GIN",C2512)),"Gin",
 TRUE,"Other")</f>
        <v>Rum</v>
      </c>
      <c r="E2512" s="5">
        <v>39091</v>
      </c>
      <c r="F2512" s="5">
        <v>595892.2399999951</v>
      </c>
      <c r="G2512" s="5"/>
      <c r="H2512" s="5">
        <v>4042</v>
      </c>
    </row>
    <row r="2513" spans="1:8">
      <c r="A2513" s="5">
        <v>2025</v>
      </c>
      <c r="B2513" s="6">
        <v>45778</v>
      </c>
      <c r="C2513" s="5" t="s">
        <v>25</v>
      </c>
      <c r="D2513" s="3" t="str" cm="1">
        <f t="array" ref="D2513">_xlfn.IFS(
 ISNUMBER(SEARCH("WHISK",C2513)),"Whiskey",
 ISNUMBER(SEARCH("BOURBON",C2513)),"Whiskey",
 ISNUMBER(SEARCH("SCOTCH",C2513)),"Whiskey",
 ISNUMBER(SEARCH("RYE",C2513)),"Whiskey",
 ISNUMBER(SEARCH("VODKA",C2513)),"Vodka",
 ISNUMBER(SEARCH("TEQUILA",C2513)),"Tequila/Mezcal",
 ISNUMBER(SEARCH("MEZCAL",C2513)),"Tequila/Mezcal",
 ISNUMBER(SEARCH("RUM",C2513)),"Rum",
 ISNUMBER(SEARCH("BRAND",C2513)),"Brandy",
 ISNUMBER(SEARCH("COGNAC",C2513)),"Brandy",
 ISNUMBER(SEARCH("LIQUEUR",C2513)),"Liqueurs",
 ISNUMBER(SEARCH("CORDIAL",C2513)),"Liqueurs",
 ISNUMBER(SEARCH("SCHNAPP",C2513)),"Liqueurs",
 ISNUMBER(SEARCH("GIN",C2513)),"Gin",
 TRUE,"Other")</f>
        <v>Rum</v>
      </c>
      <c r="E2513" s="5">
        <v>5324</v>
      </c>
      <c r="F2513" s="5">
        <v>73674.840000000011</v>
      </c>
      <c r="G2513" s="5"/>
      <c r="H2513" s="5">
        <v>778</v>
      </c>
    </row>
    <row r="2514" spans="1:8">
      <c r="A2514" s="5">
        <v>2025</v>
      </c>
      <c r="B2514" s="6">
        <v>45778</v>
      </c>
      <c r="C2514" s="5" t="s">
        <v>26</v>
      </c>
      <c r="D2514" s="3" t="str" cm="1">
        <f t="array" ref="D2514">_xlfn.IFS(
 ISNUMBER(SEARCH("WHISK",C2514)),"Whiskey",
 ISNUMBER(SEARCH("BOURBON",C2514)),"Whiskey",
 ISNUMBER(SEARCH("SCOTCH",C2514)),"Whiskey",
 ISNUMBER(SEARCH("RYE",C2514)),"Whiskey",
 ISNUMBER(SEARCH("VODKA",C2514)),"Vodka",
 ISNUMBER(SEARCH("TEQUILA",C2514)),"Tequila/Mezcal",
 ISNUMBER(SEARCH("MEZCAL",C2514)),"Tequila/Mezcal",
 ISNUMBER(SEARCH("RUM",C2514)),"Rum",
 ISNUMBER(SEARCH("BRAND",C2514)),"Brandy",
 ISNUMBER(SEARCH("COGNAC",C2514)),"Brandy",
 ISNUMBER(SEARCH("LIQUEUR",C2514)),"Liqueurs",
 ISNUMBER(SEARCH("CORDIAL",C2514)),"Liqueurs",
 ISNUMBER(SEARCH("SCHNAPP",C2514)),"Liqueurs",
 ISNUMBER(SEARCH("GIN",C2514)),"Gin",
 TRUE,"Other")</f>
        <v>Brandy</v>
      </c>
      <c r="E2514" s="5">
        <v>31180</v>
      </c>
      <c r="F2514" s="5">
        <v>706738.96000000008</v>
      </c>
      <c r="G2514" s="5"/>
      <c r="H2514" s="5">
        <v>2981</v>
      </c>
    </row>
    <row r="2515" spans="1:8">
      <c r="A2515" s="5">
        <v>2025</v>
      </c>
      <c r="B2515" s="6">
        <v>45778</v>
      </c>
      <c r="C2515" s="5" t="s">
        <v>60</v>
      </c>
      <c r="D2515" s="3" t="str" cm="1">
        <f t="array" ref="D2515">_xlfn.IFS(
 ISNUMBER(SEARCH("WHISK",C2515)),"Whiskey",
 ISNUMBER(SEARCH("BOURBON",C2515)),"Whiskey",
 ISNUMBER(SEARCH("SCOTCH",C2515)),"Whiskey",
 ISNUMBER(SEARCH("RYE",C2515)),"Whiskey",
 ISNUMBER(SEARCH("VODKA",C2515)),"Vodka",
 ISNUMBER(SEARCH("TEQUILA",C2515)),"Tequila/Mezcal",
 ISNUMBER(SEARCH("MEZCAL",C2515)),"Tequila/Mezcal",
 ISNUMBER(SEARCH("RUM",C2515)),"Rum",
 ISNUMBER(SEARCH("BRAND",C2515)),"Brandy",
 ISNUMBER(SEARCH("COGNAC",C2515)),"Brandy",
 ISNUMBER(SEARCH("LIQUEUR",C2515)),"Liqueurs",
 ISNUMBER(SEARCH("CORDIAL",C2515)),"Liqueurs",
 ISNUMBER(SEARCH("SCHNAPP",C2515)),"Liqueurs",
 ISNUMBER(SEARCH("GIN",C2515)),"Gin",
 TRUE,"Other")</f>
        <v>Liqueurs</v>
      </c>
      <c r="E2515" s="5">
        <v>40847</v>
      </c>
      <c r="F2515" s="5">
        <v>973551.6600000012</v>
      </c>
      <c r="G2515" s="5"/>
      <c r="H2515" s="5">
        <v>4825</v>
      </c>
    </row>
    <row r="2516" spans="1:8">
      <c r="A2516" s="5">
        <v>2025</v>
      </c>
      <c r="B2516" s="6">
        <v>45778</v>
      </c>
      <c r="C2516" s="5" t="s">
        <v>28</v>
      </c>
      <c r="D2516" s="3" t="str" cm="1">
        <f t="array" ref="D2516">_xlfn.IFS(
 ISNUMBER(SEARCH("WHISK",C2516)),"Whiskey",
 ISNUMBER(SEARCH("BOURBON",C2516)),"Whiskey",
 ISNUMBER(SEARCH("SCOTCH",C2516)),"Whiskey",
 ISNUMBER(SEARCH("RYE",C2516)),"Whiskey",
 ISNUMBER(SEARCH("VODKA",C2516)),"Vodka",
 ISNUMBER(SEARCH("TEQUILA",C2516)),"Tequila/Mezcal",
 ISNUMBER(SEARCH("MEZCAL",C2516)),"Tequila/Mezcal",
 ISNUMBER(SEARCH("RUM",C2516)),"Rum",
 ISNUMBER(SEARCH("BRAND",C2516)),"Brandy",
 ISNUMBER(SEARCH("COGNAC",C2516)),"Brandy",
 ISNUMBER(SEARCH("LIQUEUR",C2516)),"Liqueurs",
 ISNUMBER(SEARCH("CORDIAL",C2516)),"Liqueurs",
 ISNUMBER(SEARCH("SCHNAPP",C2516)),"Liqueurs",
 ISNUMBER(SEARCH("GIN",C2516)),"Gin",
 TRUE,"Other")</f>
        <v>Other</v>
      </c>
      <c r="E2516" s="5">
        <v>38970</v>
      </c>
      <c r="F2516" s="5">
        <v>270787.58</v>
      </c>
      <c r="G2516" s="5"/>
      <c r="H2516" s="5">
        <v>1033</v>
      </c>
    </row>
    <row r="2517" spans="1:8">
      <c r="A2517" s="5">
        <v>2025</v>
      </c>
      <c r="B2517" s="6">
        <v>45778</v>
      </c>
      <c r="C2517" s="5" t="s">
        <v>29</v>
      </c>
      <c r="D2517" s="3" t="str" cm="1">
        <f t="array" ref="D2517">_xlfn.IFS(
 ISNUMBER(SEARCH("WHISK",C2517)),"Whiskey",
 ISNUMBER(SEARCH("BOURBON",C2517)),"Whiskey",
 ISNUMBER(SEARCH("SCOTCH",C2517)),"Whiskey",
 ISNUMBER(SEARCH("RYE",C2517)),"Whiskey",
 ISNUMBER(SEARCH("VODKA",C2517)),"Vodka",
 ISNUMBER(SEARCH("TEQUILA",C2517)),"Tequila/Mezcal",
 ISNUMBER(SEARCH("MEZCAL",C2517)),"Tequila/Mezcal",
 ISNUMBER(SEARCH("RUM",C2517)),"Rum",
 ISNUMBER(SEARCH("BRAND",C2517)),"Brandy",
 ISNUMBER(SEARCH("COGNAC",C2517)),"Brandy",
 ISNUMBER(SEARCH("LIQUEUR",C2517)),"Liqueurs",
 ISNUMBER(SEARCH("CORDIAL",C2517)),"Liqueurs",
 ISNUMBER(SEARCH("SCHNAPP",C2517)),"Liqueurs",
 ISNUMBER(SEARCH("GIN",C2517)),"Gin",
 TRUE,"Other")</f>
        <v>Gin</v>
      </c>
      <c r="E2517" s="5">
        <v>15735</v>
      </c>
      <c r="F2517" s="5">
        <v>406477.70999999944</v>
      </c>
      <c r="G2517" s="5"/>
      <c r="H2517" s="5">
        <v>2075</v>
      </c>
    </row>
    <row r="2518" spans="1:8">
      <c r="A2518" s="5">
        <v>2025</v>
      </c>
      <c r="B2518" s="6">
        <v>45778</v>
      </c>
      <c r="C2518" s="5" t="s">
        <v>30</v>
      </c>
      <c r="D2518" s="3" t="str" cm="1">
        <f t="array" ref="D2518">_xlfn.IFS(
 ISNUMBER(SEARCH("WHISK",C2518)),"Whiskey",
 ISNUMBER(SEARCH("BOURBON",C2518)),"Whiskey",
 ISNUMBER(SEARCH("SCOTCH",C2518)),"Whiskey",
 ISNUMBER(SEARCH("RYE",C2518)),"Whiskey",
 ISNUMBER(SEARCH("VODKA",C2518)),"Vodka",
 ISNUMBER(SEARCH("TEQUILA",C2518)),"Tequila/Mezcal",
 ISNUMBER(SEARCH("MEZCAL",C2518)),"Tequila/Mezcal",
 ISNUMBER(SEARCH("RUM",C2518)),"Rum",
 ISNUMBER(SEARCH("BRAND",C2518)),"Brandy",
 ISNUMBER(SEARCH("COGNAC",C2518)),"Brandy",
 ISNUMBER(SEARCH("LIQUEUR",C2518)),"Liqueurs",
 ISNUMBER(SEARCH("CORDIAL",C2518)),"Liqueurs",
 ISNUMBER(SEARCH("SCHNAPP",C2518)),"Liqueurs",
 ISNUMBER(SEARCH("GIN",C2518)),"Gin",
 TRUE,"Other")</f>
        <v>Vodka</v>
      </c>
      <c r="E2518" s="5">
        <v>18760</v>
      </c>
      <c r="F2518" s="5">
        <v>305532.17000000179</v>
      </c>
      <c r="G2518" s="5"/>
      <c r="H2518" s="5">
        <v>2371</v>
      </c>
    </row>
    <row r="2519" spans="1:8">
      <c r="A2519" s="5">
        <v>2025</v>
      </c>
      <c r="B2519" s="6">
        <v>45778</v>
      </c>
      <c r="C2519" s="5" t="s">
        <v>31</v>
      </c>
      <c r="D2519" s="3" t="str" cm="1">
        <f t="array" ref="D2519">_xlfn.IFS(
 ISNUMBER(SEARCH("WHISK",C2519)),"Whiskey",
 ISNUMBER(SEARCH("BOURBON",C2519)),"Whiskey",
 ISNUMBER(SEARCH("SCOTCH",C2519)),"Whiskey",
 ISNUMBER(SEARCH("RYE",C2519)),"Whiskey",
 ISNUMBER(SEARCH("VODKA",C2519)),"Vodka",
 ISNUMBER(SEARCH("TEQUILA",C2519)),"Tequila/Mezcal",
 ISNUMBER(SEARCH("MEZCAL",C2519)),"Tequila/Mezcal",
 ISNUMBER(SEARCH("RUM",C2519)),"Rum",
 ISNUMBER(SEARCH("BRAND",C2519)),"Brandy",
 ISNUMBER(SEARCH("COGNAC",C2519)),"Brandy",
 ISNUMBER(SEARCH("LIQUEUR",C2519)),"Liqueurs",
 ISNUMBER(SEARCH("CORDIAL",C2519)),"Liqueurs",
 ISNUMBER(SEARCH("SCHNAPP",C2519)),"Liqueurs",
 ISNUMBER(SEARCH("GIN",C2519)),"Gin",
 TRUE,"Other")</f>
        <v>Liqueurs</v>
      </c>
      <c r="E2519" s="5">
        <v>27926</v>
      </c>
      <c r="F2519" s="5">
        <v>504976.73000000208</v>
      </c>
      <c r="G2519" s="5"/>
      <c r="H2519" s="5">
        <v>2536</v>
      </c>
    </row>
    <row r="2520" spans="1:8">
      <c r="A2520" s="5">
        <v>2025</v>
      </c>
      <c r="B2520" s="6">
        <v>45778</v>
      </c>
      <c r="C2520" s="5" t="s">
        <v>32</v>
      </c>
      <c r="D2520" s="3" t="str" cm="1">
        <f t="array" ref="D2520">_xlfn.IFS(
 ISNUMBER(SEARCH("WHISK",C2520)),"Whiskey",
 ISNUMBER(SEARCH("BOURBON",C2520)),"Whiskey",
 ISNUMBER(SEARCH("SCOTCH",C2520)),"Whiskey",
 ISNUMBER(SEARCH("RYE",C2520)),"Whiskey",
 ISNUMBER(SEARCH("VODKA",C2520)),"Vodka",
 ISNUMBER(SEARCH("TEQUILA",C2520)),"Tequila/Mezcal",
 ISNUMBER(SEARCH("MEZCAL",C2520)),"Tequila/Mezcal",
 ISNUMBER(SEARCH("RUM",C2520)),"Rum",
 ISNUMBER(SEARCH("BRAND",C2520)),"Brandy",
 ISNUMBER(SEARCH("COGNAC",C2520)),"Brandy",
 ISNUMBER(SEARCH("LIQUEUR",C2520)),"Liqueurs",
 ISNUMBER(SEARCH("CORDIAL",C2520)),"Liqueurs",
 ISNUMBER(SEARCH("SCHNAPP",C2520)),"Liqueurs",
 ISNUMBER(SEARCH("GIN",C2520)),"Gin",
 TRUE,"Other")</f>
        <v>Vodka</v>
      </c>
      <c r="E2520" s="5">
        <v>56108</v>
      </c>
      <c r="F2520" s="5">
        <v>911728.96999998169</v>
      </c>
      <c r="G2520" s="5"/>
      <c r="H2520" s="5">
        <v>4328</v>
      </c>
    </row>
    <row r="2521" spans="1:8">
      <c r="A2521" s="5">
        <v>2025</v>
      </c>
      <c r="B2521" s="6">
        <v>45778</v>
      </c>
      <c r="C2521" s="5" t="s">
        <v>33</v>
      </c>
      <c r="D2521" s="3" t="str" cm="1">
        <f t="array" ref="D2521">_xlfn.IFS(
 ISNUMBER(SEARCH("WHISK",C2521)),"Whiskey",
 ISNUMBER(SEARCH("BOURBON",C2521)),"Whiskey",
 ISNUMBER(SEARCH("SCOTCH",C2521)),"Whiskey",
 ISNUMBER(SEARCH("RYE",C2521)),"Whiskey",
 ISNUMBER(SEARCH("VODKA",C2521)),"Vodka",
 ISNUMBER(SEARCH("TEQUILA",C2521)),"Tequila/Mezcal",
 ISNUMBER(SEARCH("MEZCAL",C2521)),"Tequila/Mezcal",
 ISNUMBER(SEARCH("RUM",C2521)),"Rum",
 ISNUMBER(SEARCH("BRAND",C2521)),"Brandy",
 ISNUMBER(SEARCH("COGNAC",C2521)),"Brandy",
 ISNUMBER(SEARCH("LIQUEUR",C2521)),"Liqueurs",
 ISNUMBER(SEARCH("CORDIAL",C2521)),"Liqueurs",
 ISNUMBER(SEARCH("SCHNAPP",C2521)),"Liqueurs",
 ISNUMBER(SEARCH("GIN",C2521)),"Gin",
 TRUE,"Other")</f>
        <v>Whiskey</v>
      </c>
      <c r="E2521" s="5">
        <v>24121</v>
      </c>
      <c r="F2521" s="5">
        <v>671411.9999999936</v>
      </c>
      <c r="G2521" s="5"/>
      <c r="H2521" s="5">
        <v>2279</v>
      </c>
    </row>
    <row r="2522" spans="1:8">
      <c r="A2522" s="5">
        <v>2025</v>
      </c>
      <c r="B2522" s="6">
        <v>45778</v>
      </c>
      <c r="C2522" s="5" t="s">
        <v>34</v>
      </c>
      <c r="D2522" s="3" t="str" cm="1">
        <f t="array" ref="D2522">_xlfn.IFS(
 ISNUMBER(SEARCH("WHISK",C2522)),"Whiskey",
 ISNUMBER(SEARCH("BOURBON",C2522)),"Whiskey",
 ISNUMBER(SEARCH("SCOTCH",C2522)),"Whiskey",
 ISNUMBER(SEARCH("RYE",C2522)),"Whiskey",
 ISNUMBER(SEARCH("VODKA",C2522)),"Vodka",
 ISNUMBER(SEARCH("TEQUILA",C2522)),"Tequila/Mezcal",
 ISNUMBER(SEARCH("MEZCAL",C2522)),"Tequila/Mezcal",
 ISNUMBER(SEARCH("RUM",C2522)),"Rum",
 ISNUMBER(SEARCH("BRAND",C2522)),"Brandy",
 ISNUMBER(SEARCH("COGNAC",C2522)),"Brandy",
 ISNUMBER(SEARCH("LIQUEUR",C2522)),"Liqueurs",
 ISNUMBER(SEARCH("CORDIAL",C2522)),"Liqueurs",
 ISNUMBER(SEARCH("SCHNAPP",C2522)),"Liqueurs",
 ISNUMBER(SEARCH("GIN",C2522)),"Gin",
 TRUE,"Other")</f>
        <v>Tequila/Mezcal</v>
      </c>
      <c r="E2522" s="5">
        <v>1635</v>
      </c>
      <c r="F2522" s="5">
        <v>49471.580000000016</v>
      </c>
      <c r="G2522" s="5"/>
      <c r="H2522" s="5">
        <v>267</v>
      </c>
    </row>
    <row r="2523" spans="1:8">
      <c r="A2523" s="5">
        <v>2025</v>
      </c>
      <c r="B2523" s="6">
        <v>45778</v>
      </c>
      <c r="C2523" s="5" t="s">
        <v>35</v>
      </c>
      <c r="D2523" s="3" t="str" cm="1">
        <f t="array" ref="D2523">_xlfn.IFS(
 ISNUMBER(SEARCH("WHISK",C2523)),"Whiskey",
 ISNUMBER(SEARCH("BOURBON",C2523)),"Whiskey",
 ISNUMBER(SEARCH("SCOTCH",C2523)),"Whiskey",
 ISNUMBER(SEARCH("RYE",C2523)),"Whiskey",
 ISNUMBER(SEARCH("VODKA",C2523)),"Vodka",
 ISNUMBER(SEARCH("TEQUILA",C2523)),"Tequila/Mezcal",
 ISNUMBER(SEARCH("MEZCAL",C2523)),"Tequila/Mezcal",
 ISNUMBER(SEARCH("RUM",C2523)),"Rum",
 ISNUMBER(SEARCH("BRAND",C2523)),"Brandy",
 ISNUMBER(SEARCH("COGNAC",C2523)),"Brandy",
 ISNUMBER(SEARCH("LIQUEUR",C2523)),"Liqueurs",
 ISNUMBER(SEARCH("CORDIAL",C2523)),"Liqueurs",
 ISNUMBER(SEARCH("SCHNAPP",C2523)),"Liqueurs",
 ISNUMBER(SEARCH("GIN",C2523)),"Gin",
 TRUE,"Other")</f>
        <v>Tequila/Mezcal</v>
      </c>
      <c r="E2523" s="5">
        <v>72521</v>
      </c>
      <c r="F2523" s="5">
        <v>1015822.1899999912</v>
      </c>
      <c r="G2523" s="5"/>
      <c r="H2523" s="5">
        <v>4711</v>
      </c>
    </row>
    <row r="2524" spans="1:8">
      <c r="A2524" s="5">
        <v>2025</v>
      </c>
      <c r="B2524" s="6">
        <v>45778</v>
      </c>
      <c r="C2524" s="5" t="s">
        <v>37</v>
      </c>
      <c r="D2524" s="3" t="str" cm="1">
        <f t="array" ref="D2524">_xlfn.IFS(
 ISNUMBER(SEARCH("WHISK",C2524)),"Whiskey",
 ISNUMBER(SEARCH("BOURBON",C2524)),"Whiskey",
 ISNUMBER(SEARCH("SCOTCH",C2524)),"Whiskey",
 ISNUMBER(SEARCH("RYE",C2524)),"Whiskey",
 ISNUMBER(SEARCH("VODKA",C2524)),"Vodka",
 ISNUMBER(SEARCH("TEQUILA",C2524)),"Tequila/Mezcal",
 ISNUMBER(SEARCH("MEZCAL",C2524)),"Tequila/Mezcal",
 ISNUMBER(SEARCH("RUM",C2524)),"Rum",
 ISNUMBER(SEARCH("BRAND",C2524)),"Brandy",
 ISNUMBER(SEARCH("COGNAC",C2524)),"Brandy",
 ISNUMBER(SEARCH("LIQUEUR",C2524)),"Liqueurs",
 ISNUMBER(SEARCH("CORDIAL",C2524)),"Liqueurs",
 ISNUMBER(SEARCH("SCHNAPP",C2524)),"Liqueurs",
 ISNUMBER(SEARCH("GIN",C2524)),"Gin",
 TRUE,"Other")</f>
        <v>Other</v>
      </c>
      <c r="E2524" s="5">
        <v>13043</v>
      </c>
      <c r="F2524" s="5">
        <v>215840.00000000186</v>
      </c>
      <c r="G2524" s="5"/>
      <c r="H2524" s="5">
        <v>2726</v>
      </c>
    </row>
    <row r="2525" spans="1:8">
      <c r="A2525" s="5">
        <v>2025</v>
      </c>
      <c r="B2525" s="6">
        <v>45778</v>
      </c>
      <c r="C2525" s="5" t="s">
        <v>38</v>
      </c>
      <c r="D2525" s="3" t="str" cm="1">
        <f t="array" ref="D2525">_xlfn.IFS(
 ISNUMBER(SEARCH("WHISK",C2525)),"Whiskey",
 ISNUMBER(SEARCH("BOURBON",C2525)),"Whiskey",
 ISNUMBER(SEARCH("SCOTCH",C2525)),"Whiskey",
 ISNUMBER(SEARCH("RYE",C2525)),"Whiskey",
 ISNUMBER(SEARCH("VODKA",C2525)),"Vodka",
 ISNUMBER(SEARCH("TEQUILA",C2525)),"Tequila/Mezcal",
 ISNUMBER(SEARCH("MEZCAL",C2525)),"Tequila/Mezcal",
 ISNUMBER(SEARCH("RUM",C2525)),"Rum",
 ISNUMBER(SEARCH("BRAND",C2525)),"Brandy",
 ISNUMBER(SEARCH("COGNAC",C2525)),"Brandy",
 ISNUMBER(SEARCH("LIQUEUR",C2525)),"Liqueurs",
 ISNUMBER(SEARCH("CORDIAL",C2525)),"Liqueurs",
 ISNUMBER(SEARCH("SCHNAPP",C2525)),"Liqueurs",
 ISNUMBER(SEARCH("GIN",C2525)),"Gin",
 TRUE,"Other")</f>
        <v>Whiskey</v>
      </c>
      <c r="E2525" s="5">
        <v>14759</v>
      </c>
      <c r="F2525" s="5">
        <v>444335.54999999795</v>
      </c>
      <c r="G2525" s="5"/>
      <c r="H2525" s="5">
        <v>2377</v>
      </c>
    </row>
    <row r="2526" spans="1:8">
      <c r="A2526" s="5">
        <v>2025</v>
      </c>
      <c r="B2526" s="6">
        <v>45778</v>
      </c>
      <c r="C2526" s="5" t="s">
        <v>39</v>
      </c>
      <c r="D2526" s="3" t="str" cm="1">
        <f t="array" ref="D2526">_xlfn.IFS(
 ISNUMBER(SEARCH("WHISK",C2526)),"Whiskey",
 ISNUMBER(SEARCH("BOURBON",C2526)),"Whiskey",
 ISNUMBER(SEARCH("SCOTCH",C2526)),"Whiskey",
 ISNUMBER(SEARCH("RYE",C2526)),"Whiskey",
 ISNUMBER(SEARCH("VODKA",C2526)),"Vodka",
 ISNUMBER(SEARCH("TEQUILA",C2526)),"Tequila/Mezcal",
 ISNUMBER(SEARCH("MEZCAL",C2526)),"Tequila/Mezcal",
 ISNUMBER(SEARCH("RUM",C2526)),"Rum",
 ISNUMBER(SEARCH("BRAND",C2526)),"Brandy",
 ISNUMBER(SEARCH("COGNAC",C2526)),"Brandy",
 ISNUMBER(SEARCH("LIQUEUR",C2526)),"Liqueurs",
 ISNUMBER(SEARCH("CORDIAL",C2526)),"Liqueurs",
 ISNUMBER(SEARCH("SCHNAPP",C2526)),"Liqueurs",
 ISNUMBER(SEARCH("GIN",C2526)),"Gin",
 TRUE,"Other")</f>
        <v>Whiskey</v>
      </c>
      <c r="E2526" s="5">
        <v>5502</v>
      </c>
      <c r="F2526" s="5">
        <v>217453.90000000005</v>
      </c>
      <c r="G2526" s="5"/>
      <c r="H2526" s="5">
        <v>1542</v>
      </c>
    </row>
    <row r="2527" spans="1:8">
      <c r="A2527" s="5">
        <v>2025</v>
      </c>
      <c r="B2527" s="6">
        <v>45778</v>
      </c>
      <c r="C2527" s="5" t="s">
        <v>40</v>
      </c>
      <c r="D2527" s="3" t="str" cm="1">
        <f t="array" ref="D2527">_xlfn.IFS(
 ISNUMBER(SEARCH("WHISK",C2527)),"Whiskey",
 ISNUMBER(SEARCH("BOURBON",C2527)),"Whiskey",
 ISNUMBER(SEARCH("SCOTCH",C2527)),"Whiskey",
 ISNUMBER(SEARCH("RYE",C2527)),"Whiskey",
 ISNUMBER(SEARCH("VODKA",C2527)),"Vodka",
 ISNUMBER(SEARCH("TEQUILA",C2527)),"Tequila/Mezcal",
 ISNUMBER(SEARCH("MEZCAL",C2527)),"Tequila/Mezcal",
 ISNUMBER(SEARCH("RUM",C2527)),"Rum",
 ISNUMBER(SEARCH("BRAND",C2527)),"Brandy",
 ISNUMBER(SEARCH("COGNAC",C2527)),"Brandy",
 ISNUMBER(SEARCH("LIQUEUR",C2527)),"Liqueurs",
 ISNUMBER(SEARCH("CORDIAL",C2527)),"Liqueurs",
 ISNUMBER(SEARCH("SCHNAPP",C2527)),"Liqueurs",
 ISNUMBER(SEARCH("GIN",C2527)),"Gin",
 TRUE,"Other")</f>
        <v>Whiskey</v>
      </c>
      <c r="E2527" s="5">
        <v>4858</v>
      </c>
      <c r="F2527" s="5">
        <v>277348.46000000037</v>
      </c>
      <c r="G2527" s="5"/>
      <c r="H2527" s="5">
        <v>1086</v>
      </c>
    </row>
    <row r="2528" spans="1:8">
      <c r="A2528" s="5">
        <v>2025</v>
      </c>
      <c r="B2528" s="6">
        <v>45778</v>
      </c>
      <c r="C2528" s="5" t="s">
        <v>42</v>
      </c>
      <c r="D2528" s="3" t="str" cm="1">
        <f t="array" ref="D2528">_xlfn.IFS(
 ISNUMBER(SEARCH("WHISK",C2528)),"Whiskey",
 ISNUMBER(SEARCH("BOURBON",C2528)),"Whiskey",
 ISNUMBER(SEARCH("SCOTCH",C2528)),"Whiskey",
 ISNUMBER(SEARCH("RYE",C2528)),"Whiskey",
 ISNUMBER(SEARCH("VODKA",C2528)),"Vodka",
 ISNUMBER(SEARCH("TEQUILA",C2528)),"Tequila/Mezcal",
 ISNUMBER(SEARCH("MEZCAL",C2528)),"Tequila/Mezcal",
 ISNUMBER(SEARCH("RUM",C2528)),"Rum",
 ISNUMBER(SEARCH("BRAND",C2528)),"Brandy",
 ISNUMBER(SEARCH("COGNAC",C2528)),"Brandy",
 ISNUMBER(SEARCH("LIQUEUR",C2528)),"Liqueurs",
 ISNUMBER(SEARCH("CORDIAL",C2528)),"Liqueurs",
 ISNUMBER(SEARCH("SCHNAPP",C2528)),"Liqueurs",
 ISNUMBER(SEARCH("GIN",C2528)),"Gin",
 TRUE,"Other")</f>
        <v>Rum</v>
      </c>
      <c r="E2528" s="5">
        <v>106951</v>
      </c>
      <c r="F2528" s="5">
        <v>1675188.5599998701</v>
      </c>
      <c r="G2528" s="5"/>
      <c r="H2528" s="5">
        <v>7510</v>
      </c>
    </row>
    <row r="2529" spans="1:8">
      <c r="A2529" s="5">
        <v>2025</v>
      </c>
      <c r="B2529" s="6">
        <v>45778</v>
      </c>
      <c r="C2529" s="5" t="s">
        <v>43</v>
      </c>
      <c r="D2529" s="3" t="str" cm="1">
        <f t="array" ref="D2529">_xlfn.IFS(
 ISNUMBER(SEARCH("WHISK",C2529)),"Whiskey",
 ISNUMBER(SEARCH("BOURBON",C2529)),"Whiskey",
 ISNUMBER(SEARCH("SCOTCH",C2529)),"Whiskey",
 ISNUMBER(SEARCH("RYE",C2529)),"Whiskey",
 ISNUMBER(SEARCH("VODKA",C2529)),"Vodka",
 ISNUMBER(SEARCH("TEQUILA",C2529)),"Tequila/Mezcal",
 ISNUMBER(SEARCH("MEZCAL",C2529)),"Tequila/Mezcal",
 ISNUMBER(SEARCH("RUM",C2529)),"Rum",
 ISNUMBER(SEARCH("BRAND",C2529)),"Brandy",
 ISNUMBER(SEARCH("COGNAC",C2529)),"Brandy",
 ISNUMBER(SEARCH("LIQUEUR",C2529)),"Liqueurs",
 ISNUMBER(SEARCH("CORDIAL",C2529)),"Liqueurs",
 ISNUMBER(SEARCH("SCHNAPP",C2529)),"Liqueurs",
 ISNUMBER(SEARCH("GIN",C2529)),"Gin",
 TRUE,"Other")</f>
        <v>Whiskey</v>
      </c>
      <c r="E2529" s="5">
        <v>142853</v>
      </c>
      <c r="F2529" s="5">
        <v>3274060.3700000187</v>
      </c>
      <c r="G2529" s="5"/>
      <c r="H2529" s="5">
        <v>16633</v>
      </c>
    </row>
    <row r="2530" spans="1:8">
      <c r="A2530" s="5">
        <v>2025</v>
      </c>
      <c r="B2530" s="6">
        <v>45778</v>
      </c>
      <c r="C2530" s="5" t="s">
        <v>44</v>
      </c>
      <c r="D2530" s="3" t="str" cm="1">
        <f t="array" ref="D2530">_xlfn.IFS(
 ISNUMBER(SEARCH("WHISK",C2530)),"Whiskey",
 ISNUMBER(SEARCH("BOURBON",C2530)),"Whiskey",
 ISNUMBER(SEARCH("SCOTCH",C2530)),"Whiskey",
 ISNUMBER(SEARCH("RYE",C2530)),"Whiskey",
 ISNUMBER(SEARCH("VODKA",C2530)),"Vodka",
 ISNUMBER(SEARCH("TEQUILA",C2530)),"Tequila/Mezcal",
 ISNUMBER(SEARCH("MEZCAL",C2530)),"Tequila/Mezcal",
 ISNUMBER(SEARCH("RUM",C2530)),"Rum",
 ISNUMBER(SEARCH("BRAND",C2530)),"Brandy",
 ISNUMBER(SEARCH("COGNAC",C2530)),"Brandy",
 ISNUMBER(SEARCH("LIQUEUR",C2530)),"Liqueurs",
 ISNUMBER(SEARCH("CORDIAL",C2530)),"Liqueurs",
 ISNUMBER(SEARCH("SCHNAPP",C2530)),"Liqueurs",
 ISNUMBER(SEARCH("GIN",C2530)),"Gin",
 TRUE,"Other")</f>
        <v>Whiskey</v>
      </c>
      <c r="E2530" s="5">
        <v>7661</v>
      </c>
      <c r="F2530" s="5">
        <v>237395.95</v>
      </c>
      <c r="G2530" s="5"/>
      <c r="H2530" s="5">
        <v>1451</v>
      </c>
    </row>
    <row r="2531" spans="1:8">
      <c r="A2531" s="5">
        <v>2025</v>
      </c>
      <c r="B2531" s="6">
        <v>45778</v>
      </c>
      <c r="C2531" s="5" t="s">
        <v>45</v>
      </c>
      <c r="D2531" s="3" t="str" cm="1">
        <f t="array" ref="D2531">_xlfn.IFS(
 ISNUMBER(SEARCH("WHISK",C2531)),"Whiskey",
 ISNUMBER(SEARCH("BOURBON",C2531)),"Whiskey",
 ISNUMBER(SEARCH("SCOTCH",C2531)),"Whiskey",
 ISNUMBER(SEARCH("RYE",C2531)),"Whiskey",
 ISNUMBER(SEARCH("VODKA",C2531)),"Vodka",
 ISNUMBER(SEARCH("TEQUILA",C2531)),"Tequila/Mezcal",
 ISNUMBER(SEARCH("MEZCAL",C2531)),"Tequila/Mezcal",
 ISNUMBER(SEARCH("RUM",C2531)),"Rum",
 ISNUMBER(SEARCH("BRAND",C2531)),"Brandy",
 ISNUMBER(SEARCH("COGNAC",C2531)),"Brandy",
 ISNUMBER(SEARCH("LIQUEUR",C2531)),"Liqueurs",
 ISNUMBER(SEARCH("CORDIAL",C2531)),"Liqueurs",
 ISNUMBER(SEARCH("SCHNAPP",C2531)),"Liqueurs",
 ISNUMBER(SEARCH("GIN",C2531)),"Gin",
 TRUE,"Other")</f>
        <v>Other</v>
      </c>
      <c r="E2531" s="5">
        <v>25114</v>
      </c>
      <c r="F2531" s="5">
        <v>796928.21999999776</v>
      </c>
      <c r="G2531" s="5"/>
      <c r="H2531" s="5">
        <v>3843</v>
      </c>
    </row>
    <row r="2532" spans="1:8">
      <c r="A2532" s="5">
        <v>2025</v>
      </c>
      <c r="B2532" s="6">
        <v>45778</v>
      </c>
      <c r="C2532" s="5" t="s">
        <v>46</v>
      </c>
      <c r="D2532" s="3" t="str" cm="1">
        <f t="array" ref="D2532">_xlfn.IFS(
 ISNUMBER(SEARCH("WHISK",C2532)),"Whiskey",
 ISNUMBER(SEARCH("BOURBON",C2532)),"Whiskey",
 ISNUMBER(SEARCH("SCOTCH",C2532)),"Whiskey",
 ISNUMBER(SEARCH("RYE",C2532)),"Whiskey",
 ISNUMBER(SEARCH("VODKA",C2532)),"Vodka",
 ISNUMBER(SEARCH("TEQUILA",C2532)),"Tequila/Mezcal",
 ISNUMBER(SEARCH("MEZCAL",C2532)),"Tequila/Mezcal",
 ISNUMBER(SEARCH("RUM",C2532)),"Rum",
 ISNUMBER(SEARCH("BRAND",C2532)),"Brandy",
 ISNUMBER(SEARCH("COGNAC",C2532)),"Brandy",
 ISNUMBER(SEARCH("LIQUEUR",C2532)),"Liqueurs",
 ISNUMBER(SEARCH("CORDIAL",C2532)),"Liqueurs",
 ISNUMBER(SEARCH("SCHNAPP",C2532)),"Liqueurs",
 ISNUMBER(SEARCH("GIN",C2532)),"Gin",
 TRUE,"Other")</f>
        <v>Whiskey</v>
      </c>
      <c r="E2532" s="5">
        <v>59539</v>
      </c>
      <c r="F2532" s="5">
        <v>1351476.1099999945</v>
      </c>
      <c r="G2532" s="5"/>
      <c r="H2532" s="5">
        <v>6146</v>
      </c>
    </row>
    <row r="2533" spans="1:8">
      <c r="A2533" s="5">
        <v>2025</v>
      </c>
      <c r="B2533" s="6">
        <v>45778</v>
      </c>
      <c r="C2533" s="5" t="s">
        <v>47</v>
      </c>
      <c r="D2533" s="3" t="str" cm="1">
        <f t="array" ref="D2533">_xlfn.IFS(
 ISNUMBER(SEARCH("WHISK",C2533)),"Whiskey",
 ISNUMBER(SEARCH("BOURBON",C2533)),"Whiskey",
 ISNUMBER(SEARCH("SCOTCH",C2533)),"Whiskey",
 ISNUMBER(SEARCH("RYE",C2533)),"Whiskey",
 ISNUMBER(SEARCH("VODKA",C2533)),"Vodka",
 ISNUMBER(SEARCH("TEQUILA",C2533)),"Tequila/Mezcal",
 ISNUMBER(SEARCH("MEZCAL",C2533)),"Tequila/Mezcal",
 ISNUMBER(SEARCH("RUM",C2533)),"Rum",
 ISNUMBER(SEARCH("BRAND",C2533)),"Brandy",
 ISNUMBER(SEARCH("COGNAC",C2533)),"Brandy",
 ISNUMBER(SEARCH("LIQUEUR",C2533)),"Liqueurs",
 ISNUMBER(SEARCH("CORDIAL",C2533)),"Liqueurs",
 ISNUMBER(SEARCH("SCHNAPP",C2533)),"Liqueurs",
 ISNUMBER(SEARCH("GIN",C2533)),"Gin",
 TRUE,"Other")</f>
        <v>Other</v>
      </c>
      <c r="E2533" s="5">
        <v>19641</v>
      </c>
      <c r="F2533" s="5">
        <v>80977.459999999861</v>
      </c>
      <c r="G2533" s="5"/>
      <c r="H2533" s="5">
        <v>800</v>
      </c>
    </row>
    <row r="2534" spans="1:8">
      <c r="A2534" s="5">
        <v>2025</v>
      </c>
      <c r="B2534" s="6">
        <v>45778</v>
      </c>
      <c r="C2534" s="5" t="s">
        <v>48</v>
      </c>
      <c r="D2534" s="3" t="str" cm="1">
        <f t="array" ref="D2534">_xlfn.IFS(
 ISNUMBER(SEARCH("WHISK",C2534)),"Whiskey",
 ISNUMBER(SEARCH("BOURBON",C2534)),"Whiskey",
 ISNUMBER(SEARCH("SCOTCH",C2534)),"Whiskey",
 ISNUMBER(SEARCH("RYE",C2534)),"Whiskey",
 ISNUMBER(SEARCH("VODKA",C2534)),"Vodka",
 ISNUMBER(SEARCH("TEQUILA",C2534)),"Tequila/Mezcal",
 ISNUMBER(SEARCH("MEZCAL",C2534)),"Tequila/Mezcal",
 ISNUMBER(SEARCH("RUM",C2534)),"Rum",
 ISNUMBER(SEARCH("BRAND",C2534)),"Brandy",
 ISNUMBER(SEARCH("COGNAC",C2534)),"Brandy",
 ISNUMBER(SEARCH("LIQUEUR",C2534)),"Liqueurs",
 ISNUMBER(SEARCH("CORDIAL",C2534)),"Liqueurs",
 ISNUMBER(SEARCH("SCHNAPP",C2534)),"Liqueurs",
 ISNUMBER(SEARCH("GIN",C2534)),"Gin",
 TRUE,"Other")</f>
        <v>Whiskey</v>
      </c>
      <c r="E2534" s="5">
        <v>401545</v>
      </c>
      <c r="F2534" s="5">
        <v>2241605.1999999755</v>
      </c>
      <c r="G2534" s="5"/>
      <c r="H2534" s="5">
        <v>14812</v>
      </c>
    </row>
    <row r="2535" spans="1:8">
      <c r="A2535" s="5">
        <v>2025</v>
      </c>
      <c r="B2535" s="6">
        <v>45778</v>
      </c>
      <c r="C2535" s="5" t="s">
        <v>49</v>
      </c>
      <c r="D2535" s="3" t="str" cm="1">
        <f t="array" ref="D2535">_xlfn.IFS(
 ISNUMBER(SEARCH("WHISK",C2535)),"Whiskey",
 ISNUMBER(SEARCH("BOURBON",C2535)),"Whiskey",
 ISNUMBER(SEARCH("SCOTCH",C2535)),"Whiskey",
 ISNUMBER(SEARCH("RYE",C2535)),"Whiskey",
 ISNUMBER(SEARCH("VODKA",C2535)),"Vodka",
 ISNUMBER(SEARCH("TEQUILA",C2535)),"Tequila/Mezcal",
 ISNUMBER(SEARCH("MEZCAL",C2535)),"Tequila/Mezcal",
 ISNUMBER(SEARCH("RUM",C2535)),"Rum",
 ISNUMBER(SEARCH("BRAND",C2535)),"Brandy",
 ISNUMBER(SEARCH("COGNAC",C2535)),"Brandy",
 ISNUMBER(SEARCH("LIQUEUR",C2535)),"Liqueurs",
 ISNUMBER(SEARCH("CORDIAL",C2535)),"Liqueurs",
 ISNUMBER(SEARCH("SCHNAPP",C2535)),"Liqueurs",
 ISNUMBER(SEARCH("GIN",C2535)),"Gin",
 TRUE,"Other")</f>
        <v>Rum</v>
      </c>
      <c r="E2535" s="5">
        <v>39641</v>
      </c>
      <c r="F2535" s="5">
        <v>481058.88999999827</v>
      </c>
      <c r="G2535" s="5"/>
      <c r="H2535" s="5">
        <v>3472</v>
      </c>
    </row>
    <row r="2536" spans="1:8">
      <c r="A2536" s="5">
        <v>2025</v>
      </c>
      <c r="B2536" s="6">
        <v>45778</v>
      </c>
      <c r="C2536" s="5" t="s">
        <v>41</v>
      </c>
      <c r="D2536" s="3" t="str" cm="1">
        <f t="array" ref="D2536">_xlfn.IFS(
 ISNUMBER(SEARCH("WHISK",C2536)),"Whiskey",
 ISNUMBER(SEARCH("BOURBON",C2536)),"Whiskey",
 ISNUMBER(SEARCH("SCOTCH",C2536)),"Whiskey",
 ISNUMBER(SEARCH("RYE",C2536)),"Whiskey",
 ISNUMBER(SEARCH("VODKA",C2536)),"Vodka",
 ISNUMBER(SEARCH("TEQUILA",C2536)),"Tequila/Mezcal",
 ISNUMBER(SEARCH("MEZCAL",C2536)),"Tequila/Mezcal",
 ISNUMBER(SEARCH("RUM",C2536)),"Rum",
 ISNUMBER(SEARCH("BRAND",C2536)),"Brandy",
 ISNUMBER(SEARCH("COGNAC",C2536)),"Brandy",
 ISNUMBER(SEARCH("LIQUEUR",C2536)),"Liqueurs",
 ISNUMBER(SEARCH("CORDIAL",C2536)),"Liqueurs",
 ISNUMBER(SEARCH("SCHNAPP",C2536)),"Liqueurs",
 ISNUMBER(SEARCH("GIN",C2536)),"Gin",
 TRUE,"Other")</f>
        <v>Other</v>
      </c>
      <c r="E2536" s="5">
        <v>361</v>
      </c>
      <c r="F2536" s="5">
        <v>6516.9800000000005</v>
      </c>
      <c r="G2536" s="5"/>
      <c r="H2536" s="5">
        <v>65</v>
      </c>
    </row>
    <row r="2537" spans="1:8">
      <c r="A2537" s="5">
        <v>2025</v>
      </c>
      <c r="B2537" s="6">
        <v>45778</v>
      </c>
      <c r="C2537" s="5" t="s">
        <v>21</v>
      </c>
      <c r="D2537" s="3" t="str" cm="1">
        <f t="array" ref="D2537">_xlfn.IFS(
 ISNUMBER(SEARCH("WHISK",C2537)),"Whiskey",
 ISNUMBER(SEARCH("BOURBON",C2537)),"Whiskey",
 ISNUMBER(SEARCH("SCOTCH",C2537)),"Whiskey",
 ISNUMBER(SEARCH("RYE",C2537)),"Whiskey",
 ISNUMBER(SEARCH("VODKA",C2537)),"Vodka",
 ISNUMBER(SEARCH("TEQUILA",C2537)),"Tequila/Mezcal",
 ISNUMBER(SEARCH("MEZCAL",C2537)),"Tequila/Mezcal",
 ISNUMBER(SEARCH("RUM",C2537)),"Rum",
 ISNUMBER(SEARCH("BRAND",C2537)),"Brandy",
 ISNUMBER(SEARCH("COGNAC",C2537)),"Brandy",
 ISNUMBER(SEARCH("LIQUEUR",C2537)),"Liqueurs",
 ISNUMBER(SEARCH("CORDIAL",C2537)),"Liqueurs",
 ISNUMBER(SEARCH("SCHNAPP",C2537)),"Liqueurs",
 ISNUMBER(SEARCH("GIN",C2537)),"Gin",
 TRUE,"Other")</f>
        <v>Whiskey</v>
      </c>
      <c r="E2537" s="5">
        <v>330</v>
      </c>
      <c r="F2537" s="5">
        <v>8665.7999999999993</v>
      </c>
      <c r="G2537" s="5"/>
      <c r="H2537" s="5">
        <v>52</v>
      </c>
    </row>
    <row r="2538" spans="1:8">
      <c r="A2538" s="5">
        <v>2025</v>
      </c>
      <c r="B2538" s="6">
        <v>45778</v>
      </c>
      <c r="C2538" s="5" t="s">
        <v>36</v>
      </c>
      <c r="D2538" s="3" t="str" cm="1">
        <f t="array" ref="D2538">_xlfn.IFS(
 ISNUMBER(SEARCH("WHISK",C2538)),"Whiskey",
 ISNUMBER(SEARCH("BOURBON",C2538)),"Whiskey",
 ISNUMBER(SEARCH("SCOTCH",C2538)),"Whiskey",
 ISNUMBER(SEARCH("RYE",C2538)),"Whiskey",
 ISNUMBER(SEARCH("VODKA",C2538)),"Vodka",
 ISNUMBER(SEARCH("TEQUILA",C2538)),"Tequila/Mezcal",
 ISNUMBER(SEARCH("MEZCAL",C2538)),"Tequila/Mezcal",
 ISNUMBER(SEARCH("RUM",C2538)),"Rum",
 ISNUMBER(SEARCH("BRAND",C2538)),"Brandy",
 ISNUMBER(SEARCH("COGNAC",C2538)),"Brandy",
 ISNUMBER(SEARCH("LIQUEUR",C2538)),"Liqueurs",
 ISNUMBER(SEARCH("CORDIAL",C2538)),"Liqueurs",
 ISNUMBER(SEARCH("SCHNAPP",C2538)),"Liqueurs",
 ISNUMBER(SEARCH("GIN",C2538)),"Gin",
 TRUE,"Other")</f>
        <v>Other</v>
      </c>
      <c r="E2538" s="5">
        <v>2189</v>
      </c>
      <c r="F2538" s="5">
        <v>30890.829999999998</v>
      </c>
      <c r="G2538" s="5"/>
      <c r="H2538" s="5">
        <v>308</v>
      </c>
    </row>
    <row r="2539" spans="1:8">
      <c r="A2539" s="5">
        <v>2025</v>
      </c>
      <c r="B2539" s="6">
        <v>45778</v>
      </c>
      <c r="C2539" s="5" t="s">
        <v>14</v>
      </c>
      <c r="D2539" s="3" t="str" cm="1">
        <f t="array" ref="D2539">_xlfn.IFS(
 ISNUMBER(SEARCH("WHISK",C2539)),"Whiskey",
 ISNUMBER(SEARCH("BOURBON",C2539)),"Whiskey",
 ISNUMBER(SEARCH("SCOTCH",C2539)),"Whiskey",
 ISNUMBER(SEARCH("RYE",C2539)),"Whiskey",
 ISNUMBER(SEARCH("VODKA",C2539)),"Vodka",
 ISNUMBER(SEARCH("TEQUILA",C2539)),"Tequila/Mezcal",
 ISNUMBER(SEARCH("MEZCAL",C2539)),"Tequila/Mezcal",
 ISNUMBER(SEARCH("RUM",C2539)),"Rum",
 ISNUMBER(SEARCH("BRAND",C2539)),"Brandy",
 ISNUMBER(SEARCH("COGNAC",C2539)),"Brandy",
 ISNUMBER(SEARCH("LIQUEUR",C2539)),"Liqueurs",
 ISNUMBER(SEARCH("CORDIAL",C2539)),"Liqueurs",
 ISNUMBER(SEARCH("SCHNAPP",C2539)),"Liqueurs",
 ISNUMBER(SEARCH("GIN",C2539)),"Gin",
 TRUE,"Other")</f>
        <v>Gin</v>
      </c>
      <c r="E2539" s="5">
        <v>243</v>
      </c>
      <c r="F2539" s="5">
        <v>2075.2199999999993</v>
      </c>
      <c r="G2539" s="5"/>
      <c r="H2539" s="5">
        <v>44</v>
      </c>
    </row>
    <row r="2540" spans="1:8">
      <c r="A2540" s="5">
        <v>2025</v>
      </c>
      <c r="B2540" s="6">
        <v>45809</v>
      </c>
      <c r="C2540" s="5" t="s">
        <v>50</v>
      </c>
      <c r="D2540" s="3" t="str" cm="1">
        <f t="array" ref="D2540">_xlfn.IFS(
 ISNUMBER(SEARCH("WHISK",C2540)),"Whiskey",
 ISNUMBER(SEARCH("BOURBON",C2540)),"Whiskey",
 ISNUMBER(SEARCH("SCOTCH",C2540)),"Whiskey",
 ISNUMBER(SEARCH("RYE",C2540)),"Whiskey",
 ISNUMBER(SEARCH("VODKA",C2540)),"Vodka",
 ISNUMBER(SEARCH("TEQUILA",C2540)),"Tequila/Mezcal",
 ISNUMBER(SEARCH("MEZCAL",C2540)),"Tequila/Mezcal",
 ISNUMBER(SEARCH("RUM",C2540)),"Rum",
 ISNUMBER(SEARCH("BRAND",C2540)),"Brandy",
 ISNUMBER(SEARCH("COGNAC",C2540)),"Brandy",
 ISNUMBER(SEARCH("LIQUEUR",C2540)),"Liqueurs",
 ISNUMBER(SEARCH("CORDIAL",C2540)),"Liqueurs",
 ISNUMBER(SEARCH("SCHNAPP",C2540)),"Liqueurs",
 ISNUMBER(SEARCH("GIN",C2540)),"Gin",
 TRUE,"Other")</f>
        <v>Tequila/Mezcal</v>
      </c>
      <c r="E2540" s="5">
        <v>114749</v>
      </c>
      <c r="F2540" s="5">
        <v>3215038.1999999424</v>
      </c>
      <c r="G2540" s="5"/>
      <c r="H2540" s="5">
        <v>13272</v>
      </c>
    </row>
    <row r="2541" spans="1:8">
      <c r="A2541" s="5">
        <v>2025</v>
      </c>
      <c r="B2541" s="6">
        <v>45809</v>
      </c>
      <c r="C2541" s="5" t="s">
        <v>11</v>
      </c>
      <c r="D2541" s="3" t="str" cm="1">
        <f t="array" ref="D2541">_xlfn.IFS(
 ISNUMBER(SEARCH("WHISK",C2541)),"Whiskey",
 ISNUMBER(SEARCH("BOURBON",C2541)),"Whiskey",
 ISNUMBER(SEARCH("SCOTCH",C2541)),"Whiskey",
 ISNUMBER(SEARCH("RYE",C2541)),"Whiskey",
 ISNUMBER(SEARCH("VODKA",C2541)),"Vodka",
 ISNUMBER(SEARCH("TEQUILA",C2541)),"Tequila/Mezcal",
 ISNUMBER(SEARCH("MEZCAL",C2541)),"Tequila/Mezcal",
 ISNUMBER(SEARCH("RUM",C2541)),"Rum",
 ISNUMBER(SEARCH("BRAND",C2541)),"Brandy",
 ISNUMBER(SEARCH("COGNAC",C2541)),"Brandy",
 ISNUMBER(SEARCH("LIQUEUR",C2541)),"Liqueurs",
 ISNUMBER(SEARCH("CORDIAL",C2541)),"Liqueurs",
 ISNUMBER(SEARCH("SCHNAPP",C2541)),"Liqueurs",
 ISNUMBER(SEARCH("GIN",C2541)),"Gin",
 TRUE,"Other")</f>
        <v>Gin</v>
      </c>
      <c r="E2541" s="5">
        <v>27106</v>
      </c>
      <c r="F2541" s="5">
        <v>256027.07000000149</v>
      </c>
      <c r="G2541" s="5"/>
      <c r="H2541" s="5">
        <v>2694</v>
      </c>
    </row>
    <row r="2542" spans="1:8">
      <c r="A2542" s="5">
        <v>2025</v>
      </c>
      <c r="B2542" s="6">
        <v>45809</v>
      </c>
      <c r="C2542" s="5" t="s">
        <v>13</v>
      </c>
      <c r="D2542" s="3" t="str" cm="1">
        <f t="array" ref="D2542">_xlfn.IFS(
 ISNUMBER(SEARCH("WHISK",C2542)),"Whiskey",
 ISNUMBER(SEARCH("BOURBON",C2542)),"Whiskey",
 ISNUMBER(SEARCH("SCOTCH",C2542)),"Whiskey",
 ISNUMBER(SEARCH("RYE",C2542)),"Whiskey",
 ISNUMBER(SEARCH("VODKA",C2542)),"Vodka",
 ISNUMBER(SEARCH("TEQUILA",C2542)),"Tequila/Mezcal",
 ISNUMBER(SEARCH("MEZCAL",C2542)),"Tequila/Mezcal",
 ISNUMBER(SEARCH("RUM",C2542)),"Rum",
 ISNUMBER(SEARCH("BRAND",C2542)),"Brandy",
 ISNUMBER(SEARCH("COGNAC",C2542)),"Brandy",
 ISNUMBER(SEARCH("LIQUEUR",C2542)),"Liqueurs",
 ISNUMBER(SEARCH("CORDIAL",C2542)),"Liqueurs",
 ISNUMBER(SEARCH("SCHNAPP",C2542)),"Liqueurs",
 ISNUMBER(SEARCH("GIN",C2542)),"Gin",
 TRUE,"Other")</f>
        <v>Liqueurs</v>
      </c>
      <c r="E2542" s="5">
        <v>101529</v>
      </c>
      <c r="F2542" s="5">
        <v>707045.6999999634</v>
      </c>
      <c r="G2542" s="5"/>
      <c r="H2542" s="5">
        <v>8105</v>
      </c>
    </row>
    <row r="2543" spans="1:8">
      <c r="A2543" s="5">
        <v>2025</v>
      </c>
      <c r="B2543" s="6">
        <v>45809</v>
      </c>
      <c r="C2543" s="5" t="s">
        <v>15</v>
      </c>
      <c r="D2543" s="3" t="str" cm="1">
        <f t="array" ref="D2543">_xlfn.IFS(
 ISNUMBER(SEARCH("WHISK",C2543)),"Whiskey",
 ISNUMBER(SEARCH("BOURBON",C2543)),"Whiskey",
 ISNUMBER(SEARCH("SCOTCH",C2543)),"Whiskey",
 ISNUMBER(SEARCH("RYE",C2543)),"Whiskey",
 ISNUMBER(SEARCH("VODKA",C2543)),"Vodka",
 ISNUMBER(SEARCH("TEQUILA",C2543)),"Tequila/Mezcal",
 ISNUMBER(SEARCH("MEZCAL",C2543)),"Tequila/Mezcal",
 ISNUMBER(SEARCH("RUM",C2543)),"Rum",
 ISNUMBER(SEARCH("BRAND",C2543)),"Brandy",
 ISNUMBER(SEARCH("COGNAC",C2543)),"Brandy",
 ISNUMBER(SEARCH("LIQUEUR",C2543)),"Liqueurs",
 ISNUMBER(SEARCH("CORDIAL",C2543)),"Liqueurs",
 ISNUMBER(SEARCH("SCHNAPP",C2543)),"Liqueurs",
 ISNUMBER(SEARCH("GIN",C2543)),"Gin",
 TRUE,"Other")</f>
        <v>Vodka</v>
      </c>
      <c r="E2543" s="5">
        <v>584749</v>
      </c>
      <c r="F2543" s="5">
        <v>5769486.2100000996</v>
      </c>
      <c r="G2543" s="5"/>
      <c r="H2543" s="5">
        <v>35310</v>
      </c>
    </row>
    <row r="2544" spans="1:8">
      <c r="A2544" s="5">
        <v>2025</v>
      </c>
      <c r="B2544" s="6">
        <v>45809</v>
      </c>
      <c r="C2544" s="5" t="s">
        <v>18</v>
      </c>
      <c r="D2544" s="3" t="str" cm="1">
        <f t="array" ref="D2544">_xlfn.IFS(
 ISNUMBER(SEARCH("WHISK",C2544)),"Whiskey",
 ISNUMBER(SEARCH("BOURBON",C2544)),"Whiskey",
 ISNUMBER(SEARCH("SCOTCH",C2544)),"Whiskey",
 ISNUMBER(SEARCH("RYE",C2544)),"Whiskey",
 ISNUMBER(SEARCH("VODKA",C2544)),"Vodka",
 ISNUMBER(SEARCH("TEQUILA",C2544)),"Tequila/Mezcal",
 ISNUMBER(SEARCH("MEZCAL",C2544)),"Tequila/Mezcal",
 ISNUMBER(SEARCH("RUM",C2544)),"Rum",
 ISNUMBER(SEARCH("BRAND",C2544)),"Brandy",
 ISNUMBER(SEARCH("COGNAC",C2544)),"Brandy",
 ISNUMBER(SEARCH("LIQUEUR",C2544)),"Liqueurs",
 ISNUMBER(SEARCH("CORDIAL",C2544)),"Liqueurs",
 ISNUMBER(SEARCH("SCHNAPP",C2544)),"Liqueurs",
 ISNUMBER(SEARCH("GIN",C2544)),"Gin",
 TRUE,"Other")</f>
        <v>Whiskey</v>
      </c>
      <c r="E2544" s="5">
        <v>211524</v>
      </c>
      <c r="F2544" s="5">
        <v>3327292.2299997872</v>
      </c>
      <c r="G2544" s="5"/>
      <c r="H2544" s="5">
        <v>19471</v>
      </c>
    </row>
    <row r="2545" spans="1:8">
      <c r="A2545" s="5">
        <v>2025</v>
      </c>
      <c r="B2545" s="6">
        <v>45809</v>
      </c>
      <c r="C2545" s="5" t="s">
        <v>22</v>
      </c>
      <c r="D2545" s="3" t="str" cm="1">
        <f t="array" ref="D2545">_xlfn.IFS(
 ISNUMBER(SEARCH("WHISK",C2545)),"Whiskey",
 ISNUMBER(SEARCH("BOURBON",C2545)),"Whiskey",
 ISNUMBER(SEARCH("SCOTCH",C2545)),"Whiskey",
 ISNUMBER(SEARCH("RYE",C2545)),"Whiskey",
 ISNUMBER(SEARCH("VODKA",C2545)),"Vodka",
 ISNUMBER(SEARCH("TEQUILA",C2545)),"Tequila/Mezcal",
 ISNUMBER(SEARCH("MEZCAL",C2545)),"Tequila/Mezcal",
 ISNUMBER(SEARCH("RUM",C2545)),"Rum",
 ISNUMBER(SEARCH("BRAND",C2545)),"Brandy",
 ISNUMBER(SEARCH("COGNAC",C2545)),"Brandy",
 ISNUMBER(SEARCH("LIQUEUR",C2545)),"Liqueurs",
 ISNUMBER(SEARCH("CORDIAL",C2545)),"Liqueurs",
 ISNUMBER(SEARCH("SCHNAPP",C2545)),"Liqueurs",
 ISNUMBER(SEARCH("GIN",C2545)),"Gin",
 TRUE,"Other")</f>
        <v>Liqueurs</v>
      </c>
      <c r="E2545" s="5">
        <v>18868</v>
      </c>
      <c r="F2545" s="5">
        <v>373662.16999999736</v>
      </c>
      <c r="G2545" s="5"/>
      <c r="H2545" s="5">
        <v>2915</v>
      </c>
    </row>
    <row r="2546" spans="1:8">
      <c r="A2546" s="5">
        <v>2025</v>
      </c>
      <c r="B2546" s="6">
        <v>45809</v>
      </c>
      <c r="C2546" s="5" t="s">
        <v>60</v>
      </c>
      <c r="D2546" s="3" t="str" cm="1">
        <f t="array" ref="D2546">_xlfn.IFS(
 ISNUMBER(SEARCH("WHISK",C2546)),"Whiskey",
 ISNUMBER(SEARCH("BOURBON",C2546)),"Whiskey",
 ISNUMBER(SEARCH("SCOTCH",C2546)),"Whiskey",
 ISNUMBER(SEARCH("RYE",C2546)),"Whiskey",
 ISNUMBER(SEARCH("VODKA",C2546)),"Vodka",
 ISNUMBER(SEARCH("TEQUILA",C2546)),"Tequila/Mezcal",
 ISNUMBER(SEARCH("MEZCAL",C2546)),"Tequila/Mezcal",
 ISNUMBER(SEARCH("RUM",C2546)),"Rum",
 ISNUMBER(SEARCH("BRAND",C2546)),"Brandy",
 ISNUMBER(SEARCH("COGNAC",C2546)),"Brandy",
 ISNUMBER(SEARCH("LIQUEUR",C2546)),"Liqueurs",
 ISNUMBER(SEARCH("CORDIAL",C2546)),"Liqueurs",
 ISNUMBER(SEARCH("SCHNAPP",C2546)),"Liqueurs",
 ISNUMBER(SEARCH("GIN",C2546)),"Gin",
 TRUE,"Other")</f>
        <v>Liqueurs</v>
      </c>
      <c r="E2546" s="5">
        <v>44091</v>
      </c>
      <c r="F2546" s="5">
        <v>1035680.4800000007</v>
      </c>
      <c r="G2546" s="5"/>
      <c r="H2546" s="5">
        <v>5091</v>
      </c>
    </row>
    <row r="2547" spans="1:8">
      <c r="A2547" s="5">
        <v>2025</v>
      </c>
      <c r="B2547" s="6">
        <v>45809</v>
      </c>
      <c r="C2547" s="5" t="s">
        <v>32</v>
      </c>
      <c r="D2547" s="3" t="str" cm="1">
        <f t="array" ref="D2547">_xlfn.IFS(
 ISNUMBER(SEARCH("WHISK",C2547)),"Whiskey",
 ISNUMBER(SEARCH("BOURBON",C2547)),"Whiskey",
 ISNUMBER(SEARCH("SCOTCH",C2547)),"Whiskey",
 ISNUMBER(SEARCH("RYE",C2547)),"Whiskey",
 ISNUMBER(SEARCH("VODKA",C2547)),"Vodka",
 ISNUMBER(SEARCH("TEQUILA",C2547)),"Tequila/Mezcal",
 ISNUMBER(SEARCH("MEZCAL",C2547)),"Tequila/Mezcal",
 ISNUMBER(SEARCH("RUM",C2547)),"Rum",
 ISNUMBER(SEARCH("BRAND",C2547)),"Brandy",
 ISNUMBER(SEARCH("COGNAC",C2547)),"Brandy",
 ISNUMBER(SEARCH("LIQUEUR",C2547)),"Liqueurs",
 ISNUMBER(SEARCH("CORDIAL",C2547)),"Liqueurs",
 ISNUMBER(SEARCH("SCHNAPP",C2547)),"Liqueurs",
 ISNUMBER(SEARCH("GIN",C2547)),"Gin",
 TRUE,"Other")</f>
        <v>Vodka</v>
      </c>
      <c r="E2547" s="5">
        <v>64233</v>
      </c>
      <c r="F2547" s="5">
        <v>1075559.9499999702</v>
      </c>
      <c r="G2547" s="5"/>
      <c r="H2547" s="5">
        <v>4903</v>
      </c>
    </row>
    <row r="2548" spans="1:8">
      <c r="A2548" s="5">
        <v>2025</v>
      </c>
      <c r="B2548" s="6">
        <v>45809</v>
      </c>
      <c r="C2548" s="5" t="s">
        <v>42</v>
      </c>
      <c r="D2548" s="3" t="str" cm="1">
        <f t="array" ref="D2548">_xlfn.IFS(
 ISNUMBER(SEARCH("WHISK",C2548)),"Whiskey",
 ISNUMBER(SEARCH("BOURBON",C2548)),"Whiskey",
 ISNUMBER(SEARCH("SCOTCH",C2548)),"Whiskey",
 ISNUMBER(SEARCH("RYE",C2548)),"Whiskey",
 ISNUMBER(SEARCH("VODKA",C2548)),"Vodka",
 ISNUMBER(SEARCH("TEQUILA",C2548)),"Tequila/Mezcal",
 ISNUMBER(SEARCH("MEZCAL",C2548)),"Tequila/Mezcal",
 ISNUMBER(SEARCH("RUM",C2548)),"Rum",
 ISNUMBER(SEARCH("BRAND",C2548)),"Brandy",
 ISNUMBER(SEARCH("COGNAC",C2548)),"Brandy",
 ISNUMBER(SEARCH("LIQUEUR",C2548)),"Liqueurs",
 ISNUMBER(SEARCH("CORDIAL",C2548)),"Liqueurs",
 ISNUMBER(SEARCH("SCHNAPP",C2548)),"Liqueurs",
 ISNUMBER(SEARCH("GIN",C2548)),"Gin",
 TRUE,"Other")</f>
        <v>Rum</v>
      </c>
      <c r="E2548" s="5">
        <v>107918</v>
      </c>
      <c r="F2548" s="5">
        <v>1641852.5599999169</v>
      </c>
      <c r="G2548" s="5"/>
      <c r="H2548" s="5">
        <v>7663</v>
      </c>
    </row>
    <row r="2549" spans="1:8">
      <c r="A2549" s="5">
        <v>2025</v>
      </c>
      <c r="B2549" s="6">
        <v>45809</v>
      </c>
      <c r="C2549" s="5" t="s">
        <v>46</v>
      </c>
      <c r="D2549" s="3" t="str" cm="1">
        <f t="array" ref="D2549">_xlfn.IFS(
 ISNUMBER(SEARCH("WHISK",C2549)),"Whiskey",
 ISNUMBER(SEARCH("BOURBON",C2549)),"Whiskey",
 ISNUMBER(SEARCH("SCOTCH",C2549)),"Whiskey",
 ISNUMBER(SEARCH("RYE",C2549)),"Whiskey",
 ISNUMBER(SEARCH("VODKA",C2549)),"Vodka",
 ISNUMBER(SEARCH("TEQUILA",C2549)),"Tequila/Mezcal",
 ISNUMBER(SEARCH("MEZCAL",C2549)),"Tequila/Mezcal",
 ISNUMBER(SEARCH("RUM",C2549)),"Rum",
 ISNUMBER(SEARCH("BRAND",C2549)),"Brandy",
 ISNUMBER(SEARCH("COGNAC",C2549)),"Brandy",
 ISNUMBER(SEARCH("LIQUEUR",C2549)),"Liqueurs",
 ISNUMBER(SEARCH("CORDIAL",C2549)),"Liqueurs",
 ISNUMBER(SEARCH("SCHNAPP",C2549)),"Liqueurs",
 ISNUMBER(SEARCH("GIN",C2549)),"Gin",
 TRUE,"Other")</f>
        <v>Whiskey</v>
      </c>
      <c r="E2549" s="5">
        <v>54229</v>
      </c>
      <c r="F2549" s="5">
        <v>1155492.7199999944</v>
      </c>
      <c r="G2549" s="5"/>
      <c r="H2549" s="5">
        <v>6223</v>
      </c>
    </row>
    <row r="2550" spans="1:8">
      <c r="A2550" s="5">
        <v>2025</v>
      </c>
      <c r="B2550" s="6">
        <v>45809</v>
      </c>
      <c r="C2550" s="5" t="s">
        <v>44</v>
      </c>
      <c r="D2550" s="3" t="str" cm="1">
        <f t="array" ref="D2550">_xlfn.IFS(
 ISNUMBER(SEARCH("WHISK",C2550)),"Whiskey",
 ISNUMBER(SEARCH("BOURBON",C2550)),"Whiskey",
 ISNUMBER(SEARCH("SCOTCH",C2550)),"Whiskey",
 ISNUMBER(SEARCH("RYE",C2550)),"Whiskey",
 ISNUMBER(SEARCH("VODKA",C2550)),"Vodka",
 ISNUMBER(SEARCH("TEQUILA",C2550)),"Tequila/Mezcal",
 ISNUMBER(SEARCH("MEZCAL",C2550)),"Tequila/Mezcal",
 ISNUMBER(SEARCH("RUM",C2550)),"Rum",
 ISNUMBER(SEARCH("BRAND",C2550)),"Brandy",
 ISNUMBER(SEARCH("COGNAC",C2550)),"Brandy",
 ISNUMBER(SEARCH("LIQUEUR",C2550)),"Liqueurs",
 ISNUMBER(SEARCH("CORDIAL",C2550)),"Liqueurs",
 ISNUMBER(SEARCH("SCHNAPP",C2550)),"Liqueurs",
 ISNUMBER(SEARCH("GIN",C2550)),"Gin",
 TRUE,"Other")</f>
        <v>Whiskey</v>
      </c>
      <c r="E2550" s="5">
        <v>9236</v>
      </c>
      <c r="F2550" s="5">
        <v>308565.93000000069</v>
      </c>
      <c r="G2550" s="5"/>
      <c r="H2550" s="5">
        <v>1772</v>
      </c>
    </row>
    <row r="2551" spans="1:8">
      <c r="A2551" s="5">
        <v>2025</v>
      </c>
      <c r="B2551" s="6">
        <v>45809</v>
      </c>
      <c r="C2551" s="5" t="s">
        <v>8</v>
      </c>
      <c r="D2551" s="3" t="str" cm="1">
        <f t="array" ref="D2551">_xlfn.IFS(
 ISNUMBER(SEARCH("WHISK",C2551)),"Whiskey",
 ISNUMBER(SEARCH("BOURBON",C2551)),"Whiskey",
 ISNUMBER(SEARCH("SCOTCH",C2551)),"Whiskey",
 ISNUMBER(SEARCH("RYE",C2551)),"Whiskey",
 ISNUMBER(SEARCH("VODKA",C2551)),"Vodka",
 ISNUMBER(SEARCH("TEQUILA",C2551)),"Tequila/Mezcal",
 ISNUMBER(SEARCH("MEZCAL",C2551)),"Tequila/Mezcal",
 ISNUMBER(SEARCH("RUM",C2551)),"Rum",
 ISNUMBER(SEARCH("BRAND",C2551)),"Brandy",
 ISNUMBER(SEARCH("COGNAC",C2551)),"Brandy",
 ISNUMBER(SEARCH("LIQUEUR",C2551)),"Liqueurs",
 ISNUMBER(SEARCH("CORDIAL",C2551)),"Liqueurs",
 ISNUMBER(SEARCH("SCHNAPP",C2551)),"Liqueurs",
 ISNUMBER(SEARCH("GIN",C2551)),"Gin",
 TRUE,"Other")</f>
        <v>Brandy</v>
      </c>
      <c r="E2551" s="5">
        <v>52451</v>
      </c>
      <c r="F2551" s="5">
        <v>329592.19000000175</v>
      </c>
      <c r="G2551" s="5"/>
      <c r="H2551" s="5">
        <v>4056</v>
      </c>
    </row>
    <row r="2552" spans="1:8">
      <c r="A2552" s="5">
        <v>2025</v>
      </c>
      <c r="B2552" s="6">
        <v>45809</v>
      </c>
      <c r="C2552" s="5" t="s">
        <v>59</v>
      </c>
      <c r="D2552" s="3" t="str" cm="1">
        <f t="array" ref="D2552">_xlfn.IFS(
 ISNUMBER(SEARCH("WHISK",C2552)),"Whiskey",
 ISNUMBER(SEARCH("BOURBON",C2552)),"Whiskey",
 ISNUMBER(SEARCH("SCOTCH",C2552)),"Whiskey",
 ISNUMBER(SEARCH("RYE",C2552)),"Whiskey",
 ISNUMBER(SEARCH("VODKA",C2552)),"Vodka",
 ISNUMBER(SEARCH("TEQUILA",C2552)),"Tequila/Mezcal",
 ISNUMBER(SEARCH("MEZCAL",C2552)),"Tequila/Mezcal",
 ISNUMBER(SEARCH("RUM",C2552)),"Rum",
 ISNUMBER(SEARCH("BRAND",C2552)),"Brandy",
 ISNUMBER(SEARCH("COGNAC",C2552)),"Brandy",
 ISNUMBER(SEARCH("LIQUEUR",C2552)),"Liqueurs",
 ISNUMBER(SEARCH("CORDIAL",C2552)),"Liqueurs",
 ISNUMBER(SEARCH("SCHNAPP",C2552)),"Liqueurs",
 ISNUMBER(SEARCH("GIN",C2552)),"Gin",
 TRUE,"Other")</f>
        <v>Liqueurs</v>
      </c>
      <c r="E2552" s="5">
        <v>34916</v>
      </c>
      <c r="F2552" s="5">
        <v>417935.57999999553</v>
      </c>
      <c r="G2552" s="5"/>
      <c r="H2552" s="5">
        <v>5548</v>
      </c>
    </row>
    <row r="2553" spans="1:8">
      <c r="A2553" s="5">
        <v>2025</v>
      </c>
      <c r="B2553" s="6">
        <v>45809</v>
      </c>
      <c r="C2553" s="5" t="s">
        <v>12</v>
      </c>
      <c r="D2553" s="3" t="str" cm="1">
        <f t="array" ref="D2553">_xlfn.IFS(
 ISNUMBER(SEARCH("WHISK",C2553)),"Whiskey",
 ISNUMBER(SEARCH("BOURBON",C2553)),"Whiskey",
 ISNUMBER(SEARCH("SCOTCH",C2553)),"Whiskey",
 ISNUMBER(SEARCH("RYE",C2553)),"Whiskey",
 ISNUMBER(SEARCH("VODKA",C2553)),"Vodka",
 ISNUMBER(SEARCH("TEQUILA",C2553)),"Tequila/Mezcal",
 ISNUMBER(SEARCH("MEZCAL",C2553)),"Tequila/Mezcal",
 ISNUMBER(SEARCH("RUM",C2553)),"Rum",
 ISNUMBER(SEARCH("BRAND",C2553)),"Brandy",
 ISNUMBER(SEARCH("COGNAC",C2553)),"Brandy",
 ISNUMBER(SEARCH("LIQUEUR",C2553)),"Liqueurs",
 ISNUMBER(SEARCH("CORDIAL",C2553)),"Liqueurs",
 ISNUMBER(SEARCH("SCHNAPP",C2553)),"Liqueurs",
 ISNUMBER(SEARCH("GIN",C2553)),"Gin",
 TRUE,"Other")</f>
        <v>Vodka</v>
      </c>
      <c r="E2553" s="5">
        <v>91170</v>
      </c>
      <c r="F2553" s="5">
        <v>1057048.870000056</v>
      </c>
      <c r="G2553" s="5"/>
      <c r="H2553" s="5">
        <v>10705</v>
      </c>
    </row>
    <row r="2554" spans="1:8">
      <c r="A2554" s="5">
        <v>2025</v>
      </c>
      <c r="B2554" s="6">
        <v>45809</v>
      </c>
      <c r="C2554" s="5" t="s">
        <v>16</v>
      </c>
      <c r="D2554" s="3" t="str" cm="1">
        <f t="array" ref="D2554">_xlfn.IFS(
 ISNUMBER(SEARCH("WHISK",C2554)),"Whiskey",
 ISNUMBER(SEARCH("BOURBON",C2554)),"Whiskey",
 ISNUMBER(SEARCH("SCOTCH",C2554)),"Whiskey",
 ISNUMBER(SEARCH("RYE",C2554)),"Whiskey",
 ISNUMBER(SEARCH("VODKA",C2554)),"Vodka",
 ISNUMBER(SEARCH("TEQUILA",C2554)),"Tequila/Mezcal",
 ISNUMBER(SEARCH("MEZCAL",C2554)),"Tequila/Mezcal",
 ISNUMBER(SEARCH("RUM",C2554)),"Rum",
 ISNUMBER(SEARCH("BRAND",C2554)),"Brandy",
 ISNUMBER(SEARCH("COGNAC",C2554)),"Brandy",
 ISNUMBER(SEARCH("LIQUEUR",C2554)),"Liqueurs",
 ISNUMBER(SEARCH("CORDIAL",C2554)),"Liqueurs",
 ISNUMBER(SEARCH("SCHNAPP",C2554)),"Liqueurs",
 ISNUMBER(SEARCH("GIN",C2554)),"Gin",
 TRUE,"Other")</f>
        <v>Whiskey</v>
      </c>
      <c r="E2554" s="5">
        <v>61997</v>
      </c>
      <c r="F2554" s="5">
        <v>808787.23999998556</v>
      </c>
      <c r="G2554" s="5"/>
      <c r="H2554" s="5">
        <v>6801</v>
      </c>
    </row>
    <row r="2555" spans="1:8">
      <c r="A2555" s="5">
        <v>2025</v>
      </c>
      <c r="B2555" s="6">
        <v>45809</v>
      </c>
      <c r="C2555" s="5" t="s">
        <v>17</v>
      </c>
      <c r="D2555" s="3" t="str" cm="1">
        <f t="array" ref="D2555">_xlfn.IFS(
 ISNUMBER(SEARCH("WHISK",C2555)),"Whiskey",
 ISNUMBER(SEARCH("BOURBON",C2555)),"Whiskey",
 ISNUMBER(SEARCH("SCOTCH",C2555)),"Whiskey",
 ISNUMBER(SEARCH("RYE",C2555)),"Whiskey",
 ISNUMBER(SEARCH("VODKA",C2555)),"Vodka",
 ISNUMBER(SEARCH("TEQUILA",C2555)),"Tequila/Mezcal",
 ISNUMBER(SEARCH("MEZCAL",C2555)),"Tequila/Mezcal",
 ISNUMBER(SEARCH("RUM",C2555)),"Rum",
 ISNUMBER(SEARCH("BRAND",C2555)),"Brandy",
 ISNUMBER(SEARCH("COGNAC",C2555)),"Brandy",
 ISNUMBER(SEARCH("LIQUEUR",C2555)),"Liqueurs",
 ISNUMBER(SEARCH("CORDIAL",C2555)),"Liqueurs",
 ISNUMBER(SEARCH("SCHNAPP",C2555)),"Liqueurs",
 ISNUMBER(SEARCH("GIN",C2555)),"Gin",
 TRUE,"Other")</f>
        <v>Whiskey</v>
      </c>
      <c r="E2555" s="5">
        <v>4817</v>
      </c>
      <c r="F2555" s="5">
        <v>149969.31000000003</v>
      </c>
      <c r="G2555" s="5"/>
      <c r="H2555" s="5">
        <v>1573</v>
      </c>
    </row>
    <row r="2556" spans="1:8">
      <c r="A2556" s="5">
        <v>2025</v>
      </c>
      <c r="B2556" s="6">
        <v>45809</v>
      </c>
      <c r="C2556" s="5" t="s">
        <v>19</v>
      </c>
      <c r="D2556" s="3" t="str" cm="1">
        <f t="array" ref="D2556">_xlfn.IFS(
 ISNUMBER(SEARCH("WHISK",C2556)),"Whiskey",
 ISNUMBER(SEARCH("BOURBON",C2556)),"Whiskey",
 ISNUMBER(SEARCH("SCOTCH",C2556)),"Whiskey",
 ISNUMBER(SEARCH("RYE",C2556)),"Whiskey",
 ISNUMBER(SEARCH("VODKA",C2556)),"Vodka",
 ISNUMBER(SEARCH("TEQUILA",C2556)),"Tequila/Mezcal",
 ISNUMBER(SEARCH("MEZCAL",C2556)),"Tequila/Mezcal",
 ISNUMBER(SEARCH("RUM",C2556)),"Rum",
 ISNUMBER(SEARCH("BRAND",C2556)),"Brandy",
 ISNUMBER(SEARCH("COGNAC",C2556)),"Brandy",
 ISNUMBER(SEARCH("LIQUEUR",C2556)),"Liqueurs",
 ISNUMBER(SEARCH("CORDIAL",C2556)),"Liqueurs",
 ISNUMBER(SEARCH("SCHNAPP",C2556)),"Liqueurs",
 ISNUMBER(SEARCH("GIN",C2556)),"Gin",
 TRUE,"Other")</f>
        <v>Other</v>
      </c>
      <c r="E2556" s="5">
        <v>76617</v>
      </c>
      <c r="F2556" s="5">
        <v>918486.69000000495</v>
      </c>
      <c r="G2556" s="5"/>
      <c r="H2556" s="5">
        <v>8596</v>
      </c>
    </row>
    <row r="2557" spans="1:8">
      <c r="A2557" s="5">
        <v>2025</v>
      </c>
      <c r="B2557" s="6">
        <v>45809</v>
      </c>
      <c r="C2557" s="5" t="s">
        <v>20</v>
      </c>
      <c r="D2557" s="3" t="str" cm="1">
        <f t="array" ref="D2557">_xlfn.IFS(
 ISNUMBER(SEARCH("WHISK",C2557)),"Whiskey",
 ISNUMBER(SEARCH("BOURBON",C2557)),"Whiskey",
 ISNUMBER(SEARCH("SCOTCH",C2557)),"Whiskey",
 ISNUMBER(SEARCH("RYE",C2557)),"Whiskey",
 ISNUMBER(SEARCH("VODKA",C2557)),"Vodka",
 ISNUMBER(SEARCH("TEQUILA",C2557)),"Tequila/Mezcal",
 ISNUMBER(SEARCH("MEZCAL",C2557)),"Tequila/Mezcal",
 ISNUMBER(SEARCH("RUM",C2557)),"Rum",
 ISNUMBER(SEARCH("BRAND",C2557)),"Brandy",
 ISNUMBER(SEARCH("COGNAC",C2557)),"Brandy",
 ISNUMBER(SEARCH("LIQUEUR",C2557)),"Liqueurs",
 ISNUMBER(SEARCH("CORDIAL",C2557)),"Liqueurs",
 ISNUMBER(SEARCH("SCHNAPP",C2557)),"Liqueurs",
 ISNUMBER(SEARCH("GIN",C2557)),"Gin",
 TRUE,"Other")</f>
        <v>Liqueurs</v>
      </c>
      <c r="E2557" s="5">
        <v>6453</v>
      </c>
      <c r="F2557" s="5">
        <v>134392.64000000063</v>
      </c>
      <c r="G2557" s="5"/>
      <c r="H2557" s="5">
        <v>799</v>
      </c>
    </row>
    <row r="2558" spans="1:8">
      <c r="A2558" s="5">
        <v>2025</v>
      </c>
      <c r="B2558" s="6">
        <v>45809</v>
      </c>
      <c r="C2558" s="5" t="s">
        <v>23</v>
      </c>
      <c r="D2558" s="3" t="str" cm="1">
        <f t="array" ref="D2558">_xlfn.IFS(
 ISNUMBER(SEARCH("WHISK",C2558)),"Whiskey",
 ISNUMBER(SEARCH("BOURBON",C2558)),"Whiskey",
 ISNUMBER(SEARCH("SCOTCH",C2558)),"Whiskey",
 ISNUMBER(SEARCH("RYE",C2558)),"Whiskey",
 ISNUMBER(SEARCH("VODKA",C2558)),"Vodka",
 ISNUMBER(SEARCH("TEQUILA",C2558)),"Tequila/Mezcal",
 ISNUMBER(SEARCH("MEZCAL",C2558)),"Tequila/Mezcal",
 ISNUMBER(SEARCH("RUM",C2558)),"Rum",
 ISNUMBER(SEARCH("BRAND",C2558)),"Brandy",
 ISNUMBER(SEARCH("COGNAC",C2558)),"Brandy",
 ISNUMBER(SEARCH("LIQUEUR",C2558)),"Liqueurs",
 ISNUMBER(SEARCH("CORDIAL",C2558)),"Liqueurs",
 ISNUMBER(SEARCH("SCHNAPP",C2558)),"Liqueurs",
 ISNUMBER(SEARCH("GIN",C2558)),"Gin",
 TRUE,"Other")</f>
        <v>Gin</v>
      </c>
      <c r="E2558" s="5">
        <v>4450</v>
      </c>
      <c r="F2558" s="5">
        <v>113941.3</v>
      </c>
      <c r="G2558" s="5"/>
      <c r="H2558" s="5">
        <v>473</v>
      </c>
    </row>
    <row r="2559" spans="1:8">
      <c r="A2559" s="5">
        <v>2025</v>
      </c>
      <c r="B2559" s="6">
        <v>45809</v>
      </c>
      <c r="C2559" s="5" t="s">
        <v>25</v>
      </c>
      <c r="D2559" s="3" t="str" cm="1">
        <f t="array" ref="D2559">_xlfn.IFS(
 ISNUMBER(SEARCH("WHISK",C2559)),"Whiskey",
 ISNUMBER(SEARCH("BOURBON",C2559)),"Whiskey",
 ISNUMBER(SEARCH("SCOTCH",C2559)),"Whiskey",
 ISNUMBER(SEARCH("RYE",C2559)),"Whiskey",
 ISNUMBER(SEARCH("VODKA",C2559)),"Vodka",
 ISNUMBER(SEARCH("TEQUILA",C2559)),"Tequila/Mezcal",
 ISNUMBER(SEARCH("MEZCAL",C2559)),"Tequila/Mezcal",
 ISNUMBER(SEARCH("RUM",C2559)),"Rum",
 ISNUMBER(SEARCH("BRAND",C2559)),"Brandy",
 ISNUMBER(SEARCH("COGNAC",C2559)),"Brandy",
 ISNUMBER(SEARCH("LIQUEUR",C2559)),"Liqueurs",
 ISNUMBER(SEARCH("CORDIAL",C2559)),"Liqueurs",
 ISNUMBER(SEARCH("SCHNAPP",C2559)),"Liqueurs",
 ISNUMBER(SEARCH("GIN",C2559)),"Gin",
 TRUE,"Other")</f>
        <v>Rum</v>
      </c>
      <c r="E2559" s="5">
        <v>5492</v>
      </c>
      <c r="F2559" s="5">
        <v>76741.870000000068</v>
      </c>
      <c r="G2559" s="5"/>
      <c r="H2559" s="5">
        <v>823</v>
      </c>
    </row>
    <row r="2560" spans="1:8">
      <c r="A2560" s="5">
        <v>2025</v>
      </c>
      <c r="B2560" s="6">
        <v>45809</v>
      </c>
      <c r="C2560" s="5" t="s">
        <v>26</v>
      </c>
      <c r="D2560" s="3" t="str" cm="1">
        <f t="array" ref="D2560">_xlfn.IFS(
 ISNUMBER(SEARCH("WHISK",C2560)),"Whiskey",
 ISNUMBER(SEARCH("BOURBON",C2560)),"Whiskey",
 ISNUMBER(SEARCH("SCOTCH",C2560)),"Whiskey",
 ISNUMBER(SEARCH("RYE",C2560)),"Whiskey",
 ISNUMBER(SEARCH("VODKA",C2560)),"Vodka",
 ISNUMBER(SEARCH("TEQUILA",C2560)),"Tequila/Mezcal",
 ISNUMBER(SEARCH("MEZCAL",C2560)),"Tequila/Mezcal",
 ISNUMBER(SEARCH("RUM",C2560)),"Rum",
 ISNUMBER(SEARCH("BRAND",C2560)),"Brandy",
 ISNUMBER(SEARCH("COGNAC",C2560)),"Brandy",
 ISNUMBER(SEARCH("LIQUEUR",C2560)),"Liqueurs",
 ISNUMBER(SEARCH("CORDIAL",C2560)),"Liqueurs",
 ISNUMBER(SEARCH("SCHNAPP",C2560)),"Liqueurs",
 ISNUMBER(SEARCH("GIN",C2560)),"Gin",
 TRUE,"Other")</f>
        <v>Brandy</v>
      </c>
      <c r="E2560" s="5">
        <v>26739</v>
      </c>
      <c r="F2560" s="5">
        <v>660022.16999999771</v>
      </c>
      <c r="G2560" s="5"/>
      <c r="H2560" s="5">
        <v>2810</v>
      </c>
    </row>
    <row r="2561" spans="1:8">
      <c r="A2561" s="5">
        <v>2025</v>
      </c>
      <c r="B2561" s="6">
        <v>45809</v>
      </c>
      <c r="C2561" s="5" t="s">
        <v>29</v>
      </c>
      <c r="D2561" s="3" t="str" cm="1">
        <f t="array" ref="D2561">_xlfn.IFS(
 ISNUMBER(SEARCH("WHISK",C2561)),"Whiskey",
 ISNUMBER(SEARCH("BOURBON",C2561)),"Whiskey",
 ISNUMBER(SEARCH("SCOTCH",C2561)),"Whiskey",
 ISNUMBER(SEARCH("RYE",C2561)),"Whiskey",
 ISNUMBER(SEARCH("VODKA",C2561)),"Vodka",
 ISNUMBER(SEARCH("TEQUILA",C2561)),"Tequila/Mezcal",
 ISNUMBER(SEARCH("MEZCAL",C2561)),"Tequila/Mezcal",
 ISNUMBER(SEARCH("RUM",C2561)),"Rum",
 ISNUMBER(SEARCH("BRAND",C2561)),"Brandy",
 ISNUMBER(SEARCH("COGNAC",C2561)),"Brandy",
 ISNUMBER(SEARCH("LIQUEUR",C2561)),"Liqueurs",
 ISNUMBER(SEARCH("CORDIAL",C2561)),"Liqueurs",
 ISNUMBER(SEARCH("SCHNAPP",C2561)),"Liqueurs",
 ISNUMBER(SEARCH("GIN",C2561)),"Gin",
 TRUE,"Other")</f>
        <v>Gin</v>
      </c>
      <c r="E2561" s="5">
        <v>20569</v>
      </c>
      <c r="F2561" s="5">
        <v>543236.16999999876</v>
      </c>
      <c r="G2561" s="5"/>
      <c r="H2561" s="5">
        <v>2292</v>
      </c>
    </row>
    <row r="2562" spans="1:8">
      <c r="A2562" s="5">
        <v>2025</v>
      </c>
      <c r="B2562" s="6">
        <v>45809</v>
      </c>
      <c r="C2562" s="5" t="s">
        <v>30</v>
      </c>
      <c r="D2562" s="3" t="str" cm="1">
        <f t="array" ref="D2562">_xlfn.IFS(
 ISNUMBER(SEARCH("WHISK",C2562)),"Whiskey",
 ISNUMBER(SEARCH("BOURBON",C2562)),"Whiskey",
 ISNUMBER(SEARCH("SCOTCH",C2562)),"Whiskey",
 ISNUMBER(SEARCH("RYE",C2562)),"Whiskey",
 ISNUMBER(SEARCH("VODKA",C2562)),"Vodka",
 ISNUMBER(SEARCH("TEQUILA",C2562)),"Tequila/Mezcal",
 ISNUMBER(SEARCH("MEZCAL",C2562)),"Tequila/Mezcal",
 ISNUMBER(SEARCH("RUM",C2562)),"Rum",
 ISNUMBER(SEARCH("BRAND",C2562)),"Brandy",
 ISNUMBER(SEARCH("COGNAC",C2562)),"Brandy",
 ISNUMBER(SEARCH("LIQUEUR",C2562)),"Liqueurs",
 ISNUMBER(SEARCH("CORDIAL",C2562)),"Liqueurs",
 ISNUMBER(SEARCH("SCHNAPP",C2562)),"Liqueurs",
 ISNUMBER(SEARCH("GIN",C2562)),"Gin",
 TRUE,"Other")</f>
        <v>Vodka</v>
      </c>
      <c r="E2562" s="5">
        <v>24202</v>
      </c>
      <c r="F2562" s="5">
        <v>380096.35000000143</v>
      </c>
      <c r="G2562" s="5"/>
      <c r="H2562" s="5">
        <v>2492</v>
      </c>
    </row>
    <row r="2563" spans="1:8">
      <c r="A2563" s="5">
        <v>2025</v>
      </c>
      <c r="B2563" s="6">
        <v>45809</v>
      </c>
      <c r="C2563" s="5" t="s">
        <v>31</v>
      </c>
      <c r="D2563" s="3" t="str" cm="1">
        <f t="array" ref="D2563">_xlfn.IFS(
 ISNUMBER(SEARCH("WHISK",C2563)),"Whiskey",
 ISNUMBER(SEARCH("BOURBON",C2563)),"Whiskey",
 ISNUMBER(SEARCH("SCOTCH",C2563)),"Whiskey",
 ISNUMBER(SEARCH("RYE",C2563)),"Whiskey",
 ISNUMBER(SEARCH("VODKA",C2563)),"Vodka",
 ISNUMBER(SEARCH("TEQUILA",C2563)),"Tequila/Mezcal",
 ISNUMBER(SEARCH("MEZCAL",C2563)),"Tequila/Mezcal",
 ISNUMBER(SEARCH("RUM",C2563)),"Rum",
 ISNUMBER(SEARCH("BRAND",C2563)),"Brandy",
 ISNUMBER(SEARCH("COGNAC",C2563)),"Brandy",
 ISNUMBER(SEARCH("LIQUEUR",C2563)),"Liqueurs",
 ISNUMBER(SEARCH("CORDIAL",C2563)),"Liqueurs",
 ISNUMBER(SEARCH("SCHNAPP",C2563)),"Liqueurs",
 ISNUMBER(SEARCH("GIN",C2563)),"Gin",
 TRUE,"Other")</f>
        <v>Liqueurs</v>
      </c>
      <c r="E2563" s="5">
        <v>28252</v>
      </c>
      <c r="F2563" s="5">
        <v>502928.03000000183</v>
      </c>
      <c r="G2563" s="5"/>
      <c r="H2563" s="5">
        <v>2651</v>
      </c>
    </row>
    <row r="2564" spans="1:8">
      <c r="A2564" s="5">
        <v>2025</v>
      </c>
      <c r="B2564" s="6">
        <v>45809</v>
      </c>
      <c r="C2564" s="5" t="s">
        <v>35</v>
      </c>
      <c r="D2564" s="3" t="str" cm="1">
        <f t="array" ref="D2564">_xlfn.IFS(
 ISNUMBER(SEARCH("WHISK",C2564)),"Whiskey",
 ISNUMBER(SEARCH("BOURBON",C2564)),"Whiskey",
 ISNUMBER(SEARCH("SCOTCH",C2564)),"Whiskey",
 ISNUMBER(SEARCH("RYE",C2564)),"Whiskey",
 ISNUMBER(SEARCH("VODKA",C2564)),"Vodka",
 ISNUMBER(SEARCH("TEQUILA",C2564)),"Tequila/Mezcal",
 ISNUMBER(SEARCH("MEZCAL",C2564)),"Tequila/Mezcal",
 ISNUMBER(SEARCH("RUM",C2564)),"Rum",
 ISNUMBER(SEARCH("BRAND",C2564)),"Brandy",
 ISNUMBER(SEARCH("COGNAC",C2564)),"Brandy",
 ISNUMBER(SEARCH("LIQUEUR",C2564)),"Liqueurs",
 ISNUMBER(SEARCH("CORDIAL",C2564)),"Liqueurs",
 ISNUMBER(SEARCH("SCHNAPP",C2564)),"Liqueurs",
 ISNUMBER(SEARCH("GIN",C2564)),"Gin",
 TRUE,"Other")</f>
        <v>Tequila/Mezcal</v>
      </c>
      <c r="E2564" s="5">
        <v>67473</v>
      </c>
      <c r="F2564" s="5">
        <v>916693.1799999933</v>
      </c>
      <c r="G2564" s="5"/>
      <c r="H2564" s="5">
        <v>4964</v>
      </c>
    </row>
    <row r="2565" spans="1:8">
      <c r="A2565" s="5">
        <v>2025</v>
      </c>
      <c r="B2565" s="6">
        <v>45809</v>
      </c>
      <c r="C2565" s="5" t="s">
        <v>37</v>
      </c>
      <c r="D2565" s="3" t="str" cm="1">
        <f t="array" ref="D2565">_xlfn.IFS(
 ISNUMBER(SEARCH("WHISK",C2565)),"Whiskey",
 ISNUMBER(SEARCH("BOURBON",C2565)),"Whiskey",
 ISNUMBER(SEARCH("SCOTCH",C2565)),"Whiskey",
 ISNUMBER(SEARCH("RYE",C2565)),"Whiskey",
 ISNUMBER(SEARCH("VODKA",C2565)),"Vodka",
 ISNUMBER(SEARCH("TEQUILA",C2565)),"Tequila/Mezcal",
 ISNUMBER(SEARCH("MEZCAL",C2565)),"Tequila/Mezcal",
 ISNUMBER(SEARCH("RUM",C2565)),"Rum",
 ISNUMBER(SEARCH("BRAND",C2565)),"Brandy",
 ISNUMBER(SEARCH("COGNAC",C2565)),"Brandy",
 ISNUMBER(SEARCH("LIQUEUR",C2565)),"Liqueurs",
 ISNUMBER(SEARCH("CORDIAL",C2565)),"Liqueurs",
 ISNUMBER(SEARCH("SCHNAPP",C2565)),"Liqueurs",
 ISNUMBER(SEARCH("GIN",C2565)),"Gin",
 TRUE,"Other")</f>
        <v>Other</v>
      </c>
      <c r="E2565" s="5">
        <v>13616</v>
      </c>
      <c r="F2565" s="5">
        <v>226159.25000000314</v>
      </c>
      <c r="G2565" s="5"/>
      <c r="H2565" s="5">
        <v>2799</v>
      </c>
    </row>
    <row r="2566" spans="1:8">
      <c r="A2566" s="5">
        <v>2025</v>
      </c>
      <c r="B2566" s="6">
        <v>45809</v>
      </c>
      <c r="C2566" s="5" t="s">
        <v>38</v>
      </c>
      <c r="D2566" s="3" t="str" cm="1">
        <f t="array" ref="D2566">_xlfn.IFS(
 ISNUMBER(SEARCH("WHISK",C2566)),"Whiskey",
 ISNUMBER(SEARCH("BOURBON",C2566)),"Whiskey",
 ISNUMBER(SEARCH("SCOTCH",C2566)),"Whiskey",
 ISNUMBER(SEARCH("RYE",C2566)),"Whiskey",
 ISNUMBER(SEARCH("VODKA",C2566)),"Vodka",
 ISNUMBER(SEARCH("TEQUILA",C2566)),"Tequila/Mezcal",
 ISNUMBER(SEARCH("MEZCAL",C2566)),"Tequila/Mezcal",
 ISNUMBER(SEARCH("RUM",C2566)),"Rum",
 ISNUMBER(SEARCH("BRAND",C2566)),"Brandy",
 ISNUMBER(SEARCH("COGNAC",C2566)),"Brandy",
 ISNUMBER(SEARCH("LIQUEUR",C2566)),"Liqueurs",
 ISNUMBER(SEARCH("CORDIAL",C2566)),"Liqueurs",
 ISNUMBER(SEARCH("SCHNAPP",C2566)),"Liqueurs",
 ISNUMBER(SEARCH("GIN",C2566)),"Gin",
 TRUE,"Other")</f>
        <v>Whiskey</v>
      </c>
      <c r="E2566" s="5">
        <v>13923</v>
      </c>
      <c r="F2566" s="5">
        <v>408392.85999999929</v>
      </c>
      <c r="G2566" s="5"/>
      <c r="H2566" s="5">
        <v>2462</v>
      </c>
    </row>
    <row r="2567" spans="1:8">
      <c r="A2567" s="5">
        <v>2025</v>
      </c>
      <c r="B2567" s="6">
        <v>45809</v>
      </c>
      <c r="C2567" s="5" t="s">
        <v>40</v>
      </c>
      <c r="D2567" s="3" t="str" cm="1">
        <f t="array" ref="D2567">_xlfn.IFS(
 ISNUMBER(SEARCH("WHISK",C2567)),"Whiskey",
 ISNUMBER(SEARCH("BOURBON",C2567)),"Whiskey",
 ISNUMBER(SEARCH("SCOTCH",C2567)),"Whiskey",
 ISNUMBER(SEARCH("RYE",C2567)),"Whiskey",
 ISNUMBER(SEARCH("VODKA",C2567)),"Vodka",
 ISNUMBER(SEARCH("TEQUILA",C2567)),"Tequila/Mezcal",
 ISNUMBER(SEARCH("MEZCAL",C2567)),"Tequila/Mezcal",
 ISNUMBER(SEARCH("RUM",C2567)),"Rum",
 ISNUMBER(SEARCH("BRAND",C2567)),"Brandy",
 ISNUMBER(SEARCH("COGNAC",C2567)),"Brandy",
 ISNUMBER(SEARCH("LIQUEUR",C2567)),"Liqueurs",
 ISNUMBER(SEARCH("CORDIAL",C2567)),"Liqueurs",
 ISNUMBER(SEARCH("SCHNAPP",C2567)),"Liqueurs",
 ISNUMBER(SEARCH("GIN",C2567)),"Gin",
 TRUE,"Other")</f>
        <v>Whiskey</v>
      </c>
      <c r="E2567" s="5">
        <v>4735</v>
      </c>
      <c r="F2567" s="5">
        <v>273001.63000000076</v>
      </c>
      <c r="G2567" s="5"/>
      <c r="H2567" s="5">
        <v>1196</v>
      </c>
    </row>
    <row r="2568" spans="1:8">
      <c r="A2568" s="5">
        <v>2025</v>
      </c>
      <c r="B2568" s="6">
        <v>45809</v>
      </c>
      <c r="C2568" s="5" t="s">
        <v>43</v>
      </c>
      <c r="D2568" s="3" t="str" cm="1">
        <f t="array" ref="D2568">_xlfn.IFS(
 ISNUMBER(SEARCH("WHISK",C2568)),"Whiskey",
 ISNUMBER(SEARCH("BOURBON",C2568)),"Whiskey",
 ISNUMBER(SEARCH("SCOTCH",C2568)),"Whiskey",
 ISNUMBER(SEARCH("RYE",C2568)),"Whiskey",
 ISNUMBER(SEARCH("VODKA",C2568)),"Vodka",
 ISNUMBER(SEARCH("TEQUILA",C2568)),"Tequila/Mezcal",
 ISNUMBER(SEARCH("MEZCAL",C2568)),"Tequila/Mezcal",
 ISNUMBER(SEARCH("RUM",C2568)),"Rum",
 ISNUMBER(SEARCH("BRAND",C2568)),"Brandy",
 ISNUMBER(SEARCH("COGNAC",C2568)),"Brandy",
 ISNUMBER(SEARCH("LIQUEUR",C2568)),"Liqueurs",
 ISNUMBER(SEARCH("CORDIAL",C2568)),"Liqueurs",
 ISNUMBER(SEARCH("SCHNAPP",C2568)),"Liqueurs",
 ISNUMBER(SEARCH("GIN",C2568)),"Gin",
 TRUE,"Other")</f>
        <v>Whiskey</v>
      </c>
      <c r="E2568" s="5">
        <v>145120</v>
      </c>
      <c r="F2568" s="5">
        <v>3451679.4500000225</v>
      </c>
      <c r="G2568" s="5"/>
      <c r="H2568" s="5">
        <v>16852</v>
      </c>
    </row>
    <row r="2569" spans="1:8">
      <c r="A2569" s="5">
        <v>2025</v>
      </c>
      <c r="B2569" s="6">
        <v>45809</v>
      </c>
      <c r="C2569" s="5" t="s">
        <v>45</v>
      </c>
      <c r="D2569" s="3" t="str" cm="1">
        <f t="array" ref="D2569">_xlfn.IFS(
 ISNUMBER(SEARCH("WHISK",C2569)),"Whiskey",
 ISNUMBER(SEARCH("BOURBON",C2569)),"Whiskey",
 ISNUMBER(SEARCH("SCOTCH",C2569)),"Whiskey",
 ISNUMBER(SEARCH("RYE",C2569)),"Whiskey",
 ISNUMBER(SEARCH("VODKA",C2569)),"Vodka",
 ISNUMBER(SEARCH("TEQUILA",C2569)),"Tequila/Mezcal",
 ISNUMBER(SEARCH("MEZCAL",C2569)),"Tequila/Mezcal",
 ISNUMBER(SEARCH("RUM",C2569)),"Rum",
 ISNUMBER(SEARCH("BRAND",C2569)),"Brandy",
 ISNUMBER(SEARCH("COGNAC",C2569)),"Brandy",
 ISNUMBER(SEARCH("LIQUEUR",C2569)),"Liqueurs",
 ISNUMBER(SEARCH("CORDIAL",C2569)),"Liqueurs",
 ISNUMBER(SEARCH("SCHNAPP",C2569)),"Liqueurs",
 ISNUMBER(SEARCH("GIN",C2569)),"Gin",
 TRUE,"Other")</f>
        <v>Other</v>
      </c>
      <c r="E2569" s="5">
        <v>24625</v>
      </c>
      <c r="F2569" s="5">
        <v>756456.47999999986</v>
      </c>
      <c r="G2569" s="5"/>
      <c r="H2569" s="5">
        <v>4335</v>
      </c>
    </row>
    <row r="2570" spans="1:8">
      <c r="A2570" s="5">
        <v>2025</v>
      </c>
      <c r="B2570" s="6">
        <v>45809</v>
      </c>
      <c r="C2570" s="5" t="s">
        <v>48</v>
      </c>
      <c r="D2570" s="3" t="str" cm="1">
        <f t="array" ref="D2570">_xlfn.IFS(
 ISNUMBER(SEARCH("WHISK",C2570)),"Whiskey",
 ISNUMBER(SEARCH("BOURBON",C2570)),"Whiskey",
 ISNUMBER(SEARCH("SCOTCH",C2570)),"Whiskey",
 ISNUMBER(SEARCH("RYE",C2570)),"Whiskey",
 ISNUMBER(SEARCH("VODKA",C2570)),"Vodka",
 ISNUMBER(SEARCH("TEQUILA",C2570)),"Tequila/Mezcal",
 ISNUMBER(SEARCH("MEZCAL",C2570)),"Tequila/Mezcal",
 ISNUMBER(SEARCH("RUM",C2570)),"Rum",
 ISNUMBER(SEARCH("BRAND",C2570)),"Brandy",
 ISNUMBER(SEARCH("COGNAC",C2570)),"Brandy",
 ISNUMBER(SEARCH("LIQUEUR",C2570)),"Liqueurs",
 ISNUMBER(SEARCH("CORDIAL",C2570)),"Liqueurs",
 ISNUMBER(SEARCH("SCHNAPP",C2570)),"Liqueurs",
 ISNUMBER(SEARCH("GIN",C2570)),"Gin",
 TRUE,"Other")</f>
        <v>Whiskey</v>
      </c>
      <c r="E2570" s="5">
        <v>411900</v>
      </c>
      <c r="F2570" s="5">
        <v>2308543.7899999782</v>
      </c>
      <c r="G2570" s="5"/>
      <c r="H2570" s="5">
        <v>14997</v>
      </c>
    </row>
    <row r="2571" spans="1:8">
      <c r="A2571" s="5">
        <v>2025</v>
      </c>
      <c r="B2571" s="6">
        <v>45809</v>
      </c>
      <c r="C2571" s="5" t="s">
        <v>24</v>
      </c>
      <c r="D2571" s="3" t="str" cm="1">
        <f t="array" ref="D2571">_xlfn.IFS(
 ISNUMBER(SEARCH("WHISK",C2571)),"Whiskey",
 ISNUMBER(SEARCH("BOURBON",C2571)),"Whiskey",
 ISNUMBER(SEARCH("SCOTCH",C2571)),"Whiskey",
 ISNUMBER(SEARCH("RYE",C2571)),"Whiskey",
 ISNUMBER(SEARCH("VODKA",C2571)),"Vodka",
 ISNUMBER(SEARCH("TEQUILA",C2571)),"Tequila/Mezcal",
 ISNUMBER(SEARCH("MEZCAL",C2571)),"Tequila/Mezcal",
 ISNUMBER(SEARCH("RUM",C2571)),"Rum",
 ISNUMBER(SEARCH("BRAND",C2571)),"Brandy",
 ISNUMBER(SEARCH("COGNAC",C2571)),"Brandy",
 ISNUMBER(SEARCH("LIQUEUR",C2571)),"Liqueurs",
 ISNUMBER(SEARCH("CORDIAL",C2571)),"Liqueurs",
 ISNUMBER(SEARCH("SCHNAPP",C2571)),"Liqueurs",
 ISNUMBER(SEARCH("GIN",C2571)),"Gin",
 TRUE,"Other")</f>
        <v>Rum</v>
      </c>
      <c r="E2571" s="5">
        <v>47377</v>
      </c>
      <c r="F2571" s="5">
        <v>727479.08999999019</v>
      </c>
      <c r="G2571" s="5"/>
      <c r="H2571" s="5">
        <v>4359</v>
      </c>
    </row>
    <row r="2572" spans="1:8">
      <c r="A2572" s="5">
        <v>2025</v>
      </c>
      <c r="B2572" s="6">
        <v>45809</v>
      </c>
      <c r="C2572" s="5" t="s">
        <v>33</v>
      </c>
      <c r="D2572" s="3" t="str" cm="1">
        <f t="array" ref="D2572">_xlfn.IFS(
 ISNUMBER(SEARCH("WHISK",C2572)),"Whiskey",
 ISNUMBER(SEARCH("BOURBON",C2572)),"Whiskey",
 ISNUMBER(SEARCH("SCOTCH",C2572)),"Whiskey",
 ISNUMBER(SEARCH("RYE",C2572)),"Whiskey",
 ISNUMBER(SEARCH("VODKA",C2572)),"Vodka",
 ISNUMBER(SEARCH("TEQUILA",C2572)),"Tequila/Mezcal",
 ISNUMBER(SEARCH("MEZCAL",C2572)),"Tequila/Mezcal",
 ISNUMBER(SEARCH("RUM",C2572)),"Rum",
 ISNUMBER(SEARCH("BRAND",C2572)),"Brandy",
 ISNUMBER(SEARCH("COGNAC",C2572)),"Brandy",
 ISNUMBER(SEARCH("LIQUEUR",C2572)),"Liqueurs",
 ISNUMBER(SEARCH("CORDIAL",C2572)),"Liqueurs",
 ISNUMBER(SEARCH("SCHNAPP",C2572)),"Liqueurs",
 ISNUMBER(SEARCH("GIN",C2572)),"Gin",
 TRUE,"Other")</f>
        <v>Whiskey</v>
      </c>
      <c r="E2572" s="5">
        <v>24439</v>
      </c>
      <c r="F2572" s="5">
        <v>656036.73999999429</v>
      </c>
      <c r="G2572" s="5"/>
      <c r="H2572" s="5">
        <v>2295</v>
      </c>
    </row>
    <row r="2573" spans="1:8">
      <c r="A2573" s="5">
        <v>2025</v>
      </c>
      <c r="B2573" s="6">
        <v>45809</v>
      </c>
      <c r="C2573" s="5" t="s">
        <v>36</v>
      </c>
      <c r="D2573" s="3" t="str" cm="1">
        <f t="array" ref="D2573">_xlfn.IFS(
 ISNUMBER(SEARCH("WHISK",C2573)),"Whiskey",
 ISNUMBER(SEARCH("BOURBON",C2573)),"Whiskey",
 ISNUMBER(SEARCH("SCOTCH",C2573)),"Whiskey",
 ISNUMBER(SEARCH("RYE",C2573)),"Whiskey",
 ISNUMBER(SEARCH("VODKA",C2573)),"Vodka",
 ISNUMBER(SEARCH("TEQUILA",C2573)),"Tequila/Mezcal",
 ISNUMBER(SEARCH("MEZCAL",C2573)),"Tequila/Mezcal",
 ISNUMBER(SEARCH("RUM",C2573)),"Rum",
 ISNUMBER(SEARCH("BRAND",C2573)),"Brandy",
 ISNUMBER(SEARCH("COGNAC",C2573)),"Brandy",
 ISNUMBER(SEARCH("LIQUEUR",C2573)),"Liqueurs",
 ISNUMBER(SEARCH("CORDIAL",C2573)),"Liqueurs",
 ISNUMBER(SEARCH("SCHNAPP",C2573)),"Liqueurs",
 ISNUMBER(SEARCH("GIN",C2573)),"Gin",
 TRUE,"Other")</f>
        <v>Other</v>
      </c>
      <c r="E2573" s="5">
        <v>2551</v>
      </c>
      <c r="F2573" s="5">
        <v>37497.209999999985</v>
      </c>
      <c r="G2573" s="5"/>
      <c r="H2573" s="5">
        <v>359</v>
      </c>
    </row>
    <row r="2574" spans="1:8">
      <c r="A2574" s="5">
        <v>2025</v>
      </c>
      <c r="B2574" s="6">
        <v>45809</v>
      </c>
      <c r="C2574" s="5" t="s">
        <v>47</v>
      </c>
      <c r="D2574" s="3" t="str" cm="1">
        <f t="array" ref="D2574">_xlfn.IFS(
 ISNUMBER(SEARCH("WHISK",C2574)),"Whiskey",
 ISNUMBER(SEARCH("BOURBON",C2574)),"Whiskey",
 ISNUMBER(SEARCH("SCOTCH",C2574)),"Whiskey",
 ISNUMBER(SEARCH("RYE",C2574)),"Whiskey",
 ISNUMBER(SEARCH("VODKA",C2574)),"Vodka",
 ISNUMBER(SEARCH("TEQUILA",C2574)),"Tequila/Mezcal",
 ISNUMBER(SEARCH("MEZCAL",C2574)),"Tequila/Mezcal",
 ISNUMBER(SEARCH("RUM",C2574)),"Rum",
 ISNUMBER(SEARCH("BRAND",C2574)),"Brandy",
 ISNUMBER(SEARCH("COGNAC",C2574)),"Brandy",
 ISNUMBER(SEARCH("LIQUEUR",C2574)),"Liqueurs",
 ISNUMBER(SEARCH("CORDIAL",C2574)),"Liqueurs",
 ISNUMBER(SEARCH("SCHNAPP",C2574)),"Liqueurs",
 ISNUMBER(SEARCH("GIN",C2574)),"Gin",
 TRUE,"Other")</f>
        <v>Other</v>
      </c>
      <c r="E2574" s="5">
        <v>18905</v>
      </c>
      <c r="F2574" s="5">
        <v>78002.169999999896</v>
      </c>
      <c r="G2574" s="5"/>
      <c r="H2574" s="5">
        <v>751</v>
      </c>
    </row>
    <row r="2575" spans="1:8">
      <c r="A2575" s="5">
        <v>2025</v>
      </c>
      <c r="B2575" s="6">
        <v>45809</v>
      </c>
      <c r="C2575" s="5" t="s">
        <v>49</v>
      </c>
      <c r="D2575" s="3" t="str" cm="1">
        <f t="array" ref="D2575">_xlfn.IFS(
 ISNUMBER(SEARCH("WHISK",C2575)),"Whiskey",
 ISNUMBER(SEARCH("BOURBON",C2575)),"Whiskey",
 ISNUMBER(SEARCH("SCOTCH",C2575)),"Whiskey",
 ISNUMBER(SEARCH("RYE",C2575)),"Whiskey",
 ISNUMBER(SEARCH("VODKA",C2575)),"Vodka",
 ISNUMBER(SEARCH("TEQUILA",C2575)),"Tequila/Mezcal",
 ISNUMBER(SEARCH("MEZCAL",C2575)),"Tequila/Mezcal",
 ISNUMBER(SEARCH("RUM",C2575)),"Rum",
 ISNUMBER(SEARCH("BRAND",C2575)),"Brandy",
 ISNUMBER(SEARCH("COGNAC",C2575)),"Brandy",
 ISNUMBER(SEARCH("LIQUEUR",C2575)),"Liqueurs",
 ISNUMBER(SEARCH("CORDIAL",C2575)),"Liqueurs",
 ISNUMBER(SEARCH("SCHNAPP",C2575)),"Liqueurs",
 ISNUMBER(SEARCH("GIN",C2575)),"Gin",
 TRUE,"Other")</f>
        <v>Rum</v>
      </c>
      <c r="E2575" s="5">
        <v>41041</v>
      </c>
      <c r="F2575" s="5">
        <v>530915.93999999831</v>
      </c>
      <c r="G2575" s="5"/>
      <c r="H2575" s="5">
        <v>3627</v>
      </c>
    </row>
    <row r="2576" spans="1:8">
      <c r="A2576" s="5">
        <v>2025</v>
      </c>
      <c r="B2576" s="6">
        <v>45809</v>
      </c>
      <c r="C2576" s="5" t="s">
        <v>10</v>
      </c>
      <c r="D2576" s="3" t="str" cm="1">
        <f t="array" ref="D2576">_xlfn.IFS(
 ISNUMBER(SEARCH("WHISK",C2576)),"Whiskey",
 ISNUMBER(SEARCH("BOURBON",C2576)),"Whiskey",
 ISNUMBER(SEARCH("SCOTCH",C2576)),"Whiskey",
 ISNUMBER(SEARCH("RYE",C2576)),"Whiskey",
 ISNUMBER(SEARCH("VODKA",C2576)),"Vodka",
 ISNUMBER(SEARCH("TEQUILA",C2576)),"Tequila/Mezcal",
 ISNUMBER(SEARCH("MEZCAL",C2576)),"Tequila/Mezcal",
 ISNUMBER(SEARCH("RUM",C2576)),"Rum",
 ISNUMBER(SEARCH("BRAND",C2576)),"Brandy",
 ISNUMBER(SEARCH("COGNAC",C2576)),"Brandy",
 ISNUMBER(SEARCH("LIQUEUR",C2576)),"Liqueurs",
 ISNUMBER(SEARCH("CORDIAL",C2576)),"Liqueurs",
 ISNUMBER(SEARCH("SCHNAPP",C2576)),"Liqueurs",
 ISNUMBER(SEARCH("GIN",C2576)),"Gin",
 TRUE,"Other")</f>
        <v>Other</v>
      </c>
      <c r="E2576" s="5">
        <v>3926</v>
      </c>
      <c r="F2576" s="5">
        <v>67485.609999999986</v>
      </c>
      <c r="G2576" s="5"/>
      <c r="H2576" s="5">
        <v>392</v>
      </c>
    </row>
    <row r="2577" spans="1:8">
      <c r="A2577" s="5">
        <v>2025</v>
      </c>
      <c r="B2577" s="6">
        <v>45809</v>
      </c>
      <c r="C2577" s="5" t="s">
        <v>28</v>
      </c>
      <c r="D2577" s="3" t="str" cm="1">
        <f t="array" ref="D2577">_xlfn.IFS(
 ISNUMBER(SEARCH("WHISK",C2577)),"Whiskey",
 ISNUMBER(SEARCH("BOURBON",C2577)),"Whiskey",
 ISNUMBER(SEARCH("SCOTCH",C2577)),"Whiskey",
 ISNUMBER(SEARCH("RYE",C2577)),"Whiskey",
 ISNUMBER(SEARCH("VODKA",C2577)),"Vodka",
 ISNUMBER(SEARCH("TEQUILA",C2577)),"Tequila/Mezcal",
 ISNUMBER(SEARCH("MEZCAL",C2577)),"Tequila/Mezcal",
 ISNUMBER(SEARCH("RUM",C2577)),"Rum",
 ISNUMBER(SEARCH("BRAND",C2577)),"Brandy",
 ISNUMBER(SEARCH("COGNAC",C2577)),"Brandy",
 ISNUMBER(SEARCH("LIQUEUR",C2577)),"Liqueurs",
 ISNUMBER(SEARCH("CORDIAL",C2577)),"Liqueurs",
 ISNUMBER(SEARCH("SCHNAPP",C2577)),"Liqueurs",
 ISNUMBER(SEARCH("GIN",C2577)),"Gin",
 TRUE,"Other")</f>
        <v>Other</v>
      </c>
      <c r="E2577" s="5">
        <v>32752</v>
      </c>
      <c r="F2577" s="5">
        <v>233664.03000000035</v>
      </c>
      <c r="G2577" s="5"/>
      <c r="H2577" s="5">
        <v>885</v>
      </c>
    </row>
    <row r="2578" spans="1:8">
      <c r="A2578" s="5">
        <v>2025</v>
      </c>
      <c r="B2578" s="6">
        <v>45809</v>
      </c>
      <c r="C2578" s="5" t="s">
        <v>39</v>
      </c>
      <c r="D2578" s="3" t="str" cm="1">
        <f t="array" ref="D2578">_xlfn.IFS(
 ISNUMBER(SEARCH("WHISK",C2578)),"Whiskey",
 ISNUMBER(SEARCH("BOURBON",C2578)),"Whiskey",
 ISNUMBER(SEARCH("SCOTCH",C2578)),"Whiskey",
 ISNUMBER(SEARCH("RYE",C2578)),"Whiskey",
 ISNUMBER(SEARCH("VODKA",C2578)),"Vodka",
 ISNUMBER(SEARCH("TEQUILA",C2578)),"Tequila/Mezcal",
 ISNUMBER(SEARCH("MEZCAL",C2578)),"Tequila/Mezcal",
 ISNUMBER(SEARCH("RUM",C2578)),"Rum",
 ISNUMBER(SEARCH("BRAND",C2578)),"Brandy",
 ISNUMBER(SEARCH("COGNAC",C2578)),"Brandy",
 ISNUMBER(SEARCH("LIQUEUR",C2578)),"Liqueurs",
 ISNUMBER(SEARCH("CORDIAL",C2578)),"Liqueurs",
 ISNUMBER(SEARCH("SCHNAPP",C2578)),"Liqueurs",
 ISNUMBER(SEARCH("GIN",C2578)),"Gin",
 TRUE,"Other")</f>
        <v>Whiskey</v>
      </c>
      <c r="E2578" s="5">
        <v>3150</v>
      </c>
      <c r="F2578" s="5">
        <v>130376.80000000008</v>
      </c>
      <c r="G2578" s="5"/>
      <c r="H2578" s="5">
        <v>827</v>
      </c>
    </row>
    <row r="2579" spans="1:8">
      <c r="A2579" s="5">
        <v>2025</v>
      </c>
      <c r="B2579" s="6">
        <v>45809</v>
      </c>
      <c r="C2579" s="5" t="s">
        <v>7</v>
      </c>
      <c r="D2579" s="3" t="str" cm="1">
        <f t="array" ref="D2579">_xlfn.IFS(
 ISNUMBER(SEARCH("WHISK",C2579)),"Whiskey",
 ISNUMBER(SEARCH("BOURBON",C2579)),"Whiskey",
 ISNUMBER(SEARCH("SCOTCH",C2579)),"Whiskey",
 ISNUMBER(SEARCH("RYE",C2579)),"Whiskey",
 ISNUMBER(SEARCH("VODKA",C2579)),"Vodka",
 ISNUMBER(SEARCH("TEQUILA",C2579)),"Tequila/Mezcal",
 ISNUMBER(SEARCH("MEZCAL",C2579)),"Tequila/Mezcal",
 ISNUMBER(SEARCH("RUM",C2579)),"Rum",
 ISNUMBER(SEARCH("BRAND",C2579)),"Brandy",
 ISNUMBER(SEARCH("COGNAC",C2579)),"Brandy",
 ISNUMBER(SEARCH("LIQUEUR",C2579)),"Liqueurs",
 ISNUMBER(SEARCH("CORDIAL",C2579)),"Liqueurs",
 ISNUMBER(SEARCH("SCHNAPP",C2579)),"Liqueurs",
 ISNUMBER(SEARCH("GIN",C2579)),"Gin",
 TRUE,"Other")</f>
        <v>Rum</v>
      </c>
      <c r="E2579" s="5">
        <v>3877</v>
      </c>
      <c r="F2579" s="5">
        <v>81761.610000000102</v>
      </c>
      <c r="G2579" s="5"/>
      <c r="H2579" s="5">
        <v>635</v>
      </c>
    </row>
    <row r="2580" spans="1:8">
      <c r="A2580" s="5">
        <v>2025</v>
      </c>
      <c r="B2580" s="6">
        <v>45809</v>
      </c>
      <c r="C2580" s="5" t="s">
        <v>21</v>
      </c>
      <c r="D2580" s="3" t="str" cm="1">
        <f t="array" ref="D2580">_xlfn.IFS(
 ISNUMBER(SEARCH("WHISK",C2580)),"Whiskey",
 ISNUMBER(SEARCH("BOURBON",C2580)),"Whiskey",
 ISNUMBER(SEARCH("SCOTCH",C2580)),"Whiskey",
 ISNUMBER(SEARCH("RYE",C2580)),"Whiskey",
 ISNUMBER(SEARCH("VODKA",C2580)),"Vodka",
 ISNUMBER(SEARCH("TEQUILA",C2580)),"Tequila/Mezcal",
 ISNUMBER(SEARCH("MEZCAL",C2580)),"Tequila/Mezcal",
 ISNUMBER(SEARCH("RUM",C2580)),"Rum",
 ISNUMBER(SEARCH("BRAND",C2580)),"Brandy",
 ISNUMBER(SEARCH("COGNAC",C2580)),"Brandy",
 ISNUMBER(SEARCH("LIQUEUR",C2580)),"Liqueurs",
 ISNUMBER(SEARCH("CORDIAL",C2580)),"Liqueurs",
 ISNUMBER(SEARCH("SCHNAPP",C2580)),"Liqueurs",
 ISNUMBER(SEARCH("GIN",C2580)),"Gin",
 TRUE,"Other")</f>
        <v>Whiskey</v>
      </c>
      <c r="E2580" s="5">
        <v>182</v>
      </c>
      <c r="F2580" s="5">
        <v>4120.9799999999996</v>
      </c>
      <c r="G2580" s="5"/>
      <c r="H2580" s="5">
        <v>40</v>
      </c>
    </row>
    <row r="2581" spans="1:8">
      <c r="A2581" s="5">
        <v>2025</v>
      </c>
      <c r="B2581" s="6">
        <v>45809</v>
      </c>
      <c r="C2581" s="5" t="s">
        <v>34</v>
      </c>
      <c r="D2581" s="3" t="str" cm="1">
        <f t="array" ref="D2581">_xlfn.IFS(
 ISNUMBER(SEARCH("WHISK",C2581)),"Whiskey",
 ISNUMBER(SEARCH("BOURBON",C2581)),"Whiskey",
 ISNUMBER(SEARCH("SCOTCH",C2581)),"Whiskey",
 ISNUMBER(SEARCH("RYE",C2581)),"Whiskey",
 ISNUMBER(SEARCH("VODKA",C2581)),"Vodka",
 ISNUMBER(SEARCH("TEQUILA",C2581)),"Tequila/Mezcal",
 ISNUMBER(SEARCH("MEZCAL",C2581)),"Tequila/Mezcal",
 ISNUMBER(SEARCH("RUM",C2581)),"Rum",
 ISNUMBER(SEARCH("BRAND",C2581)),"Brandy",
 ISNUMBER(SEARCH("COGNAC",C2581)),"Brandy",
 ISNUMBER(SEARCH("LIQUEUR",C2581)),"Liqueurs",
 ISNUMBER(SEARCH("CORDIAL",C2581)),"Liqueurs",
 ISNUMBER(SEARCH("SCHNAPP",C2581)),"Liqueurs",
 ISNUMBER(SEARCH("GIN",C2581)),"Gin",
 TRUE,"Other")</f>
        <v>Tequila/Mezcal</v>
      </c>
      <c r="E2581" s="5">
        <v>1060</v>
      </c>
      <c r="F2581" s="5">
        <v>33616.429999999964</v>
      </c>
      <c r="G2581" s="5"/>
      <c r="H2581" s="5">
        <v>207</v>
      </c>
    </row>
    <row r="2582" spans="1:8">
      <c r="A2582" s="5">
        <v>2025</v>
      </c>
      <c r="B2582" s="6">
        <v>45809</v>
      </c>
      <c r="C2582" s="5" t="s">
        <v>41</v>
      </c>
      <c r="D2582" s="3" t="str" cm="1">
        <f t="array" ref="D2582">_xlfn.IFS(
 ISNUMBER(SEARCH("WHISK",C2582)),"Whiskey",
 ISNUMBER(SEARCH("BOURBON",C2582)),"Whiskey",
 ISNUMBER(SEARCH("SCOTCH",C2582)),"Whiskey",
 ISNUMBER(SEARCH("RYE",C2582)),"Whiskey",
 ISNUMBER(SEARCH("VODKA",C2582)),"Vodka",
 ISNUMBER(SEARCH("TEQUILA",C2582)),"Tequila/Mezcal",
 ISNUMBER(SEARCH("MEZCAL",C2582)),"Tequila/Mezcal",
 ISNUMBER(SEARCH("RUM",C2582)),"Rum",
 ISNUMBER(SEARCH("BRAND",C2582)),"Brandy",
 ISNUMBER(SEARCH("COGNAC",C2582)),"Brandy",
 ISNUMBER(SEARCH("LIQUEUR",C2582)),"Liqueurs",
 ISNUMBER(SEARCH("CORDIAL",C2582)),"Liqueurs",
 ISNUMBER(SEARCH("SCHNAPP",C2582)),"Liqueurs",
 ISNUMBER(SEARCH("GIN",C2582)),"Gin",
 TRUE,"Other")</f>
        <v>Other</v>
      </c>
      <c r="E2582" s="5">
        <v>5255</v>
      </c>
      <c r="F2582" s="5">
        <v>63406.749999999978</v>
      </c>
      <c r="G2582" s="5"/>
      <c r="H2582" s="5">
        <v>100</v>
      </c>
    </row>
    <row r="2583" spans="1:8">
      <c r="A2583" s="5">
        <v>2025</v>
      </c>
      <c r="B2583" s="6">
        <v>45809</v>
      </c>
      <c r="C2583" s="5" t="s">
        <v>14</v>
      </c>
      <c r="D2583" s="3" t="str" cm="1">
        <f t="array" ref="D2583">_xlfn.IFS(
 ISNUMBER(SEARCH("WHISK",C2583)),"Whiskey",
 ISNUMBER(SEARCH("BOURBON",C2583)),"Whiskey",
 ISNUMBER(SEARCH("SCOTCH",C2583)),"Whiskey",
 ISNUMBER(SEARCH("RYE",C2583)),"Whiskey",
 ISNUMBER(SEARCH("VODKA",C2583)),"Vodka",
 ISNUMBER(SEARCH("TEQUILA",C2583)),"Tequila/Mezcal",
 ISNUMBER(SEARCH("MEZCAL",C2583)),"Tequila/Mezcal",
 ISNUMBER(SEARCH("RUM",C2583)),"Rum",
 ISNUMBER(SEARCH("BRAND",C2583)),"Brandy",
 ISNUMBER(SEARCH("COGNAC",C2583)),"Brandy",
 ISNUMBER(SEARCH("LIQUEUR",C2583)),"Liqueurs",
 ISNUMBER(SEARCH("CORDIAL",C2583)),"Liqueurs",
 ISNUMBER(SEARCH("SCHNAPP",C2583)),"Liqueurs",
 ISNUMBER(SEARCH("GIN",C2583)),"Gin",
 TRUE,"Other")</f>
        <v>Gin</v>
      </c>
      <c r="E2583" s="5">
        <v>247</v>
      </c>
      <c r="F2583" s="5">
        <v>2109.3799999999992</v>
      </c>
      <c r="G2583" s="5"/>
      <c r="H2583" s="5">
        <v>38</v>
      </c>
    </row>
    <row r="2584" spans="1:8">
      <c r="A2584" s="5">
        <v>2025</v>
      </c>
      <c r="B2584" s="6">
        <v>45962</v>
      </c>
      <c r="C2584" s="5" t="s">
        <v>23</v>
      </c>
      <c r="D2584" s="3" t="str" cm="1">
        <f t="array" ref="D2584">_xlfn.IFS(
 ISNUMBER(SEARCH("WHISK",C2584)),"Whiskey",
 ISNUMBER(SEARCH("BOURBON",C2584)),"Whiskey",
 ISNUMBER(SEARCH("SCOTCH",C2584)),"Whiskey",
 ISNUMBER(SEARCH("RYE",C2584)),"Whiskey",
 ISNUMBER(SEARCH("VODKA",C2584)),"Vodka",
 ISNUMBER(SEARCH("TEQUILA",C2584)),"Tequila/Mezcal",
 ISNUMBER(SEARCH("MEZCAL",C2584)),"Tequila/Mezcal",
 ISNUMBER(SEARCH("RUM",C2584)),"Rum",
 ISNUMBER(SEARCH("BRAND",C2584)),"Brandy",
 ISNUMBER(SEARCH("COGNAC",C2584)),"Brandy",
 ISNUMBER(SEARCH("LIQUEUR",C2584)),"Liqueurs",
 ISNUMBER(SEARCH("CORDIAL",C2584)),"Liqueurs",
 ISNUMBER(SEARCH("SCHNAPP",C2584)),"Liqueurs",
 ISNUMBER(SEARCH("GIN",C2584)),"Gin",
 TRUE,"Other")</f>
        <v>Gin</v>
      </c>
      <c r="E2584" s="5">
        <v>3277</v>
      </c>
      <c r="F2584" s="5">
        <v>84900</v>
      </c>
      <c r="G2584" s="5"/>
      <c r="H2584" s="5">
        <v>417</v>
      </c>
    </row>
    <row r="2585" spans="1:8">
      <c r="A2585" s="5">
        <v>2025</v>
      </c>
      <c r="B2585" s="6">
        <v>45962</v>
      </c>
      <c r="C2585" s="5" t="s">
        <v>45</v>
      </c>
      <c r="D2585" s="3" t="str" cm="1">
        <f t="array" ref="D2585">_xlfn.IFS(
 ISNUMBER(SEARCH("WHISK",C2585)),"Whiskey",
 ISNUMBER(SEARCH("BOURBON",C2585)),"Whiskey",
 ISNUMBER(SEARCH("SCOTCH",C2585)),"Whiskey",
 ISNUMBER(SEARCH("RYE",C2585)),"Whiskey",
 ISNUMBER(SEARCH("VODKA",C2585)),"Vodka",
 ISNUMBER(SEARCH("TEQUILA",C2585)),"Tequila/Mezcal",
 ISNUMBER(SEARCH("MEZCAL",C2585)),"Tequila/Mezcal",
 ISNUMBER(SEARCH("RUM",C2585)),"Rum",
 ISNUMBER(SEARCH("BRAND",C2585)),"Brandy",
 ISNUMBER(SEARCH("COGNAC",C2585)),"Brandy",
 ISNUMBER(SEARCH("LIQUEUR",C2585)),"Liqueurs",
 ISNUMBER(SEARCH("CORDIAL",C2585)),"Liqueurs",
 ISNUMBER(SEARCH("SCHNAPP",C2585)),"Liqueurs",
 ISNUMBER(SEARCH("GIN",C2585)),"Gin",
 TRUE,"Other")</f>
        <v>Other</v>
      </c>
      <c r="E2585" s="5">
        <v>48524</v>
      </c>
      <c r="F2585" s="5">
        <v>1487973</v>
      </c>
      <c r="G2585" s="5"/>
      <c r="H2585" s="5">
        <v>9187</v>
      </c>
    </row>
    <row r="2586" spans="1:8">
      <c r="A2586" s="5">
        <v>2025</v>
      </c>
      <c r="B2586" s="6">
        <v>45962</v>
      </c>
      <c r="C2586" s="5" t="s">
        <v>50</v>
      </c>
      <c r="D2586" s="3" t="str" cm="1">
        <f t="array" ref="D2586">_xlfn.IFS(
 ISNUMBER(SEARCH("WHISK",C2586)),"Whiskey",
 ISNUMBER(SEARCH("BOURBON",C2586)),"Whiskey",
 ISNUMBER(SEARCH("SCOTCH",C2586)),"Whiskey",
 ISNUMBER(SEARCH("RYE",C2586)),"Whiskey",
 ISNUMBER(SEARCH("VODKA",C2586)),"Vodka",
 ISNUMBER(SEARCH("TEQUILA",C2586)),"Tequila/Mezcal",
 ISNUMBER(SEARCH("MEZCAL",C2586)),"Tequila/Mezcal",
 ISNUMBER(SEARCH("RUM",C2586)),"Rum",
 ISNUMBER(SEARCH("BRAND",C2586)),"Brandy",
 ISNUMBER(SEARCH("COGNAC",C2586)),"Brandy",
 ISNUMBER(SEARCH("LIQUEUR",C2586)),"Liqueurs",
 ISNUMBER(SEARCH("CORDIAL",C2586)),"Liqueurs",
 ISNUMBER(SEARCH("SCHNAPP",C2586)),"Liqueurs",
 ISNUMBER(SEARCH("GIN",C2586)),"Gin",
 TRUE,"Other")</f>
        <v>Tequila/Mezcal</v>
      </c>
      <c r="E2586" s="5">
        <v>87880</v>
      </c>
      <c r="F2586" s="5">
        <v>2534273</v>
      </c>
      <c r="G2586" s="5"/>
      <c r="H2586" s="5">
        <v>10755</v>
      </c>
    </row>
    <row r="2587" spans="1:8">
      <c r="A2587" s="5">
        <v>2025</v>
      </c>
      <c r="B2587" s="6">
        <v>45962</v>
      </c>
      <c r="C2587" s="5" t="s">
        <v>7</v>
      </c>
      <c r="D2587" s="3" t="str" cm="1">
        <f t="array" ref="D2587">_xlfn.IFS(
 ISNUMBER(SEARCH("WHISK",C2587)),"Whiskey",
 ISNUMBER(SEARCH("BOURBON",C2587)),"Whiskey",
 ISNUMBER(SEARCH("SCOTCH",C2587)),"Whiskey",
 ISNUMBER(SEARCH("RYE",C2587)),"Whiskey",
 ISNUMBER(SEARCH("VODKA",C2587)),"Vodka",
 ISNUMBER(SEARCH("TEQUILA",C2587)),"Tequila/Mezcal",
 ISNUMBER(SEARCH("MEZCAL",C2587)),"Tequila/Mezcal",
 ISNUMBER(SEARCH("RUM",C2587)),"Rum",
 ISNUMBER(SEARCH("BRAND",C2587)),"Brandy",
 ISNUMBER(SEARCH("COGNAC",C2587)),"Brandy",
 ISNUMBER(SEARCH("LIQUEUR",C2587)),"Liqueurs",
 ISNUMBER(SEARCH("CORDIAL",C2587)),"Liqueurs",
 ISNUMBER(SEARCH("SCHNAPP",C2587)),"Liqueurs",
 ISNUMBER(SEARCH("GIN",C2587)),"Gin",
 TRUE,"Other")</f>
        <v>Rum</v>
      </c>
      <c r="E2587" s="5">
        <v>3000</v>
      </c>
      <c r="F2587" s="5">
        <v>63465</v>
      </c>
      <c r="G2587" s="5"/>
      <c r="H2587" s="5">
        <v>561</v>
      </c>
    </row>
    <row r="2588" spans="1:8">
      <c r="A2588" s="5">
        <v>2025</v>
      </c>
      <c r="B2588" s="6">
        <v>45962</v>
      </c>
      <c r="C2588" s="5" t="s">
        <v>9</v>
      </c>
      <c r="D2588" s="3" t="str" cm="1">
        <f t="array" ref="D2588">_xlfn.IFS(
 ISNUMBER(SEARCH("WHISK",C2588)),"Whiskey",
 ISNUMBER(SEARCH("BOURBON",C2588)),"Whiskey",
 ISNUMBER(SEARCH("SCOTCH",C2588)),"Whiskey",
 ISNUMBER(SEARCH("RYE",C2588)),"Whiskey",
 ISNUMBER(SEARCH("VODKA",C2588)),"Vodka",
 ISNUMBER(SEARCH("TEQUILA",C2588)),"Tequila/Mezcal",
 ISNUMBER(SEARCH("MEZCAL",C2588)),"Tequila/Mezcal",
 ISNUMBER(SEARCH("RUM",C2588)),"Rum",
 ISNUMBER(SEARCH("BRAND",C2588)),"Brandy",
 ISNUMBER(SEARCH("COGNAC",C2588)),"Brandy",
 ISNUMBER(SEARCH("LIQUEUR",C2588)),"Liqueurs",
 ISNUMBER(SEARCH("CORDIAL",C2588)),"Liqueurs",
 ISNUMBER(SEARCH("SCHNAPP",C2588)),"Liqueurs",
 ISNUMBER(SEARCH("GIN",C2588)),"Gin",
 TRUE,"Other")</f>
        <v>Liqueurs</v>
      </c>
      <c r="E2588" s="5">
        <v>33804</v>
      </c>
      <c r="F2588" s="5">
        <v>388768</v>
      </c>
      <c r="G2588" s="5"/>
      <c r="H2588" s="5">
        <v>5055</v>
      </c>
    </row>
    <row r="2589" spans="1:8">
      <c r="A2589" s="5">
        <v>2025</v>
      </c>
      <c r="B2589" s="6">
        <v>45962</v>
      </c>
      <c r="C2589" s="5" t="s">
        <v>10</v>
      </c>
      <c r="D2589" s="3" t="str" cm="1">
        <f t="array" ref="D2589">_xlfn.IFS(
 ISNUMBER(SEARCH("WHISK",C2589)),"Whiskey",
 ISNUMBER(SEARCH("BOURBON",C2589)),"Whiskey",
 ISNUMBER(SEARCH("SCOTCH",C2589)),"Whiskey",
 ISNUMBER(SEARCH("RYE",C2589)),"Whiskey",
 ISNUMBER(SEARCH("VODKA",C2589)),"Vodka",
 ISNUMBER(SEARCH("TEQUILA",C2589)),"Tequila/Mezcal",
 ISNUMBER(SEARCH("MEZCAL",C2589)),"Tequila/Mezcal",
 ISNUMBER(SEARCH("RUM",C2589)),"Rum",
 ISNUMBER(SEARCH("BRAND",C2589)),"Brandy",
 ISNUMBER(SEARCH("COGNAC",C2589)),"Brandy",
 ISNUMBER(SEARCH("LIQUEUR",C2589)),"Liqueurs",
 ISNUMBER(SEARCH("CORDIAL",C2589)),"Liqueurs",
 ISNUMBER(SEARCH("SCHNAPP",C2589)),"Liqueurs",
 ISNUMBER(SEARCH("GIN",C2589)),"Gin",
 TRUE,"Other")</f>
        <v>Other</v>
      </c>
      <c r="E2589" s="5">
        <v>3857</v>
      </c>
      <c r="F2589" s="5">
        <v>58567</v>
      </c>
      <c r="G2589" s="5"/>
      <c r="H2589" s="5">
        <v>415</v>
      </c>
    </row>
    <row r="2590" spans="1:8">
      <c r="A2590" s="5">
        <v>2025</v>
      </c>
      <c r="B2590" s="6">
        <v>45962</v>
      </c>
      <c r="C2590" s="5" t="s">
        <v>18</v>
      </c>
      <c r="D2590" s="3" t="str" cm="1">
        <f t="array" ref="D2590">_xlfn.IFS(
 ISNUMBER(SEARCH("WHISK",C2590)),"Whiskey",
 ISNUMBER(SEARCH("BOURBON",C2590)),"Whiskey",
 ISNUMBER(SEARCH("SCOTCH",C2590)),"Whiskey",
 ISNUMBER(SEARCH("RYE",C2590)),"Whiskey",
 ISNUMBER(SEARCH("VODKA",C2590)),"Vodka",
 ISNUMBER(SEARCH("TEQUILA",C2590)),"Tequila/Mezcal",
 ISNUMBER(SEARCH("MEZCAL",C2590)),"Tequila/Mezcal",
 ISNUMBER(SEARCH("RUM",C2590)),"Rum",
 ISNUMBER(SEARCH("BRAND",C2590)),"Brandy",
 ISNUMBER(SEARCH("COGNAC",C2590)),"Brandy",
 ISNUMBER(SEARCH("LIQUEUR",C2590)),"Liqueurs",
 ISNUMBER(SEARCH("CORDIAL",C2590)),"Liqueurs",
 ISNUMBER(SEARCH("SCHNAPP",C2590)),"Liqueurs",
 ISNUMBER(SEARCH("GIN",C2590)),"Gin",
 TRUE,"Other")</f>
        <v>Whiskey</v>
      </c>
      <c r="E2590" s="5">
        <v>186954</v>
      </c>
      <c r="F2590" s="5">
        <v>2849188</v>
      </c>
      <c r="G2590" s="5"/>
      <c r="H2590" s="5">
        <v>17050</v>
      </c>
    </row>
    <row r="2591" spans="1:8">
      <c r="A2591" s="5">
        <v>2025</v>
      </c>
      <c r="B2591" s="6">
        <v>45962</v>
      </c>
      <c r="C2591" s="5" t="s">
        <v>30</v>
      </c>
      <c r="D2591" s="3" t="str" cm="1">
        <f t="array" ref="D2591">_xlfn.IFS(
 ISNUMBER(SEARCH("WHISK",C2591)),"Whiskey",
 ISNUMBER(SEARCH("BOURBON",C2591)),"Whiskey",
 ISNUMBER(SEARCH("SCOTCH",C2591)),"Whiskey",
 ISNUMBER(SEARCH("RYE",C2591)),"Whiskey",
 ISNUMBER(SEARCH("VODKA",C2591)),"Vodka",
 ISNUMBER(SEARCH("TEQUILA",C2591)),"Tequila/Mezcal",
 ISNUMBER(SEARCH("MEZCAL",C2591)),"Tequila/Mezcal",
 ISNUMBER(SEARCH("RUM",C2591)),"Rum",
 ISNUMBER(SEARCH("BRAND",C2591)),"Brandy",
 ISNUMBER(SEARCH("COGNAC",C2591)),"Brandy",
 ISNUMBER(SEARCH("LIQUEUR",C2591)),"Liqueurs",
 ISNUMBER(SEARCH("CORDIAL",C2591)),"Liqueurs",
 ISNUMBER(SEARCH("SCHNAPP",C2591)),"Liqueurs",
 ISNUMBER(SEARCH("GIN",C2591)),"Gin",
 TRUE,"Other")</f>
        <v>Vodka</v>
      </c>
      <c r="E2591" s="5">
        <v>13118</v>
      </c>
      <c r="F2591" s="5">
        <v>209479</v>
      </c>
      <c r="G2591" s="5"/>
      <c r="H2591" s="5">
        <v>1587</v>
      </c>
    </row>
    <row r="2592" spans="1:8">
      <c r="A2592" s="5">
        <v>2025</v>
      </c>
      <c r="B2592" s="6">
        <v>45962</v>
      </c>
      <c r="C2592" s="5" t="s">
        <v>43</v>
      </c>
      <c r="D2592" s="3" t="str" cm="1">
        <f t="array" ref="D2592">_xlfn.IFS(
 ISNUMBER(SEARCH("WHISK",C2592)),"Whiskey",
 ISNUMBER(SEARCH("BOURBON",C2592)),"Whiskey",
 ISNUMBER(SEARCH("SCOTCH",C2592)),"Whiskey",
 ISNUMBER(SEARCH("RYE",C2592)),"Whiskey",
 ISNUMBER(SEARCH("VODKA",C2592)),"Vodka",
 ISNUMBER(SEARCH("TEQUILA",C2592)),"Tequila/Mezcal",
 ISNUMBER(SEARCH("MEZCAL",C2592)),"Tequila/Mezcal",
 ISNUMBER(SEARCH("RUM",C2592)),"Rum",
 ISNUMBER(SEARCH("BRAND",C2592)),"Brandy",
 ISNUMBER(SEARCH("COGNAC",C2592)),"Brandy",
 ISNUMBER(SEARCH("LIQUEUR",C2592)),"Liqueurs",
 ISNUMBER(SEARCH("CORDIAL",C2592)),"Liqueurs",
 ISNUMBER(SEARCH("SCHNAPP",C2592)),"Liqueurs",
 ISNUMBER(SEARCH("GIN",C2592)),"Gin",
 TRUE,"Other")</f>
        <v>Whiskey</v>
      </c>
      <c r="E2592" s="5">
        <v>133349</v>
      </c>
      <c r="F2592" s="5">
        <v>3155277</v>
      </c>
      <c r="G2592" s="5"/>
      <c r="H2592" s="5">
        <v>15532</v>
      </c>
    </row>
    <row r="2593" spans="1:8">
      <c r="A2593" s="5">
        <v>2025</v>
      </c>
      <c r="B2593" s="6">
        <v>45962</v>
      </c>
      <c r="C2593" s="5" t="s">
        <v>44</v>
      </c>
      <c r="D2593" s="3" t="str" cm="1">
        <f t="array" ref="D2593">_xlfn.IFS(
 ISNUMBER(SEARCH("WHISK",C2593)),"Whiskey",
 ISNUMBER(SEARCH("BOURBON",C2593)),"Whiskey",
 ISNUMBER(SEARCH("SCOTCH",C2593)),"Whiskey",
 ISNUMBER(SEARCH("RYE",C2593)),"Whiskey",
 ISNUMBER(SEARCH("VODKA",C2593)),"Vodka",
 ISNUMBER(SEARCH("TEQUILA",C2593)),"Tequila/Mezcal",
 ISNUMBER(SEARCH("MEZCAL",C2593)),"Tequila/Mezcal",
 ISNUMBER(SEARCH("RUM",C2593)),"Rum",
 ISNUMBER(SEARCH("BRAND",C2593)),"Brandy",
 ISNUMBER(SEARCH("COGNAC",C2593)),"Brandy",
 ISNUMBER(SEARCH("LIQUEUR",C2593)),"Liqueurs",
 ISNUMBER(SEARCH("CORDIAL",C2593)),"Liqueurs",
 ISNUMBER(SEARCH("SCHNAPP",C2593)),"Liqueurs",
 ISNUMBER(SEARCH("GIN",C2593)),"Gin",
 TRUE,"Other")</f>
        <v>Whiskey</v>
      </c>
      <c r="E2593" s="5">
        <v>7072</v>
      </c>
      <c r="F2593" s="5">
        <v>222070</v>
      </c>
      <c r="G2593" s="5"/>
      <c r="H2593" s="5">
        <v>1352</v>
      </c>
    </row>
    <row r="2594" spans="1:8">
      <c r="A2594" s="5">
        <v>2025</v>
      </c>
      <c r="B2594" s="6">
        <v>45962</v>
      </c>
      <c r="C2594" s="5" t="s">
        <v>48</v>
      </c>
      <c r="D2594" s="3" t="str" cm="1">
        <f t="array" ref="D2594">_xlfn.IFS(
 ISNUMBER(SEARCH("WHISK",C2594)),"Whiskey",
 ISNUMBER(SEARCH("BOURBON",C2594)),"Whiskey",
 ISNUMBER(SEARCH("SCOTCH",C2594)),"Whiskey",
 ISNUMBER(SEARCH("RYE",C2594)),"Whiskey",
 ISNUMBER(SEARCH("VODKA",C2594)),"Vodka",
 ISNUMBER(SEARCH("TEQUILA",C2594)),"Tequila/Mezcal",
 ISNUMBER(SEARCH("MEZCAL",C2594)),"Tequila/Mezcal",
 ISNUMBER(SEARCH("RUM",C2594)),"Rum",
 ISNUMBER(SEARCH("BRAND",C2594)),"Brandy",
 ISNUMBER(SEARCH("COGNAC",C2594)),"Brandy",
 ISNUMBER(SEARCH("LIQUEUR",C2594)),"Liqueurs",
 ISNUMBER(SEARCH("CORDIAL",C2594)),"Liqueurs",
 ISNUMBER(SEARCH("SCHNAPP",C2594)),"Liqueurs",
 ISNUMBER(SEARCH("GIN",C2594)),"Gin",
 TRUE,"Other")</f>
        <v>Whiskey</v>
      </c>
      <c r="E2594" s="5">
        <v>370952</v>
      </c>
      <c r="F2594" s="5">
        <v>2107225</v>
      </c>
      <c r="G2594" s="5"/>
      <c r="H2594" s="5">
        <v>13911</v>
      </c>
    </row>
    <row r="2595" spans="1:8">
      <c r="A2595" s="5">
        <v>2025</v>
      </c>
      <c r="B2595" s="6">
        <v>45962</v>
      </c>
      <c r="C2595" s="5" t="s">
        <v>15</v>
      </c>
      <c r="D2595" s="3" t="str" cm="1">
        <f t="array" ref="D2595">_xlfn.IFS(
 ISNUMBER(SEARCH("WHISK",C2595)),"Whiskey",
 ISNUMBER(SEARCH("BOURBON",C2595)),"Whiskey",
 ISNUMBER(SEARCH("SCOTCH",C2595)),"Whiskey",
 ISNUMBER(SEARCH("RYE",C2595)),"Whiskey",
 ISNUMBER(SEARCH("VODKA",C2595)),"Vodka",
 ISNUMBER(SEARCH("TEQUILA",C2595)),"Tequila/Mezcal",
 ISNUMBER(SEARCH("MEZCAL",C2595)),"Tequila/Mezcal",
 ISNUMBER(SEARCH("RUM",C2595)),"Rum",
 ISNUMBER(SEARCH("BRAND",C2595)),"Brandy",
 ISNUMBER(SEARCH("COGNAC",C2595)),"Brandy",
 ISNUMBER(SEARCH("LIQUEUR",C2595)),"Liqueurs",
 ISNUMBER(SEARCH("CORDIAL",C2595)),"Liqueurs",
 ISNUMBER(SEARCH("SCHNAPP",C2595)),"Liqueurs",
 ISNUMBER(SEARCH("GIN",C2595)),"Gin",
 TRUE,"Other")</f>
        <v>Vodka</v>
      </c>
      <c r="E2595" s="5">
        <v>529147</v>
      </c>
      <c r="F2595" s="5">
        <v>5569270</v>
      </c>
      <c r="G2595" s="5"/>
      <c r="H2595" s="5">
        <v>29944</v>
      </c>
    </row>
    <row r="2596" spans="1:8">
      <c r="A2596" s="5">
        <v>2025</v>
      </c>
      <c r="B2596" s="6">
        <v>45962</v>
      </c>
      <c r="C2596" s="5" t="s">
        <v>32</v>
      </c>
      <c r="D2596" s="3" t="str" cm="1">
        <f t="array" ref="D2596">_xlfn.IFS(
 ISNUMBER(SEARCH("WHISK",C2596)),"Whiskey",
 ISNUMBER(SEARCH("BOURBON",C2596)),"Whiskey",
 ISNUMBER(SEARCH("SCOTCH",C2596)),"Whiskey",
 ISNUMBER(SEARCH("RYE",C2596)),"Whiskey",
 ISNUMBER(SEARCH("VODKA",C2596)),"Vodka",
 ISNUMBER(SEARCH("TEQUILA",C2596)),"Tequila/Mezcal",
 ISNUMBER(SEARCH("MEZCAL",C2596)),"Tequila/Mezcal",
 ISNUMBER(SEARCH("RUM",C2596)),"Rum",
 ISNUMBER(SEARCH("BRAND",C2596)),"Brandy",
 ISNUMBER(SEARCH("COGNAC",C2596)),"Brandy",
 ISNUMBER(SEARCH("LIQUEUR",C2596)),"Liqueurs",
 ISNUMBER(SEARCH("CORDIAL",C2596)),"Liqueurs",
 ISNUMBER(SEARCH("SCHNAPP",C2596)),"Liqueurs",
 ISNUMBER(SEARCH("GIN",C2596)),"Gin",
 TRUE,"Other")</f>
        <v>Vodka</v>
      </c>
      <c r="E2596" s="5">
        <v>60267</v>
      </c>
      <c r="F2596" s="5">
        <v>953644</v>
      </c>
      <c r="G2596" s="5"/>
      <c r="H2596" s="5">
        <v>4122</v>
      </c>
    </row>
    <row r="2597" spans="1:8">
      <c r="A2597" s="5">
        <v>2025</v>
      </c>
      <c r="B2597" s="6">
        <v>45962</v>
      </c>
      <c r="C2597" s="5" t="s">
        <v>8</v>
      </c>
      <c r="D2597" s="3" t="str" cm="1">
        <f t="array" ref="D2597">_xlfn.IFS(
 ISNUMBER(SEARCH("WHISK",C2597)),"Whiskey",
 ISNUMBER(SEARCH("BOURBON",C2597)),"Whiskey",
 ISNUMBER(SEARCH("SCOTCH",C2597)),"Whiskey",
 ISNUMBER(SEARCH("RYE",C2597)),"Whiskey",
 ISNUMBER(SEARCH("VODKA",C2597)),"Vodka",
 ISNUMBER(SEARCH("TEQUILA",C2597)),"Tequila/Mezcal",
 ISNUMBER(SEARCH("MEZCAL",C2597)),"Tequila/Mezcal",
 ISNUMBER(SEARCH("RUM",C2597)),"Rum",
 ISNUMBER(SEARCH("BRAND",C2597)),"Brandy",
 ISNUMBER(SEARCH("COGNAC",C2597)),"Brandy",
 ISNUMBER(SEARCH("LIQUEUR",C2597)),"Liqueurs",
 ISNUMBER(SEARCH("CORDIAL",C2597)),"Liqueurs",
 ISNUMBER(SEARCH("SCHNAPP",C2597)),"Liqueurs",
 ISNUMBER(SEARCH("GIN",C2597)),"Gin",
 TRUE,"Other")</f>
        <v>Brandy</v>
      </c>
      <c r="E2597" s="5">
        <v>54816</v>
      </c>
      <c r="F2597" s="5">
        <v>353071</v>
      </c>
      <c r="G2597" s="5"/>
      <c r="H2597" s="5">
        <v>4214</v>
      </c>
    </row>
    <row r="2598" spans="1:8">
      <c r="A2598" s="5">
        <v>2025</v>
      </c>
      <c r="B2598" s="6">
        <v>45962</v>
      </c>
      <c r="C2598" s="5" t="s">
        <v>11</v>
      </c>
      <c r="D2598" s="3" t="str" cm="1">
        <f t="array" ref="D2598">_xlfn.IFS(
 ISNUMBER(SEARCH("WHISK",C2598)),"Whiskey",
 ISNUMBER(SEARCH("BOURBON",C2598)),"Whiskey",
 ISNUMBER(SEARCH("SCOTCH",C2598)),"Whiskey",
 ISNUMBER(SEARCH("RYE",C2598)),"Whiskey",
 ISNUMBER(SEARCH("VODKA",C2598)),"Vodka",
 ISNUMBER(SEARCH("TEQUILA",C2598)),"Tequila/Mezcal",
 ISNUMBER(SEARCH("MEZCAL",C2598)),"Tequila/Mezcal",
 ISNUMBER(SEARCH("RUM",C2598)),"Rum",
 ISNUMBER(SEARCH("BRAND",C2598)),"Brandy",
 ISNUMBER(SEARCH("COGNAC",C2598)),"Brandy",
 ISNUMBER(SEARCH("LIQUEUR",C2598)),"Liqueurs",
 ISNUMBER(SEARCH("CORDIAL",C2598)),"Liqueurs",
 ISNUMBER(SEARCH("SCHNAPP",C2598)),"Liqueurs",
 ISNUMBER(SEARCH("GIN",C2598)),"Gin",
 TRUE,"Other")</f>
        <v>Gin</v>
      </c>
      <c r="E2598" s="5">
        <v>22466</v>
      </c>
      <c r="F2598" s="5">
        <v>199103</v>
      </c>
      <c r="G2598" s="5"/>
      <c r="H2598" s="5">
        <v>2034</v>
      </c>
    </row>
    <row r="2599" spans="1:8">
      <c r="A2599" s="5">
        <v>2025</v>
      </c>
      <c r="B2599" s="6">
        <v>45962</v>
      </c>
      <c r="C2599" s="5" t="s">
        <v>12</v>
      </c>
      <c r="D2599" s="3" t="str" cm="1">
        <f t="array" ref="D2599">_xlfn.IFS(
 ISNUMBER(SEARCH("WHISK",C2599)),"Whiskey",
 ISNUMBER(SEARCH("BOURBON",C2599)),"Whiskey",
 ISNUMBER(SEARCH("SCOTCH",C2599)),"Whiskey",
 ISNUMBER(SEARCH("RYE",C2599)),"Whiskey",
 ISNUMBER(SEARCH("VODKA",C2599)),"Vodka",
 ISNUMBER(SEARCH("TEQUILA",C2599)),"Tequila/Mezcal",
 ISNUMBER(SEARCH("MEZCAL",C2599)),"Tequila/Mezcal",
 ISNUMBER(SEARCH("RUM",C2599)),"Rum",
 ISNUMBER(SEARCH("BRAND",C2599)),"Brandy",
 ISNUMBER(SEARCH("COGNAC",C2599)),"Brandy",
 ISNUMBER(SEARCH("LIQUEUR",C2599)),"Liqueurs",
 ISNUMBER(SEARCH("CORDIAL",C2599)),"Liqueurs",
 ISNUMBER(SEARCH("SCHNAPP",C2599)),"Liqueurs",
 ISNUMBER(SEARCH("GIN",C2599)),"Gin",
 TRUE,"Other")</f>
        <v>Vodka</v>
      </c>
      <c r="E2599" s="5">
        <v>67315</v>
      </c>
      <c r="F2599" s="5">
        <v>762536</v>
      </c>
      <c r="G2599" s="5"/>
      <c r="H2599" s="5">
        <v>7869</v>
      </c>
    </row>
    <row r="2600" spans="1:8">
      <c r="A2600" s="5">
        <v>2025</v>
      </c>
      <c r="B2600" s="6">
        <v>45962</v>
      </c>
      <c r="C2600" s="5" t="s">
        <v>13</v>
      </c>
      <c r="D2600" s="3" t="str" cm="1">
        <f t="array" ref="D2600">_xlfn.IFS(
 ISNUMBER(SEARCH("WHISK",C2600)),"Whiskey",
 ISNUMBER(SEARCH("BOURBON",C2600)),"Whiskey",
 ISNUMBER(SEARCH("SCOTCH",C2600)),"Whiskey",
 ISNUMBER(SEARCH("RYE",C2600)),"Whiskey",
 ISNUMBER(SEARCH("VODKA",C2600)),"Vodka",
 ISNUMBER(SEARCH("TEQUILA",C2600)),"Tequila/Mezcal",
 ISNUMBER(SEARCH("MEZCAL",C2600)),"Tequila/Mezcal",
 ISNUMBER(SEARCH("RUM",C2600)),"Rum",
 ISNUMBER(SEARCH("BRAND",C2600)),"Brandy",
 ISNUMBER(SEARCH("COGNAC",C2600)),"Brandy",
 ISNUMBER(SEARCH("LIQUEUR",C2600)),"Liqueurs",
 ISNUMBER(SEARCH("CORDIAL",C2600)),"Liqueurs",
 ISNUMBER(SEARCH("SCHNAPP",C2600)),"Liqueurs",
 ISNUMBER(SEARCH("GIN",C2600)),"Gin",
 TRUE,"Other")</f>
        <v>Liqueurs</v>
      </c>
      <c r="E2600" s="5">
        <v>96852</v>
      </c>
      <c r="F2600" s="5">
        <v>684017</v>
      </c>
      <c r="G2600" s="5"/>
      <c r="H2600" s="5">
        <v>7897</v>
      </c>
    </row>
    <row r="2601" spans="1:8">
      <c r="A2601" s="5">
        <v>2025</v>
      </c>
      <c r="B2601" s="6">
        <v>45962</v>
      </c>
      <c r="C2601" s="5" t="s">
        <v>14</v>
      </c>
      <c r="D2601" s="3" t="str" cm="1">
        <f t="array" ref="D2601">_xlfn.IFS(
 ISNUMBER(SEARCH("WHISK",C2601)),"Whiskey",
 ISNUMBER(SEARCH("BOURBON",C2601)),"Whiskey",
 ISNUMBER(SEARCH("SCOTCH",C2601)),"Whiskey",
 ISNUMBER(SEARCH("RYE",C2601)),"Whiskey",
 ISNUMBER(SEARCH("VODKA",C2601)),"Vodka",
 ISNUMBER(SEARCH("TEQUILA",C2601)),"Tequila/Mezcal",
 ISNUMBER(SEARCH("MEZCAL",C2601)),"Tequila/Mezcal",
 ISNUMBER(SEARCH("RUM",C2601)),"Rum",
 ISNUMBER(SEARCH("BRAND",C2601)),"Brandy",
 ISNUMBER(SEARCH("COGNAC",C2601)),"Brandy",
 ISNUMBER(SEARCH("LIQUEUR",C2601)),"Liqueurs",
 ISNUMBER(SEARCH("CORDIAL",C2601)),"Liqueurs",
 ISNUMBER(SEARCH("SCHNAPP",C2601)),"Liqueurs",
 ISNUMBER(SEARCH("GIN",C2601)),"Gin",
 TRUE,"Other")</f>
        <v>Gin</v>
      </c>
      <c r="E2601" s="5">
        <v>213</v>
      </c>
      <c r="F2601" s="5">
        <v>1805</v>
      </c>
      <c r="G2601" s="5"/>
      <c r="H2601" s="5">
        <v>40</v>
      </c>
    </row>
    <row r="2602" spans="1:8">
      <c r="A2602" s="5">
        <v>2025</v>
      </c>
      <c r="B2602" s="6">
        <v>45962</v>
      </c>
      <c r="C2602" s="5" t="s">
        <v>16</v>
      </c>
      <c r="D2602" s="3" t="str" cm="1">
        <f t="array" ref="D2602">_xlfn.IFS(
 ISNUMBER(SEARCH("WHISK",C2602)),"Whiskey",
 ISNUMBER(SEARCH("BOURBON",C2602)),"Whiskey",
 ISNUMBER(SEARCH("SCOTCH",C2602)),"Whiskey",
 ISNUMBER(SEARCH("RYE",C2602)),"Whiskey",
 ISNUMBER(SEARCH("VODKA",C2602)),"Vodka",
 ISNUMBER(SEARCH("TEQUILA",C2602)),"Tequila/Mezcal",
 ISNUMBER(SEARCH("MEZCAL",C2602)),"Tequila/Mezcal",
 ISNUMBER(SEARCH("RUM",C2602)),"Rum",
 ISNUMBER(SEARCH("BRAND",C2602)),"Brandy",
 ISNUMBER(SEARCH("COGNAC",C2602)),"Brandy",
 ISNUMBER(SEARCH("LIQUEUR",C2602)),"Liqueurs",
 ISNUMBER(SEARCH("CORDIAL",C2602)),"Liqueurs",
 ISNUMBER(SEARCH("SCHNAPP",C2602)),"Liqueurs",
 ISNUMBER(SEARCH("GIN",C2602)),"Gin",
 TRUE,"Other")</f>
        <v>Whiskey</v>
      </c>
      <c r="E2602" s="5">
        <v>59261</v>
      </c>
      <c r="F2602" s="5">
        <v>804745</v>
      </c>
      <c r="G2602" s="5"/>
      <c r="H2602" s="5">
        <v>6584</v>
      </c>
    </row>
    <row r="2603" spans="1:8">
      <c r="A2603" s="5">
        <v>2025</v>
      </c>
      <c r="B2603" s="6">
        <v>45962</v>
      </c>
      <c r="C2603" s="5" t="s">
        <v>19</v>
      </c>
      <c r="D2603" s="3" t="str" cm="1">
        <f t="array" ref="D2603">_xlfn.IFS(
 ISNUMBER(SEARCH("WHISK",C2603)),"Whiskey",
 ISNUMBER(SEARCH("BOURBON",C2603)),"Whiskey",
 ISNUMBER(SEARCH("SCOTCH",C2603)),"Whiskey",
 ISNUMBER(SEARCH("RYE",C2603)),"Whiskey",
 ISNUMBER(SEARCH("VODKA",C2603)),"Vodka",
 ISNUMBER(SEARCH("TEQUILA",C2603)),"Tequila/Mezcal",
 ISNUMBER(SEARCH("MEZCAL",C2603)),"Tequila/Mezcal",
 ISNUMBER(SEARCH("RUM",C2603)),"Rum",
 ISNUMBER(SEARCH("BRAND",C2603)),"Brandy",
 ISNUMBER(SEARCH("COGNAC",C2603)),"Brandy",
 ISNUMBER(SEARCH("LIQUEUR",C2603)),"Liqueurs",
 ISNUMBER(SEARCH("CORDIAL",C2603)),"Liqueurs",
 ISNUMBER(SEARCH("SCHNAPP",C2603)),"Liqueurs",
 ISNUMBER(SEARCH("GIN",C2603)),"Gin",
 TRUE,"Other")</f>
        <v>Other</v>
      </c>
      <c r="E2603" s="5">
        <v>43387</v>
      </c>
      <c r="F2603" s="5">
        <v>529571</v>
      </c>
      <c r="G2603" s="5"/>
      <c r="H2603" s="5">
        <v>5403</v>
      </c>
    </row>
    <row r="2604" spans="1:8">
      <c r="A2604" s="5">
        <v>2025</v>
      </c>
      <c r="B2604" s="6">
        <v>45962</v>
      </c>
      <c r="C2604" s="5" t="s">
        <v>20</v>
      </c>
      <c r="D2604" s="3" t="str" cm="1">
        <f t="array" ref="D2604">_xlfn.IFS(
 ISNUMBER(SEARCH("WHISK",C2604)),"Whiskey",
 ISNUMBER(SEARCH("BOURBON",C2604)),"Whiskey",
 ISNUMBER(SEARCH("SCOTCH",C2604)),"Whiskey",
 ISNUMBER(SEARCH("RYE",C2604)),"Whiskey",
 ISNUMBER(SEARCH("VODKA",C2604)),"Vodka",
 ISNUMBER(SEARCH("TEQUILA",C2604)),"Tequila/Mezcal",
 ISNUMBER(SEARCH("MEZCAL",C2604)),"Tequila/Mezcal",
 ISNUMBER(SEARCH("RUM",C2604)),"Rum",
 ISNUMBER(SEARCH("BRAND",C2604)),"Brandy",
 ISNUMBER(SEARCH("COGNAC",C2604)),"Brandy",
 ISNUMBER(SEARCH("LIQUEUR",C2604)),"Liqueurs",
 ISNUMBER(SEARCH("CORDIAL",C2604)),"Liqueurs",
 ISNUMBER(SEARCH("SCHNAPP",C2604)),"Liqueurs",
 ISNUMBER(SEARCH("GIN",C2604)),"Gin",
 TRUE,"Other")</f>
        <v>Liqueurs</v>
      </c>
      <c r="E2604" s="5">
        <v>10995</v>
      </c>
      <c r="F2604" s="5">
        <v>232762</v>
      </c>
      <c r="G2604" s="5"/>
      <c r="H2604" s="5">
        <v>1065</v>
      </c>
    </row>
    <row r="2605" spans="1:8">
      <c r="A2605" s="5">
        <v>2025</v>
      </c>
      <c r="B2605" s="6">
        <v>45962</v>
      </c>
      <c r="C2605" s="5" t="s">
        <v>22</v>
      </c>
      <c r="D2605" s="3" t="str" cm="1">
        <f t="array" ref="D2605">_xlfn.IFS(
 ISNUMBER(SEARCH("WHISK",C2605)),"Whiskey",
 ISNUMBER(SEARCH("BOURBON",C2605)),"Whiskey",
 ISNUMBER(SEARCH("SCOTCH",C2605)),"Whiskey",
 ISNUMBER(SEARCH("RYE",C2605)),"Whiskey",
 ISNUMBER(SEARCH("VODKA",C2605)),"Vodka",
 ISNUMBER(SEARCH("TEQUILA",C2605)),"Tequila/Mezcal",
 ISNUMBER(SEARCH("MEZCAL",C2605)),"Tequila/Mezcal",
 ISNUMBER(SEARCH("RUM",C2605)),"Rum",
 ISNUMBER(SEARCH("BRAND",C2605)),"Brandy",
 ISNUMBER(SEARCH("COGNAC",C2605)),"Brandy",
 ISNUMBER(SEARCH("LIQUEUR",C2605)),"Liqueurs",
 ISNUMBER(SEARCH("CORDIAL",C2605)),"Liqueurs",
 ISNUMBER(SEARCH("SCHNAPP",C2605)),"Liqueurs",
 ISNUMBER(SEARCH("GIN",C2605)),"Gin",
 TRUE,"Other")</f>
        <v>Liqueurs</v>
      </c>
      <c r="E2605" s="5">
        <v>36863</v>
      </c>
      <c r="F2605" s="5">
        <v>774246</v>
      </c>
      <c r="G2605" s="5"/>
      <c r="H2605" s="5">
        <v>3808</v>
      </c>
    </row>
    <row r="2606" spans="1:8">
      <c r="A2606" s="5">
        <v>2025</v>
      </c>
      <c r="B2606" s="6">
        <v>45962</v>
      </c>
      <c r="C2606" s="5" t="s">
        <v>24</v>
      </c>
      <c r="D2606" s="3" t="str" cm="1">
        <f t="array" ref="D2606">_xlfn.IFS(
 ISNUMBER(SEARCH("WHISK",C2606)),"Whiskey",
 ISNUMBER(SEARCH("BOURBON",C2606)),"Whiskey",
 ISNUMBER(SEARCH("SCOTCH",C2606)),"Whiskey",
 ISNUMBER(SEARCH("RYE",C2606)),"Whiskey",
 ISNUMBER(SEARCH("VODKA",C2606)),"Vodka",
 ISNUMBER(SEARCH("TEQUILA",C2606)),"Tequila/Mezcal",
 ISNUMBER(SEARCH("MEZCAL",C2606)),"Tequila/Mezcal",
 ISNUMBER(SEARCH("RUM",C2606)),"Rum",
 ISNUMBER(SEARCH("BRAND",C2606)),"Brandy",
 ISNUMBER(SEARCH("COGNAC",C2606)),"Brandy",
 ISNUMBER(SEARCH("LIQUEUR",C2606)),"Liqueurs",
 ISNUMBER(SEARCH("CORDIAL",C2606)),"Liqueurs",
 ISNUMBER(SEARCH("SCHNAPP",C2606)),"Liqueurs",
 ISNUMBER(SEARCH("GIN",C2606)),"Gin",
 TRUE,"Other")</f>
        <v>Rum</v>
      </c>
      <c r="E2606" s="5">
        <v>25422</v>
      </c>
      <c r="F2606" s="5">
        <v>384989</v>
      </c>
      <c r="G2606" s="5"/>
      <c r="H2606" s="5">
        <v>2740</v>
      </c>
    </row>
    <row r="2607" spans="1:8">
      <c r="A2607" s="5">
        <v>2025</v>
      </c>
      <c r="B2607" s="6">
        <v>45962</v>
      </c>
      <c r="C2607" s="5" t="s">
        <v>25</v>
      </c>
      <c r="D2607" s="3" t="str" cm="1">
        <f t="array" ref="D2607">_xlfn.IFS(
 ISNUMBER(SEARCH("WHISK",C2607)),"Whiskey",
 ISNUMBER(SEARCH("BOURBON",C2607)),"Whiskey",
 ISNUMBER(SEARCH("SCOTCH",C2607)),"Whiskey",
 ISNUMBER(SEARCH("RYE",C2607)),"Whiskey",
 ISNUMBER(SEARCH("VODKA",C2607)),"Vodka",
 ISNUMBER(SEARCH("TEQUILA",C2607)),"Tequila/Mezcal",
 ISNUMBER(SEARCH("MEZCAL",C2607)),"Tequila/Mezcal",
 ISNUMBER(SEARCH("RUM",C2607)),"Rum",
 ISNUMBER(SEARCH("BRAND",C2607)),"Brandy",
 ISNUMBER(SEARCH("COGNAC",C2607)),"Brandy",
 ISNUMBER(SEARCH("LIQUEUR",C2607)),"Liqueurs",
 ISNUMBER(SEARCH("CORDIAL",C2607)),"Liqueurs",
 ISNUMBER(SEARCH("SCHNAPP",C2607)),"Liqueurs",
 ISNUMBER(SEARCH("GIN",C2607)),"Gin",
 TRUE,"Other")</f>
        <v>Rum</v>
      </c>
      <c r="E2607" s="5">
        <v>5443</v>
      </c>
      <c r="F2607" s="5">
        <v>75921</v>
      </c>
      <c r="G2607" s="5"/>
      <c r="H2607" s="5">
        <v>771</v>
      </c>
    </row>
    <row r="2608" spans="1:8">
      <c r="A2608" s="5">
        <v>2025</v>
      </c>
      <c r="B2608" s="6">
        <v>45962</v>
      </c>
      <c r="C2608" s="5" t="s">
        <v>26</v>
      </c>
      <c r="D2608" s="3" t="str" cm="1">
        <f t="array" ref="D2608">_xlfn.IFS(
 ISNUMBER(SEARCH("WHISK",C2608)),"Whiskey",
 ISNUMBER(SEARCH("BOURBON",C2608)),"Whiskey",
 ISNUMBER(SEARCH("SCOTCH",C2608)),"Whiskey",
 ISNUMBER(SEARCH("RYE",C2608)),"Whiskey",
 ISNUMBER(SEARCH("VODKA",C2608)),"Vodka",
 ISNUMBER(SEARCH("TEQUILA",C2608)),"Tequila/Mezcal",
 ISNUMBER(SEARCH("MEZCAL",C2608)),"Tequila/Mezcal",
 ISNUMBER(SEARCH("RUM",C2608)),"Rum",
 ISNUMBER(SEARCH("BRAND",C2608)),"Brandy",
 ISNUMBER(SEARCH("COGNAC",C2608)),"Brandy",
 ISNUMBER(SEARCH("LIQUEUR",C2608)),"Liqueurs",
 ISNUMBER(SEARCH("CORDIAL",C2608)),"Liqueurs",
 ISNUMBER(SEARCH("SCHNAPP",C2608)),"Liqueurs",
 ISNUMBER(SEARCH("GIN",C2608)),"Gin",
 TRUE,"Other")</f>
        <v>Brandy</v>
      </c>
      <c r="E2608" s="5">
        <v>26678</v>
      </c>
      <c r="F2608" s="5">
        <v>616454</v>
      </c>
      <c r="G2608" s="5"/>
      <c r="H2608" s="5">
        <v>2628</v>
      </c>
    </row>
    <row r="2609" spans="1:8">
      <c r="A2609" s="5">
        <v>2025</v>
      </c>
      <c r="B2609" s="6">
        <v>45962</v>
      </c>
      <c r="C2609" s="5" t="s">
        <v>27</v>
      </c>
      <c r="D2609" s="3" t="str" cm="1">
        <f t="array" ref="D2609">_xlfn.IFS(
 ISNUMBER(SEARCH("WHISK",C2609)),"Whiskey",
 ISNUMBER(SEARCH("BOURBON",C2609)),"Whiskey",
 ISNUMBER(SEARCH("SCOTCH",C2609)),"Whiskey",
 ISNUMBER(SEARCH("RYE",C2609)),"Whiskey",
 ISNUMBER(SEARCH("VODKA",C2609)),"Vodka",
 ISNUMBER(SEARCH("TEQUILA",C2609)),"Tequila/Mezcal",
 ISNUMBER(SEARCH("MEZCAL",C2609)),"Tequila/Mezcal",
 ISNUMBER(SEARCH("RUM",C2609)),"Rum",
 ISNUMBER(SEARCH("BRAND",C2609)),"Brandy",
 ISNUMBER(SEARCH("COGNAC",C2609)),"Brandy",
 ISNUMBER(SEARCH("LIQUEUR",C2609)),"Liqueurs",
 ISNUMBER(SEARCH("CORDIAL",C2609)),"Liqueurs",
 ISNUMBER(SEARCH("SCHNAPP",C2609)),"Liqueurs",
 ISNUMBER(SEARCH("GIN",C2609)),"Gin",
 TRUE,"Other")</f>
        <v>Liqueurs</v>
      </c>
      <c r="E2609" s="5">
        <v>39552</v>
      </c>
      <c r="F2609" s="5">
        <v>931664</v>
      </c>
      <c r="G2609" s="5"/>
      <c r="H2609" s="5">
        <v>4730</v>
      </c>
    </row>
    <row r="2610" spans="1:8">
      <c r="A2610" s="5">
        <v>2025</v>
      </c>
      <c r="B2610" s="6">
        <v>45962</v>
      </c>
      <c r="C2610" s="5" t="s">
        <v>28</v>
      </c>
      <c r="D2610" s="3" t="str" cm="1">
        <f t="array" ref="D2610">_xlfn.IFS(
 ISNUMBER(SEARCH("WHISK",C2610)),"Whiskey",
 ISNUMBER(SEARCH("BOURBON",C2610)),"Whiskey",
 ISNUMBER(SEARCH("SCOTCH",C2610)),"Whiskey",
 ISNUMBER(SEARCH("RYE",C2610)),"Whiskey",
 ISNUMBER(SEARCH("VODKA",C2610)),"Vodka",
 ISNUMBER(SEARCH("TEQUILA",C2610)),"Tequila/Mezcal",
 ISNUMBER(SEARCH("MEZCAL",C2610)),"Tequila/Mezcal",
 ISNUMBER(SEARCH("RUM",C2610)),"Rum",
 ISNUMBER(SEARCH("BRAND",C2610)),"Brandy",
 ISNUMBER(SEARCH("COGNAC",C2610)),"Brandy",
 ISNUMBER(SEARCH("LIQUEUR",C2610)),"Liqueurs",
 ISNUMBER(SEARCH("CORDIAL",C2610)),"Liqueurs",
 ISNUMBER(SEARCH("SCHNAPP",C2610)),"Liqueurs",
 ISNUMBER(SEARCH("GIN",C2610)),"Gin",
 TRUE,"Other")</f>
        <v>Other</v>
      </c>
      <c r="E2610" s="5">
        <v>32743</v>
      </c>
      <c r="F2610" s="5">
        <v>237271</v>
      </c>
      <c r="G2610" s="5"/>
      <c r="H2610" s="5">
        <v>816</v>
      </c>
    </row>
    <row r="2611" spans="1:8">
      <c r="A2611" s="5">
        <v>2025</v>
      </c>
      <c r="B2611" s="6">
        <v>45962</v>
      </c>
      <c r="C2611" s="5" t="s">
        <v>31</v>
      </c>
      <c r="D2611" s="3" t="str" cm="1">
        <f t="array" ref="D2611">_xlfn.IFS(
 ISNUMBER(SEARCH("WHISK",C2611)),"Whiskey",
 ISNUMBER(SEARCH("BOURBON",C2611)),"Whiskey",
 ISNUMBER(SEARCH("SCOTCH",C2611)),"Whiskey",
 ISNUMBER(SEARCH("RYE",C2611)),"Whiskey",
 ISNUMBER(SEARCH("VODKA",C2611)),"Vodka",
 ISNUMBER(SEARCH("TEQUILA",C2611)),"Tequila/Mezcal",
 ISNUMBER(SEARCH("MEZCAL",C2611)),"Tequila/Mezcal",
 ISNUMBER(SEARCH("RUM",C2611)),"Rum",
 ISNUMBER(SEARCH("BRAND",C2611)),"Brandy",
 ISNUMBER(SEARCH("COGNAC",C2611)),"Brandy",
 ISNUMBER(SEARCH("LIQUEUR",C2611)),"Liqueurs",
 ISNUMBER(SEARCH("CORDIAL",C2611)),"Liqueurs",
 ISNUMBER(SEARCH("SCHNAPP",C2611)),"Liqueurs",
 ISNUMBER(SEARCH("GIN",C2611)),"Gin",
 TRUE,"Other")</f>
        <v>Liqueurs</v>
      </c>
      <c r="E2611" s="5">
        <v>24778</v>
      </c>
      <c r="F2611" s="5">
        <v>442595</v>
      </c>
      <c r="G2611" s="5"/>
      <c r="H2611" s="5">
        <v>2285</v>
      </c>
    </row>
    <row r="2612" spans="1:8">
      <c r="A2612" s="5">
        <v>2025</v>
      </c>
      <c r="B2612" s="6">
        <v>45962</v>
      </c>
      <c r="C2612" s="5" t="s">
        <v>33</v>
      </c>
      <c r="D2612" s="3" t="str" cm="1">
        <f t="array" ref="D2612">_xlfn.IFS(
 ISNUMBER(SEARCH("WHISK",C2612)),"Whiskey",
 ISNUMBER(SEARCH("BOURBON",C2612)),"Whiskey",
 ISNUMBER(SEARCH("SCOTCH",C2612)),"Whiskey",
 ISNUMBER(SEARCH("RYE",C2612)),"Whiskey",
 ISNUMBER(SEARCH("VODKA",C2612)),"Vodka",
 ISNUMBER(SEARCH("TEQUILA",C2612)),"Tequila/Mezcal",
 ISNUMBER(SEARCH("MEZCAL",C2612)),"Tequila/Mezcal",
 ISNUMBER(SEARCH("RUM",C2612)),"Rum",
 ISNUMBER(SEARCH("BRAND",C2612)),"Brandy",
 ISNUMBER(SEARCH("COGNAC",C2612)),"Brandy",
 ISNUMBER(SEARCH("LIQUEUR",C2612)),"Liqueurs",
 ISNUMBER(SEARCH("CORDIAL",C2612)),"Liqueurs",
 ISNUMBER(SEARCH("SCHNAPP",C2612)),"Liqueurs",
 ISNUMBER(SEARCH("GIN",C2612)),"Gin",
 TRUE,"Other")</f>
        <v>Whiskey</v>
      </c>
      <c r="E2612" s="5">
        <v>26954</v>
      </c>
      <c r="F2612" s="5">
        <v>731132</v>
      </c>
      <c r="G2612" s="5"/>
      <c r="H2612" s="5">
        <v>2339</v>
      </c>
    </row>
    <row r="2613" spans="1:8">
      <c r="A2613" s="5">
        <v>2025</v>
      </c>
      <c r="B2613" s="6">
        <v>45962</v>
      </c>
      <c r="C2613" s="5" t="s">
        <v>35</v>
      </c>
      <c r="D2613" s="3" t="str" cm="1">
        <f t="array" ref="D2613">_xlfn.IFS(
 ISNUMBER(SEARCH("WHISK",C2613)),"Whiskey",
 ISNUMBER(SEARCH("BOURBON",C2613)),"Whiskey",
 ISNUMBER(SEARCH("SCOTCH",C2613)),"Whiskey",
 ISNUMBER(SEARCH("RYE",C2613)),"Whiskey",
 ISNUMBER(SEARCH("VODKA",C2613)),"Vodka",
 ISNUMBER(SEARCH("TEQUILA",C2613)),"Tequila/Mezcal",
 ISNUMBER(SEARCH("MEZCAL",C2613)),"Tequila/Mezcal",
 ISNUMBER(SEARCH("RUM",C2613)),"Rum",
 ISNUMBER(SEARCH("BRAND",C2613)),"Brandy",
 ISNUMBER(SEARCH("COGNAC",C2613)),"Brandy",
 ISNUMBER(SEARCH("LIQUEUR",C2613)),"Liqueurs",
 ISNUMBER(SEARCH("CORDIAL",C2613)),"Liqueurs",
 ISNUMBER(SEARCH("SCHNAPP",C2613)),"Liqueurs",
 ISNUMBER(SEARCH("GIN",C2613)),"Gin",
 TRUE,"Other")</f>
        <v>Tequila/Mezcal</v>
      </c>
      <c r="E2613" s="5">
        <v>51092</v>
      </c>
      <c r="F2613" s="5">
        <v>679864</v>
      </c>
      <c r="G2613" s="5"/>
      <c r="H2613" s="5">
        <v>3774</v>
      </c>
    </row>
    <row r="2614" spans="1:8">
      <c r="A2614" s="5">
        <v>2025</v>
      </c>
      <c r="B2614" s="6">
        <v>45962</v>
      </c>
      <c r="C2614" s="5" t="s">
        <v>36</v>
      </c>
      <c r="D2614" s="3" t="str" cm="1">
        <f t="array" ref="D2614">_xlfn.IFS(
 ISNUMBER(SEARCH("WHISK",C2614)),"Whiskey",
 ISNUMBER(SEARCH("BOURBON",C2614)),"Whiskey",
 ISNUMBER(SEARCH("SCOTCH",C2614)),"Whiskey",
 ISNUMBER(SEARCH("RYE",C2614)),"Whiskey",
 ISNUMBER(SEARCH("VODKA",C2614)),"Vodka",
 ISNUMBER(SEARCH("TEQUILA",C2614)),"Tequila/Mezcal",
 ISNUMBER(SEARCH("MEZCAL",C2614)),"Tequila/Mezcal",
 ISNUMBER(SEARCH("RUM",C2614)),"Rum",
 ISNUMBER(SEARCH("BRAND",C2614)),"Brandy",
 ISNUMBER(SEARCH("COGNAC",C2614)),"Brandy",
 ISNUMBER(SEARCH("LIQUEUR",C2614)),"Liqueurs",
 ISNUMBER(SEARCH("CORDIAL",C2614)),"Liqueurs",
 ISNUMBER(SEARCH("SCHNAPP",C2614)),"Liqueurs",
 ISNUMBER(SEARCH("GIN",C2614)),"Gin",
 TRUE,"Other")</f>
        <v>Other</v>
      </c>
      <c r="E2614" s="5">
        <v>3569</v>
      </c>
      <c r="F2614" s="5">
        <v>51302</v>
      </c>
      <c r="G2614" s="5"/>
      <c r="H2614" s="5">
        <v>435</v>
      </c>
    </row>
    <row r="2615" spans="1:8">
      <c r="A2615" s="5">
        <v>2025</v>
      </c>
      <c r="B2615" s="6">
        <v>45962</v>
      </c>
      <c r="C2615" s="5" t="s">
        <v>37</v>
      </c>
      <c r="D2615" s="3" t="str" cm="1">
        <f t="array" ref="D2615">_xlfn.IFS(
 ISNUMBER(SEARCH("WHISK",C2615)),"Whiskey",
 ISNUMBER(SEARCH("BOURBON",C2615)),"Whiskey",
 ISNUMBER(SEARCH("SCOTCH",C2615)),"Whiskey",
 ISNUMBER(SEARCH("RYE",C2615)),"Whiskey",
 ISNUMBER(SEARCH("VODKA",C2615)),"Vodka",
 ISNUMBER(SEARCH("TEQUILA",C2615)),"Tequila/Mezcal",
 ISNUMBER(SEARCH("MEZCAL",C2615)),"Tequila/Mezcal",
 ISNUMBER(SEARCH("RUM",C2615)),"Rum",
 ISNUMBER(SEARCH("BRAND",C2615)),"Brandy",
 ISNUMBER(SEARCH("COGNAC",C2615)),"Brandy",
 ISNUMBER(SEARCH("LIQUEUR",C2615)),"Liqueurs",
 ISNUMBER(SEARCH("CORDIAL",C2615)),"Liqueurs",
 ISNUMBER(SEARCH("SCHNAPP",C2615)),"Liqueurs",
 ISNUMBER(SEARCH("GIN",C2615)),"Gin",
 TRUE,"Other")</f>
        <v>Other</v>
      </c>
      <c r="E2615" s="5">
        <v>12604</v>
      </c>
      <c r="F2615" s="5">
        <v>213143</v>
      </c>
      <c r="G2615" s="5"/>
      <c r="H2615" s="5">
        <v>2429</v>
      </c>
    </row>
    <row r="2616" spans="1:8">
      <c r="A2616" s="5">
        <v>2025</v>
      </c>
      <c r="B2616" s="6">
        <v>45962</v>
      </c>
      <c r="C2616" s="5" t="s">
        <v>38</v>
      </c>
      <c r="D2616" s="3" t="str" cm="1">
        <f t="array" ref="D2616">_xlfn.IFS(
 ISNUMBER(SEARCH("WHISK",C2616)),"Whiskey",
 ISNUMBER(SEARCH("BOURBON",C2616)),"Whiskey",
 ISNUMBER(SEARCH("SCOTCH",C2616)),"Whiskey",
 ISNUMBER(SEARCH("RYE",C2616)),"Whiskey",
 ISNUMBER(SEARCH("VODKA",C2616)),"Vodka",
 ISNUMBER(SEARCH("TEQUILA",C2616)),"Tequila/Mezcal",
 ISNUMBER(SEARCH("MEZCAL",C2616)),"Tequila/Mezcal",
 ISNUMBER(SEARCH("RUM",C2616)),"Rum",
 ISNUMBER(SEARCH("BRAND",C2616)),"Brandy",
 ISNUMBER(SEARCH("COGNAC",C2616)),"Brandy",
 ISNUMBER(SEARCH("LIQUEUR",C2616)),"Liqueurs",
 ISNUMBER(SEARCH("CORDIAL",C2616)),"Liqueurs",
 ISNUMBER(SEARCH("SCHNAPP",C2616)),"Liqueurs",
 ISNUMBER(SEARCH("GIN",C2616)),"Gin",
 TRUE,"Other")</f>
        <v>Whiskey</v>
      </c>
      <c r="E2616" s="5">
        <v>14455</v>
      </c>
      <c r="F2616" s="5">
        <v>430126</v>
      </c>
      <c r="G2616" s="5"/>
      <c r="H2616" s="5">
        <v>2535</v>
      </c>
    </row>
    <row r="2617" spans="1:8">
      <c r="A2617" s="5">
        <v>2025</v>
      </c>
      <c r="B2617" s="6">
        <v>45962</v>
      </c>
      <c r="C2617" s="5" t="s">
        <v>40</v>
      </c>
      <c r="D2617" s="3" t="str" cm="1">
        <f t="array" ref="D2617">_xlfn.IFS(
 ISNUMBER(SEARCH("WHISK",C2617)),"Whiskey",
 ISNUMBER(SEARCH("BOURBON",C2617)),"Whiskey",
 ISNUMBER(SEARCH("SCOTCH",C2617)),"Whiskey",
 ISNUMBER(SEARCH("RYE",C2617)),"Whiskey",
 ISNUMBER(SEARCH("VODKA",C2617)),"Vodka",
 ISNUMBER(SEARCH("TEQUILA",C2617)),"Tequila/Mezcal",
 ISNUMBER(SEARCH("MEZCAL",C2617)),"Tequila/Mezcal",
 ISNUMBER(SEARCH("RUM",C2617)),"Rum",
 ISNUMBER(SEARCH("BRAND",C2617)),"Brandy",
 ISNUMBER(SEARCH("COGNAC",C2617)),"Brandy",
 ISNUMBER(SEARCH("LIQUEUR",C2617)),"Liqueurs",
 ISNUMBER(SEARCH("CORDIAL",C2617)),"Liqueurs",
 ISNUMBER(SEARCH("SCHNAPP",C2617)),"Liqueurs",
 ISNUMBER(SEARCH("GIN",C2617)),"Gin",
 TRUE,"Other")</f>
        <v>Whiskey</v>
      </c>
      <c r="E2617" s="5">
        <v>4737</v>
      </c>
      <c r="F2617" s="5">
        <v>269329</v>
      </c>
      <c r="G2617" s="5"/>
      <c r="H2617" s="5">
        <v>1277</v>
      </c>
    </row>
    <row r="2618" spans="1:8">
      <c r="A2618" s="5">
        <v>2025</v>
      </c>
      <c r="B2618" s="6">
        <v>45962</v>
      </c>
      <c r="C2618" s="5" t="s">
        <v>42</v>
      </c>
      <c r="D2618" s="3" t="str" cm="1">
        <f t="array" ref="D2618">_xlfn.IFS(
 ISNUMBER(SEARCH("WHISK",C2618)),"Whiskey",
 ISNUMBER(SEARCH("BOURBON",C2618)),"Whiskey",
 ISNUMBER(SEARCH("SCOTCH",C2618)),"Whiskey",
 ISNUMBER(SEARCH("RYE",C2618)),"Whiskey",
 ISNUMBER(SEARCH("VODKA",C2618)),"Vodka",
 ISNUMBER(SEARCH("TEQUILA",C2618)),"Tequila/Mezcal",
 ISNUMBER(SEARCH("MEZCAL",C2618)),"Tequila/Mezcal",
 ISNUMBER(SEARCH("RUM",C2618)),"Rum",
 ISNUMBER(SEARCH("BRAND",C2618)),"Brandy",
 ISNUMBER(SEARCH("COGNAC",C2618)),"Brandy",
 ISNUMBER(SEARCH("LIQUEUR",C2618)),"Liqueurs",
 ISNUMBER(SEARCH("CORDIAL",C2618)),"Liqueurs",
 ISNUMBER(SEARCH("SCHNAPP",C2618)),"Liqueurs",
 ISNUMBER(SEARCH("GIN",C2618)),"Gin",
 TRUE,"Other")</f>
        <v>Rum</v>
      </c>
      <c r="E2618" s="5">
        <v>155377</v>
      </c>
      <c r="F2618" s="5">
        <v>3168286</v>
      </c>
      <c r="G2618" s="5"/>
      <c r="H2618" s="5">
        <v>6404</v>
      </c>
    </row>
    <row r="2619" spans="1:8">
      <c r="A2619" s="5">
        <v>2025</v>
      </c>
      <c r="B2619" s="6">
        <v>45962</v>
      </c>
      <c r="C2619" s="5" t="s">
        <v>46</v>
      </c>
      <c r="D2619" s="3" t="str" cm="1">
        <f t="array" ref="D2619">_xlfn.IFS(
 ISNUMBER(SEARCH("WHISK",C2619)),"Whiskey",
 ISNUMBER(SEARCH("BOURBON",C2619)),"Whiskey",
 ISNUMBER(SEARCH("SCOTCH",C2619)),"Whiskey",
 ISNUMBER(SEARCH("RYE",C2619)),"Whiskey",
 ISNUMBER(SEARCH("VODKA",C2619)),"Vodka",
 ISNUMBER(SEARCH("TEQUILA",C2619)),"Tequila/Mezcal",
 ISNUMBER(SEARCH("MEZCAL",C2619)),"Tequila/Mezcal",
 ISNUMBER(SEARCH("RUM",C2619)),"Rum",
 ISNUMBER(SEARCH("BRAND",C2619)),"Brandy",
 ISNUMBER(SEARCH("COGNAC",C2619)),"Brandy",
 ISNUMBER(SEARCH("LIQUEUR",C2619)),"Liqueurs",
 ISNUMBER(SEARCH("CORDIAL",C2619)),"Liqueurs",
 ISNUMBER(SEARCH("SCHNAPP",C2619)),"Liqueurs",
 ISNUMBER(SEARCH("GIN",C2619)),"Gin",
 TRUE,"Other")</f>
        <v>Whiskey</v>
      </c>
      <c r="E2619" s="5">
        <v>59021</v>
      </c>
      <c r="F2619" s="5">
        <v>1338711</v>
      </c>
      <c r="G2619" s="5"/>
      <c r="H2619" s="5">
        <v>6587</v>
      </c>
    </row>
    <row r="2620" spans="1:8">
      <c r="A2620" s="5">
        <v>2025</v>
      </c>
      <c r="B2620" s="6">
        <v>45962</v>
      </c>
      <c r="C2620" s="5" t="s">
        <v>49</v>
      </c>
      <c r="D2620" s="3" t="str" cm="1">
        <f t="array" ref="D2620">_xlfn.IFS(
 ISNUMBER(SEARCH("WHISK",C2620)),"Whiskey",
 ISNUMBER(SEARCH("BOURBON",C2620)),"Whiskey",
 ISNUMBER(SEARCH("SCOTCH",C2620)),"Whiskey",
 ISNUMBER(SEARCH("RYE",C2620)),"Whiskey",
 ISNUMBER(SEARCH("VODKA",C2620)),"Vodka",
 ISNUMBER(SEARCH("TEQUILA",C2620)),"Tequila/Mezcal",
 ISNUMBER(SEARCH("MEZCAL",C2620)),"Tequila/Mezcal",
 ISNUMBER(SEARCH("RUM",C2620)),"Rum",
 ISNUMBER(SEARCH("BRAND",C2620)),"Brandy",
 ISNUMBER(SEARCH("COGNAC",C2620)),"Brandy",
 ISNUMBER(SEARCH("LIQUEUR",C2620)),"Liqueurs",
 ISNUMBER(SEARCH("CORDIAL",C2620)),"Liqueurs",
 ISNUMBER(SEARCH("SCHNAPP",C2620)),"Liqueurs",
 ISNUMBER(SEARCH("GIN",C2620)),"Gin",
 TRUE,"Other")</f>
        <v>Rum</v>
      </c>
      <c r="E2620" s="5">
        <v>32797</v>
      </c>
      <c r="F2620" s="5">
        <v>400115</v>
      </c>
      <c r="G2620" s="5"/>
      <c r="H2620" s="5">
        <v>2948</v>
      </c>
    </row>
    <row r="2621" spans="1:8">
      <c r="A2621" s="5">
        <v>2025</v>
      </c>
      <c r="B2621" s="6">
        <v>45962</v>
      </c>
      <c r="C2621" s="5" t="s">
        <v>29</v>
      </c>
      <c r="D2621" s="3" t="str" cm="1">
        <f t="array" ref="D2621">_xlfn.IFS(
 ISNUMBER(SEARCH("WHISK",C2621)),"Whiskey",
 ISNUMBER(SEARCH("BOURBON",C2621)),"Whiskey",
 ISNUMBER(SEARCH("SCOTCH",C2621)),"Whiskey",
 ISNUMBER(SEARCH("RYE",C2621)),"Whiskey",
 ISNUMBER(SEARCH("VODKA",C2621)),"Vodka",
 ISNUMBER(SEARCH("TEQUILA",C2621)),"Tequila/Mezcal",
 ISNUMBER(SEARCH("MEZCAL",C2621)),"Tequila/Mezcal",
 ISNUMBER(SEARCH("RUM",C2621)),"Rum",
 ISNUMBER(SEARCH("BRAND",C2621)),"Brandy",
 ISNUMBER(SEARCH("COGNAC",C2621)),"Brandy",
 ISNUMBER(SEARCH("LIQUEUR",C2621)),"Liqueurs",
 ISNUMBER(SEARCH("CORDIAL",C2621)),"Liqueurs",
 ISNUMBER(SEARCH("SCHNAPP",C2621)),"Liqueurs",
 ISNUMBER(SEARCH("GIN",C2621)),"Gin",
 TRUE,"Other")</f>
        <v>Gin</v>
      </c>
      <c r="E2621" s="5">
        <v>11192</v>
      </c>
      <c r="F2621" s="5">
        <v>286611</v>
      </c>
      <c r="G2621" s="5"/>
      <c r="H2621" s="5">
        <v>1433</v>
      </c>
    </row>
    <row r="2622" spans="1:8">
      <c r="A2622" s="5">
        <v>2025</v>
      </c>
      <c r="B2622" s="6">
        <v>45962</v>
      </c>
      <c r="C2622" s="5" t="s">
        <v>39</v>
      </c>
      <c r="D2622" s="3" t="str" cm="1">
        <f t="array" ref="D2622">_xlfn.IFS(
 ISNUMBER(SEARCH("WHISK",C2622)),"Whiskey",
 ISNUMBER(SEARCH("BOURBON",C2622)),"Whiskey",
 ISNUMBER(SEARCH("SCOTCH",C2622)),"Whiskey",
 ISNUMBER(SEARCH("RYE",C2622)),"Whiskey",
 ISNUMBER(SEARCH("VODKA",C2622)),"Vodka",
 ISNUMBER(SEARCH("TEQUILA",C2622)),"Tequila/Mezcal",
 ISNUMBER(SEARCH("MEZCAL",C2622)),"Tequila/Mezcal",
 ISNUMBER(SEARCH("RUM",C2622)),"Rum",
 ISNUMBER(SEARCH("BRAND",C2622)),"Brandy",
 ISNUMBER(SEARCH("COGNAC",C2622)),"Brandy",
 ISNUMBER(SEARCH("LIQUEUR",C2622)),"Liqueurs",
 ISNUMBER(SEARCH("CORDIAL",C2622)),"Liqueurs",
 ISNUMBER(SEARCH("SCHNAPP",C2622)),"Liqueurs",
 ISNUMBER(SEARCH("GIN",C2622)),"Gin",
 TRUE,"Other")</f>
        <v>Whiskey</v>
      </c>
      <c r="E2622" s="5">
        <v>3426</v>
      </c>
      <c r="F2622" s="5">
        <v>135932</v>
      </c>
      <c r="G2622" s="5"/>
      <c r="H2622" s="5">
        <v>831</v>
      </c>
    </row>
    <row r="2623" spans="1:8">
      <c r="A2623" s="5">
        <v>2025</v>
      </c>
      <c r="B2623" s="6">
        <v>45962</v>
      </c>
      <c r="C2623" s="5" t="s">
        <v>47</v>
      </c>
      <c r="D2623" s="3" t="str" cm="1">
        <f t="array" ref="D2623">_xlfn.IFS(
 ISNUMBER(SEARCH("WHISK",C2623)),"Whiskey",
 ISNUMBER(SEARCH("BOURBON",C2623)),"Whiskey",
 ISNUMBER(SEARCH("SCOTCH",C2623)),"Whiskey",
 ISNUMBER(SEARCH("RYE",C2623)),"Whiskey",
 ISNUMBER(SEARCH("VODKA",C2623)),"Vodka",
 ISNUMBER(SEARCH("TEQUILA",C2623)),"Tequila/Mezcal",
 ISNUMBER(SEARCH("MEZCAL",C2623)),"Tequila/Mezcal",
 ISNUMBER(SEARCH("RUM",C2623)),"Rum",
 ISNUMBER(SEARCH("BRAND",C2623)),"Brandy",
 ISNUMBER(SEARCH("COGNAC",C2623)),"Brandy",
 ISNUMBER(SEARCH("LIQUEUR",C2623)),"Liqueurs",
 ISNUMBER(SEARCH("CORDIAL",C2623)),"Liqueurs",
 ISNUMBER(SEARCH("SCHNAPP",C2623)),"Liqueurs",
 ISNUMBER(SEARCH("GIN",C2623)),"Gin",
 TRUE,"Other")</f>
        <v>Other</v>
      </c>
      <c r="E2623" s="5">
        <v>13150</v>
      </c>
      <c r="F2623" s="5">
        <v>55032</v>
      </c>
      <c r="G2623" s="5"/>
      <c r="H2623" s="5">
        <v>529</v>
      </c>
    </row>
    <row r="2624" spans="1:8">
      <c r="A2624" s="5">
        <v>2025</v>
      </c>
      <c r="B2624" s="6">
        <v>45962</v>
      </c>
      <c r="C2624" s="5" t="s">
        <v>17</v>
      </c>
      <c r="D2624" s="3" t="str" cm="1">
        <f t="array" ref="D2624">_xlfn.IFS(
 ISNUMBER(SEARCH("WHISK",C2624)),"Whiskey",
 ISNUMBER(SEARCH("BOURBON",C2624)),"Whiskey",
 ISNUMBER(SEARCH("SCOTCH",C2624)),"Whiskey",
 ISNUMBER(SEARCH("RYE",C2624)),"Whiskey",
 ISNUMBER(SEARCH("VODKA",C2624)),"Vodka",
 ISNUMBER(SEARCH("TEQUILA",C2624)),"Tequila/Mezcal",
 ISNUMBER(SEARCH("MEZCAL",C2624)),"Tequila/Mezcal",
 ISNUMBER(SEARCH("RUM",C2624)),"Rum",
 ISNUMBER(SEARCH("BRAND",C2624)),"Brandy",
 ISNUMBER(SEARCH("COGNAC",C2624)),"Brandy",
 ISNUMBER(SEARCH("LIQUEUR",C2624)),"Liqueurs",
 ISNUMBER(SEARCH("CORDIAL",C2624)),"Liqueurs",
 ISNUMBER(SEARCH("SCHNAPP",C2624)),"Liqueurs",
 ISNUMBER(SEARCH("GIN",C2624)),"Gin",
 TRUE,"Other")</f>
        <v>Whiskey</v>
      </c>
      <c r="E2624" s="5">
        <v>3590</v>
      </c>
      <c r="F2624" s="5">
        <v>102138</v>
      </c>
      <c r="G2624" s="5"/>
      <c r="H2624" s="5">
        <v>689</v>
      </c>
    </row>
    <row r="2625" spans="1:8">
      <c r="A2625" s="5">
        <v>2025</v>
      </c>
      <c r="B2625" s="6">
        <v>45962</v>
      </c>
      <c r="C2625" s="5" t="s">
        <v>34</v>
      </c>
      <c r="D2625" s="3" t="str" cm="1">
        <f t="array" ref="D2625">_xlfn.IFS(
 ISNUMBER(SEARCH("WHISK",C2625)),"Whiskey",
 ISNUMBER(SEARCH("BOURBON",C2625)),"Whiskey",
 ISNUMBER(SEARCH("SCOTCH",C2625)),"Whiskey",
 ISNUMBER(SEARCH("RYE",C2625)),"Whiskey",
 ISNUMBER(SEARCH("VODKA",C2625)),"Vodka",
 ISNUMBER(SEARCH("TEQUILA",C2625)),"Tequila/Mezcal",
 ISNUMBER(SEARCH("MEZCAL",C2625)),"Tequila/Mezcal",
 ISNUMBER(SEARCH("RUM",C2625)),"Rum",
 ISNUMBER(SEARCH("BRAND",C2625)),"Brandy",
 ISNUMBER(SEARCH("COGNAC",C2625)),"Brandy",
 ISNUMBER(SEARCH("LIQUEUR",C2625)),"Liqueurs",
 ISNUMBER(SEARCH("CORDIAL",C2625)),"Liqueurs",
 ISNUMBER(SEARCH("SCHNAPP",C2625)),"Liqueurs",
 ISNUMBER(SEARCH("GIN",C2625)),"Gin",
 TRUE,"Other")</f>
        <v>Tequila/Mezcal</v>
      </c>
      <c r="E2625" s="5">
        <v>1132</v>
      </c>
      <c r="F2625" s="5">
        <v>31978</v>
      </c>
      <c r="G2625" s="5"/>
      <c r="H2625" s="5">
        <v>189</v>
      </c>
    </row>
    <row r="2626" spans="1:8">
      <c r="A2626" s="5">
        <v>2025</v>
      </c>
      <c r="B2626" s="6">
        <v>45962</v>
      </c>
      <c r="C2626" s="5" t="s">
        <v>21</v>
      </c>
      <c r="D2626" s="3" t="str" cm="1">
        <f t="array" ref="D2626">_xlfn.IFS(
 ISNUMBER(SEARCH("WHISK",C2626)),"Whiskey",
 ISNUMBER(SEARCH("BOURBON",C2626)),"Whiskey",
 ISNUMBER(SEARCH("SCOTCH",C2626)),"Whiskey",
 ISNUMBER(SEARCH("RYE",C2626)),"Whiskey",
 ISNUMBER(SEARCH("VODKA",C2626)),"Vodka",
 ISNUMBER(SEARCH("TEQUILA",C2626)),"Tequila/Mezcal",
 ISNUMBER(SEARCH("MEZCAL",C2626)),"Tequila/Mezcal",
 ISNUMBER(SEARCH("RUM",C2626)),"Rum",
 ISNUMBER(SEARCH("BRAND",C2626)),"Brandy",
 ISNUMBER(SEARCH("COGNAC",C2626)),"Brandy",
 ISNUMBER(SEARCH("LIQUEUR",C2626)),"Liqueurs",
 ISNUMBER(SEARCH("CORDIAL",C2626)),"Liqueurs",
 ISNUMBER(SEARCH("SCHNAPP",C2626)),"Liqueurs",
 ISNUMBER(SEARCH("GIN",C2626)),"Gin",
 TRUE,"Other")</f>
        <v>Whiskey</v>
      </c>
      <c r="E2626" s="5">
        <v>340</v>
      </c>
      <c r="F2626" s="5">
        <v>9522</v>
      </c>
      <c r="G2626" s="5"/>
      <c r="H2626" s="5">
        <v>55</v>
      </c>
    </row>
    <row r="2627" spans="1:8">
      <c r="A2627" s="5">
        <v>2025</v>
      </c>
      <c r="B2627" s="6">
        <v>45962</v>
      </c>
      <c r="C2627" s="5" t="s">
        <v>41</v>
      </c>
      <c r="D2627" s="3" t="str" cm="1">
        <f t="array" ref="D2627">_xlfn.IFS(
 ISNUMBER(SEARCH("WHISK",C2627)),"Whiskey",
 ISNUMBER(SEARCH("BOURBON",C2627)),"Whiskey",
 ISNUMBER(SEARCH("SCOTCH",C2627)),"Whiskey",
 ISNUMBER(SEARCH("RYE",C2627)),"Whiskey",
 ISNUMBER(SEARCH("VODKA",C2627)),"Vodka",
 ISNUMBER(SEARCH("TEQUILA",C2627)),"Tequila/Mezcal",
 ISNUMBER(SEARCH("MEZCAL",C2627)),"Tequila/Mezcal",
 ISNUMBER(SEARCH("RUM",C2627)),"Rum",
 ISNUMBER(SEARCH("BRAND",C2627)),"Brandy",
 ISNUMBER(SEARCH("COGNAC",C2627)),"Brandy",
 ISNUMBER(SEARCH("LIQUEUR",C2627)),"Liqueurs",
 ISNUMBER(SEARCH("CORDIAL",C2627)),"Liqueurs",
 ISNUMBER(SEARCH("SCHNAPP",C2627)),"Liqueurs",
 ISNUMBER(SEARCH("GIN",C2627)),"Gin",
 TRUE,"Other")</f>
        <v>Other</v>
      </c>
      <c r="E2627" s="5">
        <v>5657</v>
      </c>
      <c r="F2627" s="5">
        <v>66611</v>
      </c>
      <c r="G2627" s="5"/>
      <c r="H2627" s="5">
        <v>85</v>
      </c>
    </row>
    <row r="2628" spans="1:8">
      <c r="A2628" s="5">
        <v>2025</v>
      </c>
      <c r="B2628" s="6">
        <v>45992</v>
      </c>
      <c r="C2628" s="5" t="s">
        <v>45</v>
      </c>
      <c r="D2628" s="3" t="str" cm="1">
        <f t="array" ref="D2628">_xlfn.IFS(
 ISNUMBER(SEARCH("WHISK",C2628)),"Whiskey",
 ISNUMBER(SEARCH("BOURBON",C2628)),"Whiskey",
 ISNUMBER(SEARCH("SCOTCH",C2628)),"Whiskey",
 ISNUMBER(SEARCH("RYE",C2628)),"Whiskey",
 ISNUMBER(SEARCH("VODKA",C2628)),"Vodka",
 ISNUMBER(SEARCH("TEQUILA",C2628)),"Tequila/Mezcal",
 ISNUMBER(SEARCH("MEZCAL",C2628)),"Tequila/Mezcal",
 ISNUMBER(SEARCH("RUM",C2628)),"Rum",
 ISNUMBER(SEARCH("BRAND",C2628)),"Brandy",
 ISNUMBER(SEARCH("COGNAC",C2628)),"Brandy",
 ISNUMBER(SEARCH("LIQUEUR",C2628)),"Liqueurs",
 ISNUMBER(SEARCH("CORDIAL",C2628)),"Liqueurs",
 ISNUMBER(SEARCH("SCHNAPP",C2628)),"Liqueurs",
 ISNUMBER(SEARCH("GIN",C2628)),"Gin",
 TRUE,"Other")</f>
        <v>Other</v>
      </c>
      <c r="E2628" s="5">
        <v>70910</v>
      </c>
      <c r="F2628" s="5">
        <v>1928941</v>
      </c>
      <c r="G2628" s="5"/>
      <c r="H2628" s="5">
        <v>9643</v>
      </c>
    </row>
    <row r="2629" spans="1:8">
      <c r="A2629" s="5">
        <v>2025</v>
      </c>
      <c r="B2629" s="6">
        <v>45992</v>
      </c>
      <c r="C2629" s="5" t="s">
        <v>50</v>
      </c>
      <c r="D2629" s="3" t="str" cm="1">
        <f t="array" ref="D2629">_xlfn.IFS(
 ISNUMBER(SEARCH("WHISK",C2629)),"Whiskey",
 ISNUMBER(SEARCH("BOURBON",C2629)),"Whiskey",
 ISNUMBER(SEARCH("SCOTCH",C2629)),"Whiskey",
 ISNUMBER(SEARCH("RYE",C2629)),"Whiskey",
 ISNUMBER(SEARCH("VODKA",C2629)),"Vodka",
 ISNUMBER(SEARCH("TEQUILA",C2629)),"Tequila/Mezcal",
 ISNUMBER(SEARCH("MEZCAL",C2629)),"Tequila/Mezcal",
 ISNUMBER(SEARCH("RUM",C2629)),"Rum",
 ISNUMBER(SEARCH("BRAND",C2629)),"Brandy",
 ISNUMBER(SEARCH("COGNAC",C2629)),"Brandy",
 ISNUMBER(SEARCH("LIQUEUR",C2629)),"Liqueurs",
 ISNUMBER(SEARCH("CORDIAL",C2629)),"Liqueurs",
 ISNUMBER(SEARCH("SCHNAPP",C2629)),"Liqueurs",
 ISNUMBER(SEARCH("GIN",C2629)),"Gin",
 TRUE,"Other")</f>
        <v>Tequila/Mezcal</v>
      </c>
      <c r="E2629" s="5">
        <v>98790</v>
      </c>
      <c r="F2629" s="5">
        <v>2781409</v>
      </c>
      <c r="G2629" s="5"/>
      <c r="H2629" s="5">
        <v>13218</v>
      </c>
    </row>
    <row r="2630" spans="1:8">
      <c r="A2630" s="5">
        <v>2025</v>
      </c>
      <c r="B2630" s="6">
        <v>45992</v>
      </c>
      <c r="C2630" s="5" t="s">
        <v>7</v>
      </c>
      <c r="D2630" s="3" t="str" cm="1">
        <f t="array" ref="D2630">_xlfn.IFS(
 ISNUMBER(SEARCH("WHISK",C2630)),"Whiskey",
 ISNUMBER(SEARCH("BOURBON",C2630)),"Whiskey",
 ISNUMBER(SEARCH("SCOTCH",C2630)),"Whiskey",
 ISNUMBER(SEARCH("RYE",C2630)),"Whiskey",
 ISNUMBER(SEARCH("VODKA",C2630)),"Vodka",
 ISNUMBER(SEARCH("TEQUILA",C2630)),"Tequila/Mezcal",
 ISNUMBER(SEARCH("MEZCAL",C2630)),"Tequila/Mezcal",
 ISNUMBER(SEARCH("RUM",C2630)),"Rum",
 ISNUMBER(SEARCH("BRAND",C2630)),"Brandy",
 ISNUMBER(SEARCH("COGNAC",C2630)),"Brandy",
 ISNUMBER(SEARCH("LIQUEUR",C2630)),"Liqueurs",
 ISNUMBER(SEARCH("CORDIAL",C2630)),"Liqueurs",
 ISNUMBER(SEARCH("SCHNAPP",C2630)),"Liqueurs",
 ISNUMBER(SEARCH("GIN",C2630)),"Gin",
 TRUE,"Other")</f>
        <v>Rum</v>
      </c>
      <c r="E2630" s="5">
        <v>4917</v>
      </c>
      <c r="F2630" s="5">
        <v>106904</v>
      </c>
      <c r="G2630" s="5"/>
      <c r="H2630" s="5">
        <v>918</v>
      </c>
    </row>
    <row r="2631" spans="1:8">
      <c r="A2631" s="5">
        <v>2025</v>
      </c>
      <c r="B2631" s="6">
        <v>45992</v>
      </c>
      <c r="C2631" s="5" t="s">
        <v>8</v>
      </c>
      <c r="D2631" s="3" t="str" cm="1">
        <f t="array" ref="D2631">_xlfn.IFS(
 ISNUMBER(SEARCH("WHISK",C2631)),"Whiskey",
 ISNUMBER(SEARCH("BOURBON",C2631)),"Whiskey",
 ISNUMBER(SEARCH("SCOTCH",C2631)),"Whiskey",
 ISNUMBER(SEARCH("RYE",C2631)),"Whiskey",
 ISNUMBER(SEARCH("VODKA",C2631)),"Vodka",
 ISNUMBER(SEARCH("TEQUILA",C2631)),"Tequila/Mezcal",
 ISNUMBER(SEARCH("MEZCAL",C2631)),"Tequila/Mezcal",
 ISNUMBER(SEARCH("RUM",C2631)),"Rum",
 ISNUMBER(SEARCH("BRAND",C2631)),"Brandy",
 ISNUMBER(SEARCH("COGNAC",C2631)),"Brandy",
 ISNUMBER(SEARCH("LIQUEUR",C2631)),"Liqueurs",
 ISNUMBER(SEARCH("CORDIAL",C2631)),"Liqueurs",
 ISNUMBER(SEARCH("SCHNAPP",C2631)),"Liqueurs",
 ISNUMBER(SEARCH("GIN",C2631)),"Gin",
 TRUE,"Other")</f>
        <v>Brandy</v>
      </c>
      <c r="E2631" s="5">
        <v>64036</v>
      </c>
      <c r="F2631" s="5">
        <v>451214</v>
      </c>
      <c r="G2631" s="5"/>
      <c r="H2631" s="5">
        <v>5443</v>
      </c>
    </row>
    <row r="2632" spans="1:8">
      <c r="A2632" s="5">
        <v>2025</v>
      </c>
      <c r="B2632" s="6">
        <v>45992</v>
      </c>
      <c r="C2632" s="5" t="s">
        <v>9</v>
      </c>
      <c r="D2632" s="3" t="str" cm="1">
        <f t="array" ref="D2632">_xlfn.IFS(
 ISNUMBER(SEARCH("WHISK",C2632)),"Whiskey",
 ISNUMBER(SEARCH("BOURBON",C2632)),"Whiskey",
 ISNUMBER(SEARCH("SCOTCH",C2632)),"Whiskey",
 ISNUMBER(SEARCH("RYE",C2632)),"Whiskey",
 ISNUMBER(SEARCH("VODKA",C2632)),"Vodka",
 ISNUMBER(SEARCH("TEQUILA",C2632)),"Tequila/Mezcal",
 ISNUMBER(SEARCH("MEZCAL",C2632)),"Tequila/Mezcal",
 ISNUMBER(SEARCH("RUM",C2632)),"Rum",
 ISNUMBER(SEARCH("BRAND",C2632)),"Brandy",
 ISNUMBER(SEARCH("COGNAC",C2632)),"Brandy",
 ISNUMBER(SEARCH("LIQUEUR",C2632)),"Liqueurs",
 ISNUMBER(SEARCH("CORDIAL",C2632)),"Liqueurs",
 ISNUMBER(SEARCH("SCHNAPP",C2632)),"Liqueurs",
 ISNUMBER(SEARCH("GIN",C2632)),"Gin",
 TRUE,"Other")</f>
        <v>Liqueurs</v>
      </c>
      <c r="E2632" s="5">
        <v>44186</v>
      </c>
      <c r="F2632" s="5">
        <v>527729</v>
      </c>
      <c r="G2632" s="5"/>
      <c r="H2632" s="5">
        <v>6865</v>
      </c>
    </row>
    <row r="2633" spans="1:8">
      <c r="A2633" s="5">
        <v>2025</v>
      </c>
      <c r="B2633" s="6">
        <v>45992</v>
      </c>
      <c r="C2633" s="5" t="s">
        <v>11</v>
      </c>
      <c r="D2633" s="3" t="str" cm="1">
        <f t="array" ref="D2633">_xlfn.IFS(
 ISNUMBER(SEARCH("WHISK",C2633)),"Whiskey",
 ISNUMBER(SEARCH("BOURBON",C2633)),"Whiskey",
 ISNUMBER(SEARCH("SCOTCH",C2633)),"Whiskey",
 ISNUMBER(SEARCH("RYE",C2633)),"Whiskey",
 ISNUMBER(SEARCH("VODKA",C2633)),"Vodka",
 ISNUMBER(SEARCH("TEQUILA",C2633)),"Tequila/Mezcal",
 ISNUMBER(SEARCH("MEZCAL",C2633)),"Tequila/Mezcal",
 ISNUMBER(SEARCH("RUM",C2633)),"Rum",
 ISNUMBER(SEARCH("BRAND",C2633)),"Brandy",
 ISNUMBER(SEARCH("COGNAC",C2633)),"Brandy",
 ISNUMBER(SEARCH("LIQUEUR",C2633)),"Liqueurs",
 ISNUMBER(SEARCH("CORDIAL",C2633)),"Liqueurs",
 ISNUMBER(SEARCH("SCHNAPP",C2633)),"Liqueurs",
 ISNUMBER(SEARCH("GIN",C2633)),"Gin",
 TRUE,"Other")</f>
        <v>Gin</v>
      </c>
      <c r="E2633" s="5">
        <v>25413</v>
      </c>
      <c r="F2633" s="5">
        <v>232977</v>
      </c>
      <c r="G2633" s="5"/>
      <c r="H2633" s="5">
        <v>2428</v>
      </c>
    </row>
    <row r="2634" spans="1:8">
      <c r="A2634" s="5">
        <v>2025</v>
      </c>
      <c r="B2634" s="6">
        <v>45992</v>
      </c>
      <c r="C2634" s="5" t="s">
        <v>12</v>
      </c>
      <c r="D2634" s="3" t="str" cm="1">
        <f t="array" ref="D2634">_xlfn.IFS(
 ISNUMBER(SEARCH("WHISK",C2634)),"Whiskey",
 ISNUMBER(SEARCH("BOURBON",C2634)),"Whiskey",
 ISNUMBER(SEARCH("SCOTCH",C2634)),"Whiskey",
 ISNUMBER(SEARCH("RYE",C2634)),"Whiskey",
 ISNUMBER(SEARCH("VODKA",C2634)),"Vodka",
 ISNUMBER(SEARCH("TEQUILA",C2634)),"Tequila/Mezcal",
 ISNUMBER(SEARCH("MEZCAL",C2634)),"Tequila/Mezcal",
 ISNUMBER(SEARCH("RUM",C2634)),"Rum",
 ISNUMBER(SEARCH("BRAND",C2634)),"Brandy",
 ISNUMBER(SEARCH("COGNAC",C2634)),"Brandy",
 ISNUMBER(SEARCH("LIQUEUR",C2634)),"Liqueurs",
 ISNUMBER(SEARCH("CORDIAL",C2634)),"Liqueurs",
 ISNUMBER(SEARCH("SCHNAPP",C2634)),"Liqueurs",
 ISNUMBER(SEARCH("GIN",C2634)),"Gin",
 TRUE,"Other")</f>
        <v>Vodka</v>
      </c>
      <c r="E2634" s="5">
        <v>77282</v>
      </c>
      <c r="F2634" s="5">
        <v>889018</v>
      </c>
      <c r="G2634" s="5"/>
      <c r="H2634" s="5">
        <v>9297</v>
      </c>
    </row>
    <row r="2635" spans="1:8">
      <c r="A2635" s="5">
        <v>2025</v>
      </c>
      <c r="B2635" s="6">
        <v>45992</v>
      </c>
      <c r="C2635" s="5" t="s">
        <v>13</v>
      </c>
      <c r="D2635" s="3" t="str" cm="1">
        <f t="array" ref="D2635">_xlfn.IFS(
 ISNUMBER(SEARCH("WHISK",C2635)),"Whiskey",
 ISNUMBER(SEARCH("BOURBON",C2635)),"Whiskey",
 ISNUMBER(SEARCH("SCOTCH",C2635)),"Whiskey",
 ISNUMBER(SEARCH("RYE",C2635)),"Whiskey",
 ISNUMBER(SEARCH("VODKA",C2635)),"Vodka",
 ISNUMBER(SEARCH("TEQUILA",C2635)),"Tequila/Mezcal",
 ISNUMBER(SEARCH("MEZCAL",C2635)),"Tequila/Mezcal",
 ISNUMBER(SEARCH("RUM",C2635)),"Rum",
 ISNUMBER(SEARCH("BRAND",C2635)),"Brandy",
 ISNUMBER(SEARCH("COGNAC",C2635)),"Brandy",
 ISNUMBER(SEARCH("LIQUEUR",C2635)),"Liqueurs",
 ISNUMBER(SEARCH("CORDIAL",C2635)),"Liqueurs",
 ISNUMBER(SEARCH("SCHNAPP",C2635)),"Liqueurs",
 ISNUMBER(SEARCH("GIN",C2635)),"Gin",
 TRUE,"Other")</f>
        <v>Liqueurs</v>
      </c>
      <c r="E2635" s="5">
        <v>114415</v>
      </c>
      <c r="F2635" s="5">
        <v>817614</v>
      </c>
      <c r="G2635" s="5"/>
      <c r="H2635" s="5">
        <v>9722</v>
      </c>
    </row>
    <row r="2636" spans="1:8">
      <c r="A2636" s="5">
        <v>2025</v>
      </c>
      <c r="B2636" s="6">
        <v>45992</v>
      </c>
      <c r="C2636" s="5" t="s">
        <v>15</v>
      </c>
      <c r="D2636" s="3" t="str" cm="1">
        <f t="array" ref="D2636">_xlfn.IFS(
 ISNUMBER(SEARCH("WHISK",C2636)),"Whiskey",
 ISNUMBER(SEARCH("BOURBON",C2636)),"Whiskey",
 ISNUMBER(SEARCH("SCOTCH",C2636)),"Whiskey",
 ISNUMBER(SEARCH("RYE",C2636)),"Whiskey",
 ISNUMBER(SEARCH("VODKA",C2636)),"Vodka",
 ISNUMBER(SEARCH("TEQUILA",C2636)),"Tequila/Mezcal",
 ISNUMBER(SEARCH("MEZCAL",C2636)),"Tequila/Mezcal",
 ISNUMBER(SEARCH("RUM",C2636)),"Rum",
 ISNUMBER(SEARCH("BRAND",C2636)),"Brandy",
 ISNUMBER(SEARCH("COGNAC",C2636)),"Brandy",
 ISNUMBER(SEARCH("LIQUEUR",C2636)),"Liqueurs",
 ISNUMBER(SEARCH("CORDIAL",C2636)),"Liqueurs",
 ISNUMBER(SEARCH("SCHNAPP",C2636)),"Liqueurs",
 ISNUMBER(SEARCH("GIN",C2636)),"Gin",
 TRUE,"Other")</f>
        <v>Vodka</v>
      </c>
      <c r="E2636" s="5">
        <v>531191</v>
      </c>
      <c r="F2636" s="5">
        <v>4909051</v>
      </c>
      <c r="G2636" s="5"/>
      <c r="H2636" s="5">
        <v>34272</v>
      </c>
    </row>
    <row r="2637" spans="1:8">
      <c r="A2637" s="5">
        <v>2025</v>
      </c>
      <c r="B2637" s="6">
        <v>45992</v>
      </c>
      <c r="C2637" s="5" t="s">
        <v>16</v>
      </c>
      <c r="D2637" s="3" t="str" cm="1">
        <f t="array" ref="D2637">_xlfn.IFS(
 ISNUMBER(SEARCH("WHISK",C2637)),"Whiskey",
 ISNUMBER(SEARCH("BOURBON",C2637)),"Whiskey",
 ISNUMBER(SEARCH("SCOTCH",C2637)),"Whiskey",
 ISNUMBER(SEARCH("RYE",C2637)),"Whiskey",
 ISNUMBER(SEARCH("VODKA",C2637)),"Vodka",
 ISNUMBER(SEARCH("TEQUILA",C2637)),"Tequila/Mezcal",
 ISNUMBER(SEARCH("MEZCAL",C2637)),"Tequila/Mezcal",
 ISNUMBER(SEARCH("RUM",C2637)),"Rum",
 ISNUMBER(SEARCH("BRAND",C2637)),"Brandy",
 ISNUMBER(SEARCH("COGNAC",C2637)),"Brandy",
 ISNUMBER(SEARCH("LIQUEUR",C2637)),"Liqueurs",
 ISNUMBER(SEARCH("CORDIAL",C2637)),"Liqueurs",
 ISNUMBER(SEARCH("SCHNAPP",C2637)),"Liqueurs",
 ISNUMBER(SEARCH("GIN",C2637)),"Gin",
 TRUE,"Other")</f>
        <v>Whiskey</v>
      </c>
      <c r="E2637" s="5">
        <v>70536</v>
      </c>
      <c r="F2637" s="5">
        <v>984210</v>
      </c>
      <c r="G2637" s="5"/>
      <c r="H2637" s="5">
        <v>7807</v>
      </c>
    </row>
    <row r="2638" spans="1:8">
      <c r="A2638" s="5">
        <v>2025</v>
      </c>
      <c r="B2638" s="6">
        <v>45992</v>
      </c>
      <c r="C2638" s="5" t="s">
        <v>18</v>
      </c>
      <c r="D2638" s="3" t="str" cm="1">
        <f t="array" ref="D2638">_xlfn.IFS(
 ISNUMBER(SEARCH("WHISK",C2638)),"Whiskey",
 ISNUMBER(SEARCH("BOURBON",C2638)),"Whiskey",
 ISNUMBER(SEARCH("SCOTCH",C2638)),"Whiskey",
 ISNUMBER(SEARCH("RYE",C2638)),"Whiskey",
 ISNUMBER(SEARCH("VODKA",C2638)),"Vodka",
 ISNUMBER(SEARCH("TEQUILA",C2638)),"Tequila/Mezcal",
 ISNUMBER(SEARCH("MEZCAL",C2638)),"Tequila/Mezcal",
 ISNUMBER(SEARCH("RUM",C2638)),"Rum",
 ISNUMBER(SEARCH("BRAND",C2638)),"Brandy",
 ISNUMBER(SEARCH("COGNAC",C2638)),"Brandy",
 ISNUMBER(SEARCH("LIQUEUR",C2638)),"Liqueurs",
 ISNUMBER(SEARCH("CORDIAL",C2638)),"Liqueurs",
 ISNUMBER(SEARCH("SCHNAPP",C2638)),"Liqueurs",
 ISNUMBER(SEARCH("GIN",C2638)),"Gin",
 TRUE,"Other")</f>
        <v>Whiskey</v>
      </c>
      <c r="E2638" s="5">
        <v>300308</v>
      </c>
      <c r="F2638" s="5">
        <v>5327633</v>
      </c>
      <c r="G2638" s="5"/>
      <c r="H2638" s="5">
        <v>22986</v>
      </c>
    </row>
    <row r="2639" spans="1:8">
      <c r="A2639" s="5">
        <v>2025</v>
      </c>
      <c r="B2639" s="6">
        <v>45992</v>
      </c>
      <c r="C2639" s="5" t="s">
        <v>19</v>
      </c>
      <c r="D2639" s="3" t="str" cm="1">
        <f t="array" ref="D2639">_xlfn.IFS(
 ISNUMBER(SEARCH("WHISK",C2639)),"Whiskey",
 ISNUMBER(SEARCH("BOURBON",C2639)),"Whiskey",
 ISNUMBER(SEARCH("SCOTCH",C2639)),"Whiskey",
 ISNUMBER(SEARCH("RYE",C2639)),"Whiskey",
 ISNUMBER(SEARCH("VODKA",C2639)),"Vodka",
 ISNUMBER(SEARCH("TEQUILA",C2639)),"Tequila/Mezcal",
 ISNUMBER(SEARCH("MEZCAL",C2639)),"Tequila/Mezcal",
 ISNUMBER(SEARCH("RUM",C2639)),"Rum",
 ISNUMBER(SEARCH("BRAND",C2639)),"Brandy",
 ISNUMBER(SEARCH("COGNAC",C2639)),"Brandy",
 ISNUMBER(SEARCH("LIQUEUR",C2639)),"Liqueurs",
 ISNUMBER(SEARCH("CORDIAL",C2639)),"Liqueurs",
 ISNUMBER(SEARCH("SCHNAPP",C2639)),"Liqueurs",
 ISNUMBER(SEARCH("GIN",C2639)),"Gin",
 TRUE,"Other")</f>
        <v>Other</v>
      </c>
      <c r="E2639" s="5">
        <v>57904</v>
      </c>
      <c r="F2639" s="5">
        <v>705286</v>
      </c>
      <c r="G2639" s="5"/>
      <c r="H2639" s="5">
        <v>7128</v>
      </c>
    </row>
    <row r="2640" spans="1:8">
      <c r="A2640" s="5">
        <v>2025</v>
      </c>
      <c r="B2640" s="6">
        <v>45992</v>
      </c>
      <c r="C2640" s="5" t="s">
        <v>20</v>
      </c>
      <c r="D2640" s="3" t="str" cm="1">
        <f t="array" ref="D2640">_xlfn.IFS(
 ISNUMBER(SEARCH("WHISK",C2640)),"Whiskey",
 ISNUMBER(SEARCH("BOURBON",C2640)),"Whiskey",
 ISNUMBER(SEARCH("SCOTCH",C2640)),"Whiskey",
 ISNUMBER(SEARCH("RYE",C2640)),"Whiskey",
 ISNUMBER(SEARCH("VODKA",C2640)),"Vodka",
 ISNUMBER(SEARCH("TEQUILA",C2640)),"Tequila/Mezcal",
 ISNUMBER(SEARCH("MEZCAL",C2640)),"Tequila/Mezcal",
 ISNUMBER(SEARCH("RUM",C2640)),"Rum",
 ISNUMBER(SEARCH("BRAND",C2640)),"Brandy",
 ISNUMBER(SEARCH("COGNAC",C2640)),"Brandy",
 ISNUMBER(SEARCH("LIQUEUR",C2640)),"Liqueurs",
 ISNUMBER(SEARCH("CORDIAL",C2640)),"Liqueurs",
 ISNUMBER(SEARCH("SCHNAPP",C2640)),"Liqueurs",
 ISNUMBER(SEARCH("GIN",C2640)),"Gin",
 TRUE,"Other")</f>
        <v>Liqueurs</v>
      </c>
      <c r="E2640" s="5">
        <v>15860</v>
      </c>
      <c r="F2640" s="5">
        <v>338674</v>
      </c>
      <c r="G2640" s="5"/>
      <c r="H2640" s="5">
        <v>1685</v>
      </c>
    </row>
    <row r="2641" spans="1:8">
      <c r="A2641" s="5">
        <v>2025</v>
      </c>
      <c r="B2641" s="6">
        <v>45992</v>
      </c>
      <c r="C2641" s="5" t="s">
        <v>22</v>
      </c>
      <c r="D2641" s="3" t="str" cm="1">
        <f t="array" ref="D2641">_xlfn.IFS(
 ISNUMBER(SEARCH("WHISK",C2641)),"Whiskey",
 ISNUMBER(SEARCH("BOURBON",C2641)),"Whiskey",
 ISNUMBER(SEARCH("SCOTCH",C2641)),"Whiskey",
 ISNUMBER(SEARCH("RYE",C2641)),"Whiskey",
 ISNUMBER(SEARCH("VODKA",C2641)),"Vodka",
 ISNUMBER(SEARCH("TEQUILA",C2641)),"Tequila/Mezcal",
 ISNUMBER(SEARCH("MEZCAL",C2641)),"Tequila/Mezcal",
 ISNUMBER(SEARCH("RUM",C2641)),"Rum",
 ISNUMBER(SEARCH("BRAND",C2641)),"Brandy",
 ISNUMBER(SEARCH("COGNAC",C2641)),"Brandy",
 ISNUMBER(SEARCH("LIQUEUR",C2641)),"Liqueurs",
 ISNUMBER(SEARCH("CORDIAL",C2641)),"Liqueurs",
 ISNUMBER(SEARCH("SCHNAPP",C2641)),"Liqueurs",
 ISNUMBER(SEARCH("GIN",C2641)),"Gin",
 TRUE,"Other")</f>
        <v>Liqueurs</v>
      </c>
      <c r="E2641" s="5">
        <v>55524</v>
      </c>
      <c r="F2641" s="5">
        <v>1175506</v>
      </c>
      <c r="G2641" s="5"/>
      <c r="H2641" s="5">
        <v>6295</v>
      </c>
    </row>
    <row r="2642" spans="1:8">
      <c r="A2642" s="5">
        <v>2025</v>
      </c>
      <c r="B2642" s="6">
        <v>45992</v>
      </c>
      <c r="C2642" s="5" t="s">
        <v>23</v>
      </c>
      <c r="D2642" s="3" t="str" cm="1">
        <f t="array" ref="D2642">_xlfn.IFS(
 ISNUMBER(SEARCH("WHISK",C2642)),"Whiskey",
 ISNUMBER(SEARCH("BOURBON",C2642)),"Whiskey",
 ISNUMBER(SEARCH("SCOTCH",C2642)),"Whiskey",
 ISNUMBER(SEARCH("RYE",C2642)),"Whiskey",
 ISNUMBER(SEARCH("VODKA",C2642)),"Vodka",
 ISNUMBER(SEARCH("TEQUILA",C2642)),"Tequila/Mezcal",
 ISNUMBER(SEARCH("MEZCAL",C2642)),"Tequila/Mezcal",
 ISNUMBER(SEARCH("RUM",C2642)),"Rum",
 ISNUMBER(SEARCH("BRAND",C2642)),"Brandy",
 ISNUMBER(SEARCH("COGNAC",C2642)),"Brandy",
 ISNUMBER(SEARCH("LIQUEUR",C2642)),"Liqueurs",
 ISNUMBER(SEARCH("CORDIAL",C2642)),"Liqueurs",
 ISNUMBER(SEARCH("SCHNAPP",C2642)),"Liqueurs",
 ISNUMBER(SEARCH("GIN",C2642)),"Gin",
 TRUE,"Other")</f>
        <v>Gin</v>
      </c>
      <c r="E2642" s="5">
        <v>5979</v>
      </c>
      <c r="F2642" s="5">
        <v>154282</v>
      </c>
      <c r="G2642" s="5"/>
      <c r="H2642" s="5">
        <v>574</v>
      </c>
    </row>
    <row r="2643" spans="1:8">
      <c r="A2643" s="5">
        <v>2025</v>
      </c>
      <c r="B2643" s="6">
        <v>45992</v>
      </c>
      <c r="C2643" s="5" t="s">
        <v>24</v>
      </c>
      <c r="D2643" s="3" t="str" cm="1">
        <f t="array" ref="D2643">_xlfn.IFS(
 ISNUMBER(SEARCH("WHISK",C2643)),"Whiskey",
 ISNUMBER(SEARCH("BOURBON",C2643)),"Whiskey",
 ISNUMBER(SEARCH("SCOTCH",C2643)),"Whiskey",
 ISNUMBER(SEARCH("RYE",C2643)),"Whiskey",
 ISNUMBER(SEARCH("VODKA",C2643)),"Vodka",
 ISNUMBER(SEARCH("TEQUILA",C2643)),"Tequila/Mezcal",
 ISNUMBER(SEARCH("MEZCAL",C2643)),"Tequila/Mezcal",
 ISNUMBER(SEARCH("RUM",C2643)),"Rum",
 ISNUMBER(SEARCH("BRAND",C2643)),"Brandy",
 ISNUMBER(SEARCH("COGNAC",C2643)),"Brandy",
 ISNUMBER(SEARCH("LIQUEUR",C2643)),"Liqueurs",
 ISNUMBER(SEARCH("CORDIAL",C2643)),"Liqueurs",
 ISNUMBER(SEARCH("SCHNAPP",C2643)),"Liqueurs",
 ISNUMBER(SEARCH("GIN",C2643)),"Gin",
 TRUE,"Other")</f>
        <v>Rum</v>
      </c>
      <c r="E2643" s="5">
        <v>33186</v>
      </c>
      <c r="F2643" s="5">
        <v>497813</v>
      </c>
      <c r="G2643" s="5"/>
      <c r="H2643" s="5">
        <v>3628</v>
      </c>
    </row>
    <row r="2644" spans="1:8">
      <c r="A2644" s="5">
        <v>2025</v>
      </c>
      <c r="B2644" s="6">
        <v>45992</v>
      </c>
      <c r="C2644" s="5" t="s">
        <v>25</v>
      </c>
      <c r="D2644" s="3" t="str" cm="1">
        <f t="array" ref="D2644">_xlfn.IFS(
 ISNUMBER(SEARCH("WHISK",C2644)),"Whiskey",
 ISNUMBER(SEARCH("BOURBON",C2644)),"Whiskey",
 ISNUMBER(SEARCH("SCOTCH",C2644)),"Whiskey",
 ISNUMBER(SEARCH("RYE",C2644)),"Whiskey",
 ISNUMBER(SEARCH("VODKA",C2644)),"Vodka",
 ISNUMBER(SEARCH("TEQUILA",C2644)),"Tequila/Mezcal",
 ISNUMBER(SEARCH("MEZCAL",C2644)),"Tequila/Mezcal",
 ISNUMBER(SEARCH("RUM",C2644)),"Rum",
 ISNUMBER(SEARCH("BRAND",C2644)),"Brandy",
 ISNUMBER(SEARCH("COGNAC",C2644)),"Brandy",
 ISNUMBER(SEARCH("LIQUEUR",C2644)),"Liqueurs",
 ISNUMBER(SEARCH("CORDIAL",C2644)),"Liqueurs",
 ISNUMBER(SEARCH("SCHNAPP",C2644)),"Liqueurs",
 ISNUMBER(SEARCH("GIN",C2644)),"Gin",
 TRUE,"Other")</f>
        <v>Rum</v>
      </c>
      <c r="E2644" s="5">
        <v>6834</v>
      </c>
      <c r="F2644" s="5">
        <v>92921</v>
      </c>
      <c r="G2644" s="5"/>
      <c r="H2644" s="5">
        <v>1010</v>
      </c>
    </row>
    <row r="2645" spans="1:8">
      <c r="A2645" s="5">
        <v>2025</v>
      </c>
      <c r="B2645" s="6">
        <v>45992</v>
      </c>
      <c r="C2645" s="5" t="s">
        <v>26</v>
      </c>
      <c r="D2645" s="3" t="str" cm="1">
        <f t="array" ref="D2645">_xlfn.IFS(
 ISNUMBER(SEARCH("WHISK",C2645)),"Whiskey",
 ISNUMBER(SEARCH("BOURBON",C2645)),"Whiskey",
 ISNUMBER(SEARCH("SCOTCH",C2645)),"Whiskey",
 ISNUMBER(SEARCH("RYE",C2645)),"Whiskey",
 ISNUMBER(SEARCH("VODKA",C2645)),"Vodka",
 ISNUMBER(SEARCH("TEQUILA",C2645)),"Tequila/Mezcal",
 ISNUMBER(SEARCH("MEZCAL",C2645)),"Tequila/Mezcal",
 ISNUMBER(SEARCH("RUM",C2645)),"Rum",
 ISNUMBER(SEARCH("BRAND",C2645)),"Brandy",
 ISNUMBER(SEARCH("COGNAC",C2645)),"Brandy",
 ISNUMBER(SEARCH("LIQUEUR",C2645)),"Liqueurs",
 ISNUMBER(SEARCH("CORDIAL",C2645)),"Liqueurs",
 ISNUMBER(SEARCH("SCHNAPP",C2645)),"Liqueurs",
 ISNUMBER(SEARCH("GIN",C2645)),"Gin",
 TRUE,"Other")</f>
        <v>Brandy</v>
      </c>
      <c r="E2645" s="5">
        <v>34514</v>
      </c>
      <c r="F2645" s="5">
        <v>820632</v>
      </c>
      <c r="G2645" s="5"/>
      <c r="H2645" s="5">
        <v>3488</v>
      </c>
    </row>
    <row r="2646" spans="1:8">
      <c r="A2646" s="5">
        <v>2025</v>
      </c>
      <c r="B2646" s="6">
        <v>45992</v>
      </c>
      <c r="C2646" s="5" t="s">
        <v>27</v>
      </c>
      <c r="D2646" s="3" t="str" cm="1">
        <f t="array" ref="D2646">_xlfn.IFS(
 ISNUMBER(SEARCH("WHISK",C2646)),"Whiskey",
 ISNUMBER(SEARCH("BOURBON",C2646)),"Whiskey",
 ISNUMBER(SEARCH("SCOTCH",C2646)),"Whiskey",
 ISNUMBER(SEARCH("RYE",C2646)),"Whiskey",
 ISNUMBER(SEARCH("VODKA",C2646)),"Vodka",
 ISNUMBER(SEARCH("TEQUILA",C2646)),"Tequila/Mezcal",
 ISNUMBER(SEARCH("MEZCAL",C2646)),"Tequila/Mezcal",
 ISNUMBER(SEARCH("RUM",C2646)),"Rum",
 ISNUMBER(SEARCH("BRAND",C2646)),"Brandy",
 ISNUMBER(SEARCH("COGNAC",C2646)),"Brandy",
 ISNUMBER(SEARCH("LIQUEUR",C2646)),"Liqueurs",
 ISNUMBER(SEARCH("CORDIAL",C2646)),"Liqueurs",
 ISNUMBER(SEARCH("SCHNAPP",C2646)),"Liqueurs",
 ISNUMBER(SEARCH("GIN",C2646)),"Gin",
 TRUE,"Other")</f>
        <v>Liqueurs</v>
      </c>
      <c r="E2646" s="5">
        <v>52421</v>
      </c>
      <c r="F2646" s="5">
        <v>1281543</v>
      </c>
      <c r="G2646" s="5"/>
      <c r="H2646" s="5">
        <v>6652</v>
      </c>
    </row>
    <row r="2647" spans="1:8">
      <c r="A2647" s="5">
        <v>2025</v>
      </c>
      <c r="B2647" s="6">
        <v>45992</v>
      </c>
      <c r="C2647" s="5" t="s">
        <v>28</v>
      </c>
      <c r="D2647" s="3" t="str" cm="1">
        <f t="array" ref="D2647">_xlfn.IFS(
 ISNUMBER(SEARCH("WHISK",C2647)),"Whiskey",
 ISNUMBER(SEARCH("BOURBON",C2647)),"Whiskey",
 ISNUMBER(SEARCH("SCOTCH",C2647)),"Whiskey",
 ISNUMBER(SEARCH("RYE",C2647)),"Whiskey",
 ISNUMBER(SEARCH("VODKA",C2647)),"Vodka",
 ISNUMBER(SEARCH("TEQUILA",C2647)),"Tequila/Mezcal",
 ISNUMBER(SEARCH("MEZCAL",C2647)),"Tequila/Mezcal",
 ISNUMBER(SEARCH("RUM",C2647)),"Rum",
 ISNUMBER(SEARCH("BRAND",C2647)),"Brandy",
 ISNUMBER(SEARCH("COGNAC",C2647)),"Brandy",
 ISNUMBER(SEARCH("LIQUEUR",C2647)),"Liqueurs",
 ISNUMBER(SEARCH("CORDIAL",C2647)),"Liqueurs",
 ISNUMBER(SEARCH("SCHNAPP",C2647)),"Liqueurs",
 ISNUMBER(SEARCH("GIN",C2647)),"Gin",
 TRUE,"Other")</f>
        <v>Other</v>
      </c>
      <c r="E2647" s="5">
        <v>26960</v>
      </c>
      <c r="F2647" s="5">
        <v>194123</v>
      </c>
      <c r="G2647" s="5"/>
      <c r="H2647" s="5">
        <v>957</v>
      </c>
    </row>
    <row r="2648" spans="1:8">
      <c r="A2648" s="5">
        <v>2025</v>
      </c>
      <c r="B2648" s="6">
        <v>45992</v>
      </c>
      <c r="C2648" s="5" t="s">
        <v>31</v>
      </c>
      <c r="D2648" s="3" t="str" cm="1">
        <f t="array" ref="D2648">_xlfn.IFS(
 ISNUMBER(SEARCH("WHISK",C2648)),"Whiskey",
 ISNUMBER(SEARCH("BOURBON",C2648)),"Whiskey",
 ISNUMBER(SEARCH("SCOTCH",C2648)),"Whiskey",
 ISNUMBER(SEARCH("RYE",C2648)),"Whiskey",
 ISNUMBER(SEARCH("VODKA",C2648)),"Vodka",
 ISNUMBER(SEARCH("TEQUILA",C2648)),"Tequila/Mezcal",
 ISNUMBER(SEARCH("MEZCAL",C2648)),"Tequila/Mezcal",
 ISNUMBER(SEARCH("RUM",C2648)),"Rum",
 ISNUMBER(SEARCH("BRAND",C2648)),"Brandy",
 ISNUMBER(SEARCH("COGNAC",C2648)),"Brandy",
 ISNUMBER(SEARCH("LIQUEUR",C2648)),"Liqueurs",
 ISNUMBER(SEARCH("CORDIAL",C2648)),"Liqueurs",
 ISNUMBER(SEARCH("SCHNAPP",C2648)),"Liqueurs",
 ISNUMBER(SEARCH("GIN",C2648)),"Gin",
 TRUE,"Other")</f>
        <v>Liqueurs</v>
      </c>
      <c r="E2648" s="5">
        <v>32154</v>
      </c>
      <c r="F2648" s="5">
        <v>582884</v>
      </c>
      <c r="G2648" s="5"/>
      <c r="H2648" s="5">
        <v>3083</v>
      </c>
    </row>
    <row r="2649" spans="1:8">
      <c r="A2649" s="5">
        <v>2025</v>
      </c>
      <c r="B2649" s="6">
        <v>45992</v>
      </c>
      <c r="C2649" s="5" t="s">
        <v>32</v>
      </c>
      <c r="D2649" s="3" t="str" cm="1">
        <f t="array" ref="D2649">_xlfn.IFS(
 ISNUMBER(SEARCH("WHISK",C2649)),"Whiskey",
 ISNUMBER(SEARCH("BOURBON",C2649)),"Whiskey",
 ISNUMBER(SEARCH("SCOTCH",C2649)),"Whiskey",
 ISNUMBER(SEARCH("RYE",C2649)),"Whiskey",
 ISNUMBER(SEARCH("VODKA",C2649)),"Vodka",
 ISNUMBER(SEARCH("TEQUILA",C2649)),"Tequila/Mezcal",
 ISNUMBER(SEARCH("MEZCAL",C2649)),"Tequila/Mezcal",
 ISNUMBER(SEARCH("RUM",C2649)),"Rum",
 ISNUMBER(SEARCH("BRAND",C2649)),"Brandy",
 ISNUMBER(SEARCH("COGNAC",C2649)),"Brandy",
 ISNUMBER(SEARCH("LIQUEUR",C2649)),"Liqueurs",
 ISNUMBER(SEARCH("CORDIAL",C2649)),"Liqueurs",
 ISNUMBER(SEARCH("SCHNAPP",C2649)),"Liqueurs",
 ISNUMBER(SEARCH("GIN",C2649)),"Gin",
 TRUE,"Other")</f>
        <v>Vodka</v>
      </c>
      <c r="E2649" s="5">
        <v>66621</v>
      </c>
      <c r="F2649" s="5">
        <v>1098972</v>
      </c>
      <c r="G2649" s="5"/>
      <c r="H2649" s="5">
        <v>5131</v>
      </c>
    </row>
    <row r="2650" spans="1:8">
      <c r="A2650" s="5">
        <v>2025</v>
      </c>
      <c r="B2650" s="6">
        <v>45992</v>
      </c>
      <c r="C2650" s="5" t="s">
        <v>33</v>
      </c>
      <c r="D2650" s="3" t="str" cm="1">
        <f t="array" ref="D2650">_xlfn.IFS(
 ISNUMBER(SEARCH("WHISK",C2650)),"Whiskey",
 ISNUMBER(SEARCH("BOURBON",C2650)),"Whiskey",
 ISNUMBER(SEARCH("SCOTCH",C2650)),"Whiskey",
 ISNUMBER(SEARCH("RYE",C2650)),"Whiskey",
 ISNUMBER(SEARCH("VODKA",C2650)),"Vodka",
 ISNUMBER(SEARCH("TEQUILA",C2650)),"Tequila/Mezcal",
 ISNUMBER(SEARCH("MEZCAL",C2650)),"Tequila/Mezcal",
 ISNUMBER(SEARCH("RUM",C2650)),"Rum",
 ISNUMBER(SEARCH("BRAND",C2650)),"Brandy",
 ISNUMBER(SEARCH("COGNAC",C2650)),"Brandy",
 ISNUMBER(SEARCH("LIQUEUR",C2650)),"Liqueurs",
 ISNUMBER(SEARCH("CORDIAL",C2650)),"Liqueurs",
 ISNUMBER(SEARCH("SCHNAPP",C2650)),"Liqueurs",
 ISNUMBER(SEARCH("GIN",C2650)),"Gin",
 TRUE,"Other")</f>
        <v>Whiskey</v>
      </c>
      <c r="E2650" s="5">
        <v>29959</v>
      </c>
      <c r="F2650" s="5">
        <v>810228</v>
      </c>
      <c r="G2650" s="5"/>
      <c r="H2650" s="5">
        <v>3007</v>
      </c>
    </row>
    <row r="2651" spans="1:8">
      <c r="A2651" s="5">
        <v>2025</v>
      </c>
      <c r="B2651" s="6">
        <v>45992</v>
      </c>
      <c r="C2651" s="5" t="s">
        <v>35</v>
      </c>
      <c r="D2651" s="3" t="str" cm="1">
        <f t="array" ref="D2651">_xlfn.IFS(
 ISNUMBER(SEARCH("WHISK",C2651)),"Whiskey",
 ISNUMBER(SEARCH("BOURBON",C2651)),"Whiskey",
 ISNUMBER(SEARCH("SCOTCH",C2651)),"Whiskey",
 ISNUMBER(SEARCH("RYE",C2651)),"Whiskey",
 ISNUMBER(SEARCH("VODKA",C2651)),"Vodka",
 ISNUMBER(SEARCH("TEQUILA",C2651)),"Tequila/Mezcal",
 ISNUMBER(SEARCH("MEZCAL",C2651)),"Tequila/Mezcal",
 ISNUMBER(SEARCH("RUM",C2651)),"Rum",
 ISNUMBER(SEARCH("BRAND",C2651)),"Brandy",
 ISNUMBER(SEARCH("COGNAC",C2651)),"Brandy",
 ISNUMBER(SEARCH("LIQUEUR",C2651)),"Liqueurs",
 ISNUMBER(SEARCH("CORDIAL",C2651)),"Liqueurs",
 ISNUMBER(SEARCH("SCHNAPP",C2651)),"Liqueurs",
 ISNUMBER(SEARCH("GIN",C2651)),"Gin",
 TRUE,"Other")</f>
        <v>Tequila/Mezcal</v>
      </c>
      <c r="E2651" s="5">
        <v>61522</v>
      </c>
      <c r="F2651" s="5">
        <v>853271</v>
      </c>
      <c r="G2651" s="5"/>
      <c r="H2651" s="5">
        <v>4699</v>
      </c>
    </row>
    <row r="2652" spans="1:8">
      <c r="A2652" s="5">
        <v>2025</v>
      </c>
      <c r="B2652" s="6">
        <v>45992</v>
      </c>
      <c r="C2652" s="5" t="s">
        <v>37</v>
      </c>
      <c r="D2652" s="3" t="str" cm="1">
        <f t="array" ref="D2652">_xlfn.IFS(
 ISNUMBER(SEARCH("WHISK",C2652)),"Whiskey",
 ISNUMBER(SEARCH("BOURBON",C2652)),"Whiskey",
 ISNUMBER(SEARCH("SCOTCH",C2652)),"Whiskey",
 ISNUMBER(SEARCH("RYE",C2652)),"Whiskey",
 ISNUMBER(SEARCH("VODKA",C2652)),"Vodka",
 ISNUMBER(SEARCH("TEQUILA",C2652)),"Tequila/Mezcal",
 ISNUMBER(SEARCH("MEZCAL",C2652)),"Tequila/Mezcal",
 ISNUMBER(SEARCH("RUM",C2652)),"Rum",
 ISNUMBER(SEARCH("BRAND",C2652)),"Brandy",
 ISNUMBER(SEARCH("COGNAC",C2652)),"Brandy",
 ISNUMBER(SEARCH("LIQUEUR",C2652)),"Liqueurs",
 ISNUMBER(SEARCH("CORDIAL",C2652)),"Liqueurs",
 ISNUMBER(SEARCH("SCHNAPP",C2652)),"Liqueurs",
 ISNUMBER(SEARCH("GIN",C2652)),"Gin",
 TRUE,"Other")</f>
        <v>Other</v>
      </c>
      <c r="E2652" s="5">
        <v>16992</v>
      </c>
      <c r="F2652" s="5">
        <v>287381</v>
      </c>
      <c r="G2652" s="5"/>
      <c r="H2652" s="5">
        <v>3339</v>
      </c>
    </row>
    <row r="2653" spans="1:8">
      <c r="A2653" s="5">
        <v>2025</v>
      </c>
      <c r="B2653" s="6">
        <v>45992</v>
      </c>
      <c r="C2653" s="5" t="s">
        <v>38</v>
      </c>
      <c r="D2653" s="3" t="str" cm="1">
        <f t="array" ref="D2653">_xlfn.IFS(
 ISNUMBER(SEARCH("WHISK",C2653)),"Whiskey",
 ISNUMBER(SEARCH("BOURBON",C2653)),"Whiskey",
 ISNUMBER(SEARCH("SCOTCH",C2653)),"Whiskey",
 ISNUMBER(SEARCH("RYE",C2653)),"Whiskey",
 ISNUMBER(SEARCH("VODKA",C2653)),"Vodka",
 ISNUMBER(SEARCH("TEQUILA",C2653)),"Tequila/Mezcal",
 ISNUMBER(SEARCH("MEZCAL",C2653)),"Tequila/Mezcal",
 ISNUMBER(SEARCH("RUM",C2653)),"Rum",
 ISNUMBER(SEARCH("BRAND",C2653)),"Brandy",
 ISNUMBER(SEARCH("COGNAC",C2653)),"Brandy",
 ISNUMBER(SEARCH("LIQUEUR",C2653)),"Liqueurs",
 ISNUMBER(SEARCH("CORDIAL",C2653)),"Liqueurs",
 ISNUMBER(SEARCH("SCHNAPP",C2653)),"Liqueurs",
 ISNUMBER(SEARCH("GIN",C2653)),"Gin",
 TRUE,"Other")</f>
        <v>Whiskey</v>
      </c>
      <c r="E2653" s="5">
        <v>18732</v>
      </c>
      <c r="F2653" s="5">
        <v>627743</v>
      </c>
      <c r="G2653" s="5"/>
      <c r="H2653" s="5">
        <v>3193</v>
      </c>
    </row>
    <row r="2654" spans="1:8">
      <c r="A2654" s="5">
        <v>2025</v>
      </c>
      <c r="B2654" s="6">
        <v>45992</v>
      </c>
      <c r="C2654" s="5" t="s">
        <v>42</v>
      </c>
      <c r="D2654" s="3" t="str" cm="1">
        <f t="array" ref="D2654">_xlfn.IFS(
 ISNUMBER(SEARCH("WHISK",C2654)),"Whiskey",
 ISNUMBER(SEARCH("BOURBON",C2654)),"Whiskey",
 ISNUMBER(SEARCH("SCOTCH",C2654)),"Whiskey",
 ISNUMBER(SEARCH("RYE",C2654)),"Whiskey",
 ISNUMBER(SEARCH("VODKA",C2654)),"Vodka",
 ISNUMBER(SEARCH("TEQUILA",C2654)),"Tequila/Mezcal",
 ISNUMBER(SEARCH("MEZCAL",C2654)),"Tequila/Mezcal",
 ISNUMBER(SEARCH("RUM",C2654)),"Rum",
 ISNUMBER(SEARCH("BRAND",C2654)),"Brandy",
 ISNUMBER(SEARCH("COGNAC",C2654)),"Brandy",
 ISNUMBER(SEARCH("LIQUEUR",C2654)),"Liqueurs",
 ISNUMBER(SEARCH("CORDIAL",C2654)),"Liqueurs",
 ISNUMBER(SEARCH("SCHNAPP",C2654)),"Liqueurs",
 ISNUMBER(SEARCH("GIN",C2654)),"Gin",
 TRUE,"Other")</f>
        <v>Rum</v>
      </c>
      <c r="E2654" s="5">
        <v>112658</v>
      </c>
      <c r="F2654" s="5">
        <v>1607110</v>
      </c>
      <c r="G2654" s="5"/>
      <c r="H2654" s="5">
        <v>8169</v>
      </c>
    </row>
    <row r="2655" spans="1:8">
      <c r="A2655" s="5">
        <v>2025</v>
      </c>
      <c r="B2655" s="6">
        <v>45992</v>
      </c>
      <c r="C2655" s="5" t="s">
        <v>43</v>
      </c>
      <c r="D2655" s="3" t="str" cm="1">
        <f t="array" ref="D2655">_xlfn.IFS(
 ISNUMBER(SEARCH("WHISK",C2655)),"Whiskey",
 ISNUMBER(SEARCH("BOURBON",C2655)),"Whiskey",
 ISNUMBER(SEARCH("SCOTCH",C2655)),"Whiskey",
 ISNUMBER(SEARCH("RYE",C2655)),"Whiskey",
 ISNUMBER(SEARCH("VODKA",C2655)),"Vodka",
 ISNUMBER(SEARCH("TEQUILA",C2655)),"Tequila/Mezcal",
 ISNUMBER(SEARCH("MEZCAL",C2655)),"Tequila/Mezcal",
 ISNUMBER(SEARCH("RUM",C2655)),"Rum",
 ISNUMBER(SEARCH("BRAND",C2655)),"Brandy",
 ISNUMBER(SEARCH("COGNAC",C2655)),"Brandy",
 ISNUMBER(SEARCH("LIQUEUR",C2655)),"Liqueurs",
 ISNUMBER(SEARCH("CORDIAL",C2655)),"Liqueurs",
 ISNUMBER(SEARCH("SCHNAPP",C2655)),"Liqueurs",
 ISNUMBER(SEARCH("GIN",C2655)),"Gin",
 TRUE,"Other")</f>
        <v>Whiskey</v>
      </c>
      <c r="E2655" s="5">
        <v>184515</v>
      </c>
      <c r="F2655" s="5">
        <v>4552501</v>
      </c>
      <c r="G2655" s="5"/>
      <c r="H2655" s="5">
        <v>20625</v>
      </c>
    </row>
    <row r="2656" spans="1:8">
      <c r="A2656" s="5">
        <v>2025</v>
      </c>
      <c r="B2656" s="6">
        <v>45992</v>
      </c>
      <c r="C2656" s="5" t="s">
        <v>44</v>
      </c>
      <c r="D2656" s="3" t="str" cm="1">
        <f t="array" ref="D2656">_xlfn.IFS(
 ISNUMBER(SEARCH("WHISK",C2656)),"Whiskey",
 ISNUMBER(SEARCH("BOURBON",C2656)),"Whiskey",
 ISNUMBER(SEARCH("SCOTCH",C2656)),"Whiskey",
 ISNUMBER(SEARCH("RYE",C2656)),"Whiskey",
 ISNUMBER(SEARCH("VODKA",C2656)),"Vodka",
 ISNUMBER(SEARCH("TEQUILA",C2656)),"Tequila/Mezcal",
 ISNUMBER(SEARCH("MEZCAL",C2656)),"Tequila/Mezcal",
 ISNUMBER(SEARCH("RUM",C2656)),"Rum",
 ISNUMBER(SEARCH("BRAND",C2656)),"Brandy",
 ISNUMBER(SEARCH("COGNAC",C2656)),"Brandy",
 ISNUMBER(SEARCH("LIQUEUR",C2656)),"Liqueurs",
 ISNUMBER(SEARCH("CORDIAL",C2656)),"Liqueurs",
 ISNUMBER(SEARCH("SCHNAPP",C2656)),"Liqueurs",
 ISNUMBER(SEARCH("GIN",C2656)),"Gin",
 TRUE,"Other")</f>
        <v>Whiskey</v>
      </c>
      <c r="E2656" s="5">
        <v>12006</v>
      </c>
      <c r="F2656" s="5">
        <v>393532</v>
      </c>
      <c r="G2656" s="5"/>
      <c r="H2656" s="5">
        <v>1884</v>
      </c>
    </row>
    <row r="2657" spans="1:8">
      <c r="A2657" s="5">
        <v>2025</v>
      </c>
      <c r="B2657" s="6">
        <v>45992</v>
      </c>
      <c r="C2657" s="5" t="s">
        <v>46</v>
      </c>
      <c r="D2657" s="3" t="str" cm="1">
        <f t="array" ref="D2657">_xlfn.IFS(
 ISNUMBER(SEARCH("WHISK",C2657)),"Whiskey",
 ISNUMBER(SEARCH("BOURBON",C2657)),"Whiskey",
 ISNUMBER(SEARCH("SCOTCH",C2657)),"Whiskey",
 ISNUMBER(SEARCH("RYE",C2657)),"Whiskey",
 ISNUMBER(SEARCH("VODKA",C2657)),"Vodka",
 ISNUMBER(SEARCH("TEQUILA",C2657)),"Tequila/Mezcal",
 ISNUMBER(SEARCH("MEZCAL",C2657)),"Tequila/Mezcal",
 ISNUMBER(SEARCH("RUM",C2657)),"Rum",
 ISNUMBER(SEARCH("BRAND",C2657)),"Brandy",
 ISNUMBER(SEARCH("COGNAC",C2657)),"Brandy",
 ISNUMBER(SEARCH("LIQUEUR",C2657)),"Liqueurs",
 ISNUMBER(SEARCH("CORDIAL",C2657)),"Liqueurs",
 ISNUMBER(SEARCH("SCHNAPP",C2657)),"Liqueurs",
 ISNUMBER(SEARCH("GIN",C2657)),"Gin",
 TRUE,"Other")</f>
        <v>Whiskey</v>
      </c>
      <c r="E2657" s="5">
        <v>71591</v>
      </c>
      <c r="F2657" s="5">
        <v>1610399</v>
      </c>
      <c r="G2657" s="5"/>
      <c r="H2657" s="5">
        <v>7677</v>
      </c>
    </row>
    <row r="2658" spans="1:8">
      <c r="A2658" s="5">
        <v>2025</v>
      </c>
      <c r="B2658" s="6">
        <v>45992</v>
      </c>
      <c r="C2658" s="5" t="s">
        <v>49</v>
      </c>
      <c r="D2658" s="3" t="str" cm="1">
        <f t="array" ref="D2658">_xlfn.IFS(
 ISNUMBER(SEARCH("WHISK",C2658)),"Whiskey",
 ISNUMBER(SEARCH("BOURBON",C2658)),"Whiskey",
 ISNUMBER(SEARCH("SCOTCH",C2658)),"Whiskey",
 ISNUMBER(SEARCH("RYE",C2658)),"Whiskey",
 ISNUMBER(SEARCH("VODKA",C2658)),"Vodka",
 ISNUMBER(SEARCH("TEQUILA",C2658)),"Tequila/Mezcal",
 ISNUMBER(SEARCH("MEZCAL",C2658)),"Tequila/Mezcal",
 ISNUMBER(SEARCH("RUM",C2658)),"Rum",
 ISNUMBER(SEARCH("BRAND",C2658)),"Brandy",
 ISNUMBER(SEARCH("COGNAC",C2658)),"Brandy",
 ISNUMBER(SEARCH("LIQUEUR",C2658)),"Liqueurs",
 ISNUMBER(SEARCH("CORDIAL",C2658)),"Liqueurs",
 ISNUMBER(SEARCH("SCHNAPP",C2658)),"Liqueurs",
 ISNUMBER(SEARCH("GIN",C2658)),"Gin",
 TRUE,"Other")</f>
        <v>Rum</v>
      </c>
      <c r="E2658" s="5">
        <v>35435</v>
      </c>
      <c r="F2658" s="5">
        <v>432049</v>
      </c>
      <c r="G2658" s="5"/>
      <c r="H2658" s="5">
        <v>3425</v>
      </c>
    </row>
    <row r="2659" spans="1:8">
      <c r="A2659" s="5">
        <v>2025</v>
      </c>
      <c r="B2659" s="6">
        <v>45992</v>
      </c>
      <c r="C2659" s="5" t="s">
        <v>48</v>
      </c>
      <c r="D2659" s="3" t="str" cm="1">
        <f t="array" ref="D2659">_xlfn.IFS(
 ISNUMBER(SEARCH("WHISK",C2659)),"Whiskey",
 ISNUMBER(SEARCH("BOURBON",C2659)),"Whiskey",
 ISNUMBER(SEARCH("SCOTCH",C2659)),"Whiskey",
 ISNUMBER(SEARCH("RYE",C2659)),"Whiskey",
 ISNUMBER(SEARCH("VODKA",C2659)),"Vodka",
 ISNUMBER(SEARCH("TEQUILA",C2659)),"Tequila/Mezcal",
 ISNUMBER(SEARCH("MEZCAL",C2659)),"Tequila/Mezcal",
 ISNUMBER(SEARCH("RUM",C2659)),"Rum",
 ISNUMBER(SEARCH("BRAND",C2659)),"Brandy",
 ISNUMBER(SEARCH("COGNAC",C2659)),"Brandy",
 ISNUMBER(SEARCH("LIQUEUR",C2659)),"Liqueurs",
 ISNUMBER(SEARCH("CORDIAL",C2659)),"Liqueurs",
 ISNUMBER(SEARCH("SCHNAPP",C2659)),"Liqueurs",
 ISNUMBER(SEARCH("GIN",C2659)),"Gin",
 TRUE,"Other")</f>
        <v>Whiskey</v>
      </c>
      <c r="E2659" s="5">
        <v>421241</v>
      </c>
      <c r="F2659" s="5">
        <v>2441760</v>
      </c>
      <c r="G2659" s="5"/>
      <c r="H2659" s="5">
        <v>16848</v>
      </c>
    </row>
    <row r="2660" spans="1:8">
      <c r="A2660" s="5">
        <v>2025</v>
      </c>
      <c r="B2660" s="6">
        <v>45992</v>
      </c>
      <c r="C2660" s="5" t="s">
        <v>29</v>
      </c>
      <c r="D2660" s="3" t="str" cm="1">
        <f t="array" ref="D2660">_xlfn.IFS(
 ISNUMBER(SEARCH("WHISK",C2660)),"Whiskey",
 ISNUMBER(SEARCH("BOURBON",C2660)),"Whiskey",
 ISNUMBER(SEARCH("SCOTCH",C2660)),"Whiskey",
 ISNUMBER(SEARCH("RYE",C2660)),"Whiskey",
 ISNUMBER(SEARCH("VODKA",C2660)),"Vodka",
 ISNUMBER(SEARCH("TEQUILA",C2660)),"Tequila/Mezcal",
 ISNUMBER(SEARCH("MEZCAL",C2660)),"Tequila/Mezcal",
 ISNUMBER(SEARCH("RUM",C2660)),"Rum",
 ISNUMBER(SEARCH("BRAND",C2660)),"Brandy",
 ISNUMBER(SEARCH("COGNAC",C2660)),"Brandy",
 ISNUMBER(SEARCH("LIQUEUR",C2660)),"Liqueurs",
 ISNUMBER(SEARCH("CORDIAL",C2660)),"Liqueurs",
 ISNUMBER(SEARCH("SCHNAPP",C2660)),"Liqueurs",
 ISNUMBER(SEARCH("GIN",C2660)),"Gin",
 TRUE,"Other")</f>
        <v>Gin</v>
      </c>
      <c r="E2660" s="5">
        <v>18360</v>
      </c>
      <c r="F2660" s="5">
        <v>485925</v>
      </c>
      <c r="G2660" s="5"/>
      <c r="H2660" s="5">
        <v>2109</v>
      </c>
    </row>
    <row r="2661" spans="1:8">
      <c r="A2661" s="5">
        <v>2025</v>
      </c>
      <c r="B2661" s="6">
        <v>45992</v>
      </c>
      <c r="C2661" s="5" t="s">
        <v>30</v>
      </c>
      <c r="D2661" s="3" t="str" cm="1">
        <f t="array" ref="D2661">_xlfn.IFS(
 ISNUMBER(SEARCH("WHISK",C2661)),"Whiskey",
 ISNUMBER(SEARCH("BOURBON",C2661)),"Whiskey",
 ISNUMBER(SEARCH("SCOTCH",C2661)),"Whiskey",
 ISNUMBER(SEARCH("RYE",C2661)),"Whiskey",
 ISNUMBER(SEARCH("VODKA",C2661)),"Vodka",
 ISNUMBER(SEARCH("TEQUILA",C2661)),"Tequila/Mezcal",
 ISNUMBER(SEARCH("MEZCAL",C2661)),"Tequila/Mezcal",
 ISNUMBER(SEARCH("RUM",C2661)),"Rum",
 ISNUMBER(SEARCH("BRAND",C2661)),"Brandy",
 ISNUMBER(SEARCH("COGNAC",C2661)),"Brandy",
 ISNUMBER(SEARCH("LIQUEUR",C2661)),"Liqueurs",
 ISNUMBER(SEARCH("CORDIAL",C2661)),"Liqueurs",
 ISNUMBER(SEARCH("SCHNAPP",C2661)),"Liqueurs",
 ISNUMBER(SEARCH("GIN",C2661)),"Gin",
 TRUE,"Other")</f>
        <v>Vodka</v>
      </c>
      <c r="E2661" s="5">
        <v>25290</v>
      </c>
      <c r="F2661" s="5">
        <v>385806</v>
      </c>
      <c r="G2661" s="5"/>
      <c r="H2661" s="5">
        <v>2576</v>
      </c>
    </row>
    <row r="2662" spans="1:8">
      <c r="A2662" s="5">
        <v>2025</v>
      </c>
      <c r="B2662" s="6">
        <v>45992</v>
      </c>
      <c r="C2662" s="5" t="s">
        <v>36</v>
      </c>
      <c r="D2662" s="3" t="str" cm="1">
        <f t="array" ref="D2662">_xlfn.IFS(
 ISNUMBER(SEARCH("WHISK",C2662)),"Whiskey",
 ISNUMBER(SEARCH("BOURBON",C2662)),"Whiskey",
 ISNUMBER(SEARCH("SCOTCH",C2662)),"Whiskey",
 ISNUMBER(SEARCH("RYE",C2662)),"Whiskey",
 ISNUMBER(SEARCH("VODKA",C2662)),"Vodka",
 ISNUMBER(SEARCH("TEQUILA",C2662)),"Tequila/Mezcal",
 ISNUMBER(SEARCH("MEZCAL",C2662)),"Tequila/Mezcal",
 ISNUMBER(SEARCH("RUM",C2662)),"Rum",
 ISNUMBER(SEARCH("BRAND",C2662)),"Brandy",
 ISNUMBER(SEARCH("COGNAC",C2662)),"Brandy",
 ISNUMBER(SEARCH("LIQUEUR",C2662)),"Liqueurs",
 ISNUMBER(SEARCH("CORDIAL",C2662)),"Liqueurs",
 ISNUMBER(SEARCH("SCHNAPP",C2662)),"Liqueurs",
 ISNUMBER(SEARCH("GIN",C2662)),"Gin",
 TRUE,"Other")</f>
        <v>Other</v>
      </c>
      <c r="E2662" s="5">
        <v>4029</v>
      </c>
      <c r="F2662" s="5">
        <v>58173</v>
      </c>
      <c r="G2662" s="5"/>
      <c r="H2662" s="5">
        <v>512</v>
      </c>
    </row>
    <row r="2663" spans="1:8">
      <c r="A2663" s="5">
        <v>2025</v>
      </c>
      <c r="B2663" s="6">
        <v>45992</v>
      </c>
      <c r="C2663" s="5" t="s">
        <v>39</v>
      </c>
      <c r="D2663" s="3" t="str" cm="1">
        <f t="array" ref="D2663">_xlfn.IFS(
 ISNUMBER(SEARCH("WHISK",C2663)),"Whiskey",
 ISNUMBER(SEARCH("BOURBON",C2663)),"Whiskey",
 ISNUMBER(SEARCH("SCOTCH",C2663)),"Whiskey",
 ISNUMBER(SEARCH("RYE",C2663)),"Whiskey",
 ISNUMBER(SEARCH("VODKA",C2663)),"Vodka",
 ISNUMBER(SEARCH("TEQUILA",C2663)),"Tequila/Mezcal",
 ISNUMBER(SEARCH("MEZCAL",C2663)),"Tequila/Mezcal",
 ISNUMBER(SEARCH("RUM",C2663)),"Rum",
 ISNUMBER(SEARCH("BRAND",C2663)),"Brandy",
 ISNUMBER(SEARCH("COGNAC",C2663)),"Brandy",
 ISNUMBER(SEARCH("LIQUEUR",C2663)),"Liqueurs",
 ISNUMBER(SEARCH("CORDIAL",C2663)),"Liqueurs",
 ISNUMBER(SEARCH("SCHNAPP",C2663)),"Liqueurs",
 ISNUMBER(SEARCH("GIN",C2663)),"Gin",
 TRUE,"Other")</f>
        <v>Whiskey</v>
      </c>
      <c r="E2663" s="5">
        <v>7073</v>
      </c>
      <c r="F2663" s="5">
        <v>298625</v>
      </c>
      <c r="G2663" s="5"/>
      <c r="H2663" s="5">
        <v>1345</v>
      </c>
    </row>
    <row r="2664" spans="1:8">
      <c r="A2664" s="5">
        <v>2025</v>
      </c>
      <c r="B2664" s="6">
        <v>45992</v>
      </c>
      <c r="C2664" s="5" t="s">
        <v>40</v>
      </c>
      <c r="D2664" s="3" t="str" cm="1">
        <f t="array" ref="D2664">_xlfn.IFS(
 ISNUMBER(SEARCH("WHISK",C2664)),"Whiskey",
 ISNUMBER(SEARCH("BOURBON",C2664)),"Whiskey",
 ISNUMBER(SEARCH("SCOTCH",C2664)),"Whiskey",
 ISNUMBER(SEARCH("RYE",C2664)),"Whiskey",
 ISNUMBER(SEARCH("VODKA",C2664)),"Vodka",
 ISNUMBER(SEARCH("TEQUILA",C2664)),"Tequila/Mezcal",
 ISNUMBER(SEARCH("MEZCAL",C2664)),"Tequila/Mezcal",
 ISNUMBER(SEARCH("RUM",C2664)),"Rum",
 ISNUMBER(SEARCH("BRAND",C2664)),"Brandy",
 ISNUMBER(SEARCH("COGNAC",C2664)),"Brandy",
 ISNUMBER(SEARCH("LIQUEUR",C2664)),"Liqueurs",
 ISNUMBER(SEARCH("CORDIAL",C2664)),"Liqueurs",
 ISNUMBER(SEARCH("SCHNAPP",C2664)),"Liqueurs",
 ISNUMBER(SEARCH("GIN",C2664)),"Gin",
 TRUE,"Other")</f>
        <v>Whiskey</v>
      </c>
      <c r="E2664" s="5">
        <v>6694</v>
      </c>
      <c r="F2664" s="5">
        <v>417481</v>
      </c>
      <c r="G2664" s="5"/>
      <c r="H2664" s="5">
        <v>1920</v>
      </c>
    </row>
    <row r="2665" spans="1:8">
      <c r="A2665" s="5">
        <v>2025</v>
      </c>
      <c r="B2665" s="6">
        <v>45992</v>
      </c>
      <c r="C2665" s="5" t="s">
        <v>47</v>
      </c>
      <c r="D2665" s="3" t="str" cm="1">
        <f t="array" ref="D2665">_xlfn.IFS(
 ISNUMBER(SEARCH("WHISK",C2665)),"Whiskey",
 ISNUMBER(SEARCH("BOURBON",C2665)),"Whiskey",
 ISNUMBER(SEARCH("SCOTCH",C2665)),"Whiskey",
 ISNUMBER(SEARCH("RYE",C2665)),"Whiskey",
 ISNUMBER(SEARCH("VODKA",C2665)),"Vodka",
 ISNUMBER(SEARCH("TEQUILA",C2665)),"Tequila/Mezcal",
 ISNUMBER(SEARCH("MEZCAL",C2665)),"Tequila/Mezcal",
 ISNUMBER(SEARCH("RUM",C2665)),"Rum",
 ISNUMBER(SEARCH("BRAND",C2665)),"Brandy",
 ISNUMBER(SEARCH("COGNAC",C2665)),"Brandy",
 ISNUMBER(SEARCH("LIQUEUR",C2665)),"Liqueurs",
 ISNUMBER(SEARCH("CORDIAL",C2665)),"Liqueurs",
 ISNUMBER(SEARCH("SCHNAPP",C2665)),"Liqueurs",
 ISNUMBER(SEARCH("GIN",C2665)),"Gin",
 TRUE,"Other")</f>
        <v>Other</v>
      </c>
      <c r="E2665" s="5">
        <v>15933</v>
      </c>
      <c r="F2665" s="5">
        <v>65577</v>
      </c>
      <c r="G2665" s="5"/>
      <c r="H2665" s="5">
        <v>735</v>
      </c>
    </row>
    <row r="2666" spans="1:8">
      <c r="A2666" s="5">
        <v>2025</v>
      </c>
      <c r="B2666" s="6">
        <v>45992</v>
      </c>
      <c r="C2666" s="5" t="s">
        <v>14</v>
      </c>
      <c r="D2666" s="3" t="str" cm="1">
        <f t="array" ref="D2666">_xlfn.IFS(
 ISNUMBER(SEARCH("WHISK",C2666)),"Whiskey",
 ISNUMBER(SEARCH("BOURBON",C2666)),"Whiskey",
 ISNUMBER(SEARCH("SCOTCH",C2666)),"Whiskey",
 ISNUMBER(SEARCH("RYE",C2666)),"Whiskey",
 ISNUMBER(SEARCH("VODKA",C2666)),"Vodka",
 ISNUMBER(SEARCH("TEQUILA",C2666)),"Tequila/Mezcal",
 ISNUMBER(SEARCH("MEZCAL",C2666)),"Tequila/Mezcal",
 ISNUMBER(SEARCH("RUM",C2666)),"Rum",
 ISNUMBER(SEARCH("BRAND",C2666)),"Brandy",
 ISNUMBER(SEARCH("COGNAC",C2666)),"Brandy",
 ISNUMBER(SEARCH("LIQUEUR",C2666)),"Liqueurs",
 ISNUMBER(SEARCH("CORDIAL",C2666)),"Liqueurs",
 ISNUMBER(SEARCH("SCHNAPP",C2666)),"Liqueurs",
 ISNUMBER(SEARCH("GIN",C2666)),"Gin",
 TRUE,"Other")</f>
        <v>Gin</v>
      </c>
      <c r="E2666" s="5">
        <v>348</v>
      </c>
      <c r="F2666" s="5">
        <v>2950</v>
      </c>
      <c r="G2666" s="5"/>
      <c r="H2666" s="5">
        <v>60</v>
      </c>
    </row>
    <row r="2667" spans="1:8">
      <c r="A2667" s="5">
        <v>2025</v>
      </c>
      <c r="B2667" s="6">
        <v>45992</v>
      </c>
      <c r="C2667" s="5" t="s">
        <v>21</v>
      </c>
      <c r="D2667" s="3" t="str" cm="1">
        <f t="array" ref="D2667">_xlfn.IFS(
 ISNUMBER(SEARCH("WHISK",C2667)),"Whiskey",
 ISNUMBER(SEARCH("BOURBON",C2667)),"Whiskey",
 ISNUMBER(SEARCH("SCOTCH",C2667)),"Whiskey",
 ISNUMBER(SEARCH("RYE",C2667)),"Whiskey",
 ISNUMBER(SEARCH("VODKA",C2667)),"Vodka",
 ISNUMBER(SEARCH("TEQUILA",C2667)),"Tequila/Mezcal",
 ISNUMBER(SEARCH("MEZCAL",C2667)),"Tequila/Mezcal",
 ISNUMBER(SEARCH("RUM",C2667)),"Rum",
 ISNUMBER(SEARCH("BRAND",C2667)),"Brandy",
 ISNUMBER(SEARCH("COGNAC",C2667)),"Brandy",
 ISNUMBER(SEARCH("LIQUEUR",C2667)),"Liqueurs",
 ISNUMBER(SEARCH("CORDIAL",C2667)),"Liqueurs",
 ISNUMBER(SEARCH("SCHNAPP",C2667)),"Liqueurs",
 ISNUMBER(SEARCH("GIN",C2667)),"Gin",
 TRUE,"Other")</f>
        <v>Whiskey</v>
      </c>
      <c r="E2667" s="5">
        <v>403</v>
      </c>
      <c r="F2667" s="5">
        <v>9377</v>
      </c>
      <c r="G2667" s="5"/>
      <c r="H2667" s="5">
        <v>70</v>
      </c>
    </row>
    <row r="2668" spans="1:8">
      <c r="A2668" s="5">
        <v>2025</v>
      </c>
      <c r="B2668" s="6">
        <v>45992</v>
      </c>
      <c r="C2668" s="5" t="s">
        <v>10</v>
      </c>
      <c r="D2668" s="3" t="str" cm="1">
        <f t="array" ref="D2668">_xlfn.IFS(
 ISNUMBER(SEARCH("WHISK",C2668)),"Whiskey",
 ISNUMBER(SEARCH("BOURBON",C2668)),"Whiskey",
 ISNUMBER(SEARCH("SCOTCH",C2668)),"Whiskey",
 ISNUMBER(SEARCH("RYE",C2668)),"Whiskey",
 ISNUMBER(SEARCH("VODKA",C2668)),"Vodka",
 ISNUMBER(SEARCH("TEQUILA",C2668)),"Tequila/Mezcal",
 ISNUMBER(SEARCH("MEZCAL",C2668)),"Tequila/Mezcal",
 ISNUMBER(SEARCH("RUM",C2668)),"Rum",
 ISNUMBER(SEARCH("BRAND",C2668)),"Brandy",
 ISNUMBER(SEARCH("COGNAC",C2668)),"Brandy",
 ISNUMBER(SEARCH("LIQUEUR",C2668)),"Liqueurs",
 ISNUMBER(SEARCH("CORDIAL",C2668)),"Liqueurs",
 ISNUMBER(SEARCH("SCHNAPP",C2668)),"Liqueurs",
 ISNUMBER(SEARCH("GIN",C2668)),"Gin",
 TRUE,"Other")</f>
        <v>Other</v>
      </c>
      <c r="E2668" s="5">
        <v>5769</v>
      </c>
      <c r="F2668" s="5">
        <v>109405</v>
      </c>
      <c r="G2668" s="5"/>
      <c r="H2668" s="5">
        <v>580</v>
      </c>
    </row>
    <row r="2669" spans="1:8">
      <c r="A2669" s="5">
        <v>2025</v>
      </c>
      <c r="B2669" s="6">
        <v>45992</v>
      </c>
      <c r="C2669" s="5" t="s">
        <v>17</v>
      </c>
      <c r="D2669" s="3" t="str" cm="1">
        <f t="array" ref="D2669">_xlfn.IFS(
 ISNUMBER(SEARCH("WHISK",C2669)),"Whiskey",
 ISNUMBER(SEARCH("BOURBON",C2669)),"Whiskey",
 ISNUMBER(SEARCH("SCOTCH",C2669)),"Whiskey",
 ISNUMBER(SEARCH("RYE",C2669)),"Whiskey",
 ISNUMBER(SEARCH("VODKA",C2669)),"Vodka",
 ISNUMBER(SEARCH("TEQUILA",C2669)),"Tequila/Mezcal",
 ISNUMBER(SEARCH("MEZCAL",C2669)),"Tequila/Mezcal",
 ISNUMBER(SEARCH("RUM",C2669)),"Rum",
 ISNUMBER(SEARCH("BRAND",C2669)),"Brandy",
 ISNUMBER(SEARCH("COGNAC",C2669)),"Brandy",
 ISNUMBER(SEARCH("LIQUEUR",C2669)),"Liqueurs",
 ISNUMBER(SEARCH("CORDIAL",C2669)),"Liqueurs",
 ISNUMBER(SEARCH("SCHNAPP",C2669)),"Liqueurs",
 ISNUMBER(SEARCH("GIN",C2669)),"Gin",
 TRUE,"Other")</f>
        <v>Whiskey</v>
      </c>
      <c r="E2669" s="5">
        <v>6394</v>
      </c>
      <c r="F2669" s="5">
        <v>224122</v>
      </c>
      <c r="G2669" s="5"/>
      <c r="H2669" s="5">
        <v>1105</v>
      </c>
    </row>
    <row r="2670" spans="1:8">
      <c r="A2670" s="5">
        <v>2025</v>
      </c>
      <c r="B2670" s="6">
        <v>45992</v>
      </c>
      <c r="C2670" s="5" t="s">
        <v>41</v>
      </c>
      <c r="D2670" s="3" t="str" cm="1">
        <f t="array" ref="D2670">_xlfn.IFS(
 ISNUMBER(SEARCH("WHISK",C2670)),"Whiskey",
 ISNUMBER(SEARCH("BOURBON",C2670)),"Whiskey",
 ISNUMBER(SEARCH("SCOTCH",C2670)),"Whiskey",
 ISNUMBER(SEARCH("RYE",C2670)),"Whiskey",
 ISNUMBER(SEARCH("VODKA",C2670)),"Vodka",
 ISNUMBER(SEARCH("TEQUILA",C2670)),"Tequila/Mezcal",
 ISNUMBER(SEARCH("MEZCAL",C2670)),"Tequila/Mezcal",
 ISNUMBER(SEARCH("RUM",C2670)),"Rum",
 ISNUMBER(SEARCH("BRAND",C2670)),"Brandy",
 ISNUMBER(SEARCH("COGNAC",C2670)),"Brandy",
 ISNUMBER(SEARCH("LIQUEUR",C2670)),"Liqueurs",
 ISNUMBER(SEARCH("CORDIAL",C2670)),"Liqueurs",
 ISNUMBER(SEARCH("SCHNAPP",C2670)),"Liqueurs",
 ISNUMBER(SEARCH("GIN",C2670)),"Gin",
 TRUE,"Other")</f>
        <v>Other</v>
      </c>
      <c r="E2670" s="5">
        <v>2597</v>
      </c>
      <c r="F2670" s="5">
        <v>37769</v>
      </c>
      <c r="G2670" s="5"/>
      <c r="H2670" s="5">
        <v>146</v>
      </c>
    </row>
    <row r="2671" spans="1:8">
      <c r="A2671" s="5">
        <v>2025</v>
      </c>
      <c r="B2671" s="6">
        <v>45992</v>
      </c>
      <c r="C2671" s="5" t="s">
        <v>34</v>
      </c>
      <c r="D2671" s="3" t="str" cm="1">
        <f t="array" ref="D2671">_xlfn.IFS(
 ISNUMBER(SEARCH("WHISK",C2671)),"Whiskey",
 ISNUMBER(SEARCH("BOURBON",C2671)),"Whiskey",
 ISNUMBER(SEARCH("SCOTCH",C2671)),"Whiskey",
 ISNUMBER(SEARCH("RYE",C2671)),"Whiskey",
 ISNUMBER(SEARCH("VODKA",C2671)),"Vodka",
 ISNUMBER(SEARCH("TEQUILA",C2671)),"Tequila/Mezcal",
 ISNUMBER(SEARCH("MEZCAL",C2671)),"Tequila/Mezcal",
 ISNUMBER(SEARCH("RUM",C2671)),"Rum",
 ISNUMBER(SEARCH("BRAND",C2671)),"Brandy",
 ISNUMBER(SEARCH("COGNAC",C2671)),"Brandy",
 ISNUMBER(SEARCH("LIQUEUR",C2671)),"Liqueurs",
 ISNUMBER(SEARCH("CORDIAL",C2671)),"Liqueurs",
 ISNUMBER(SEARCH("SCHNAPP",C2671)),"Liqueurs",
 ISNUMBER(SEARCH("GIN",C2671)),"Gin",
 TRUE,"Other")</f>
        <v>Tequila/Mezcal</v>
      </c>
      <c r="E2671" s="5">
        <v>1594</v>
      </c>
      <c r="F2671" s="5">
        <v>46550</v>
      </c>
      <c r="G2671" s="5"/>
      <c r="H2671" s="5">
        <v>257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73E5-1372-4EC6-8849-8FE5DB77BB04}">
  <dimension ref="A1:B16"/>
  <sheetViews>
    <sheetView workbookViewId="0">
      <selection activeCell="U8" sqref="U8"/>
    </sheetView>
  </sheetViews>
  <sheetFormatPr defaultRowHeight="15"/>
  <cols>
    <col min="1" max="1" width="13.140625" bestFit="1" customWidth="1"/>
    <col min="2" max="2" width="23.28515625" bestFit="1" customWidth="1"/>
  </cols>
  <sheetData>
    <row r="1" spans="1:2">
      <c r="A1" s="2" t="s">
        <v>55</v>
      </c>
      <c r="B1" t="s">
        <v>73</v>
      </c>
    </row>
    <row r="3" spans="1:2">
      <c r="A3" s="2" t="s">
        <v>56</v>
      </c>
      <c r="B3" t="s">
        <v>58</v>
      </c>
    </row>
    <row r="4" spans="1:2">
      <c r="A4" s="7" t="s">
        <v>61</v>
      </c>
      <c r="B4" s="15">
        <v>152895643.549999</v>
      </c>
    </row>
    <row r="5" spans="1:2">
      <c r="A5" s="7" t="s">
        <v>62</v>
      </c>
      <c r="B5" s="15">
        <v>157616909.55999917</v>
      </c>
    </row>
    <row r="6" spans="1:2">
      <c r="A6" s="7" t="s">
        <v>63</v>
      </c>
      <c r="B6" s="15">
        <v>170967177.20999873</v>
      </c>
    </row>
    <row r="7" spans="1:2">
      <c r="A7" s="7" t="s">
        <v>64</v>
      </c>
      <c r="B7" s="15">
        <v>174286562.00999838</v>
      </c>
    </row>
    <row r="8" spans="1:2">
      <c r="A8" s="7" t="s">
        <v>65</v>
      </c>
      <c r="B8" s="15">
        <v>184241435.38999814</v>
      </c>
    </row>
    <row r="9" spans="1:2">
      <c r="A9" s="7" t="s">
        <v>66</v>
      </c>
      <c r="B9" s="15">
        <v>191415470.07999811</v>
      </c>
    </row>
    <row r="10" spans="1:2">
      <c r="A10" s="7" t="s">
        <v>67</v>
      </c>
      <c r="B10" s="15">
        <v>178466160.7499983</v>
      </c>
    </row>
    <row r="11" spans="1:2">
      <c r="A11" s="7" t="s">
        <v>68</v>
      </c>
      <c r="B11" s="15">
        <v>188407118.60999694</v>
      </c>
    </row>
    <row r="12" spans="1:2">
      <c r="A12" s="7" t="s">
        <v>69</v>
      </c>
      <c r="B12" s="15">
        <v>177118384.53999832</v>
      </c>
    </row>
    <row r="13" spans="1:2">
      <c r="A13" s="7" t="s">
        <v>70</v>
      </c>
      <c r="B13" s="15">
        <v>200786836.5999977</v>
      </c>
    </row>
    <row r="14" spans="1:2">
      <c r="A14" s="7" t="s">
        <v>71</v>
      </c>
      <c r="B14" s="15">
        <v>189585813.24999738</v>
      </c>
    </row>
    <row r="15" spans="1:2">
      <c r="A15" s="7" t="s">
        <v>72</v>
      </c>
      <c r="B15" s="15">
        <v>209236389.48999885</v>
      </c>
    </row>
    <row r="16" spans="1:2">
      <c r="A16" s="7" t="s">
        <v>57</v>
      </c>
      <c r="B16" s="15">
        <v>2175023901.039979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6AC8A0-BE15-4CD0-81C2-EF9D3BD400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Forecast </vt:lpstr>
      <vt:lpstr>Scenario Summary</vt:lpstr>
      <vt:lpstr>Model</vt:lpstr>
      <vt:lpstr>Stacked Bar</vt:lpstr>
      <vt:lpstr>Variance</vt:lpstr>
      <vt:lpstr>PVM</vt:lpstr>
      <vt:lpstr>Monthly_Category</vt:lpstr>
      <vt:lpstr>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Martinez</dc:creator>
  <cp:lastModifiedBy>Andres Martinez</cp:lastModifiedBy>
  <dcterms:created xsi:type="dcterms:W3CDTF">2026-10-04T21:41:55Z</dcterms:created>
  <dcterms:modified xsi:type="dcterms:W3CDTF">2026-10-20T01:43:56Z</dcterms:modified>
</cp:coreProperties>
</file>